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/>
  <bookViews>
    <workbookView xWindow="-15" yWindow="-15" windowWidth="15405" windowHeight="7050" tabRatio="827" firstSheet="12" activeTab="12"/>
  </bookViews>
  <sheets>
    <sheet name="." sheetId="23" state="veryHidden" r:id="rId1"/>
    <sheet name="Funcionarios" sheetId="22" state="veryHidden" r:id="rId2"/>
    <sheet name="Inicio" sheetId="19" state="veryHidden" r:id="rId3"/>
    <sheet name="Qtd Pessoas" sheetId="6" state="veryHidden" r:id="rId4"/>
    <sheet name="ESTOQUE" sheetId="18" state="veryHidden" r:id="rId5"/>
    <sheet name="BAIXAS" sheetId="2" state="veryHidden" r:id="rId6"/>
    <sheet name="ENTRADAS" sheetId="7" state="veryHidden" r:id="rId7"/>
    <sheet name="Estoque Mínimo" sheetId="14" state="veryHidden" r:id="rId8"/>
    <sheet name="Previsão" sheetId="15" state="veryHidden" r:id="rId9"/>
    <sheet name="Configurações" sheetId="10" state="veryHidden" r:id="rId10"/>
    <sheet name="História" sheetId="13" state="veryHidden" r:id="rId11"/>
    <sheet name="Cadastro de Produtos" sheetId="17" state="veryHidden" r:id="rId12"/>
    <sheet name="Aviso" sheetId="24" r:id="rId13"/>
  </sheets>
  <definedNames>
    <definedName name="_FilterDatabase" localSheetId="9" hidden="1">Configurações!#REF!</definedName>
  </definedNames>
  <calcPr calcId="125725"/>
</workbook>
</file>

<file path=xl/calcChain.xml><?xml version="1.0" encoding="utf-8"?>
<calcChain xmlns="http://schemas.openxmlformats.org/spreadsheetml/2006/main">
  <c r="AA228" i="2"/>
  <c r="AA225"/>
  <c r="AA200"/>
  <c r="AA195"/>
  <c r="AA212"/>
  <c r="Z210"/>
  <c r="W201"/>
  <c r="W200"/>
  <c r="V228"/>
  <c r="V210"/>
  <c r="V200"/>
  <c r="V147"/>
  <c r="U210"/>
  <c r="U148"/>
  <c r="U239"/>
  <c r="U200"/>
  <c r="U195"/>
  <c r="U171"/>
  <c r="A328" i="17"/>
  <c r="A329"/>
  <c r="A330"/>
  <c r="A331"/>
  <c r="A332"/>
  <c r="A333"/>
  <c r="A334"/>
  <c r="A335"/>
  <c r="A336"/>
  <c r="A337"/>
  <c r="A338"/>
  <c r="A339"/>
  <c r="A340"/>
  <c r="A341"/>
  <c r="A342"/>
  <c r="A327"/>
  <c r="L115" i="7"/>
  <c r="L60"/>
  <c r="L18"/>
  <c r="S134"/>
  <c r="S14"/>
  <c r="S8"/>
  <c r="C86"/>
  <c r="T210" i="2"/>
  <c r="T200"/>
  <c r="S239"/>
  <c r="S202"/>
  <c r="S201"/>
  <c r="S185"/>
  <c r="O239"/>
  <c r="O228"/>
  <c r="O201"/>
  <c r="O200"/>
  <c r="O196"/>
  <c r="O185"/>
  <c r="O217"/>
  <c r="N154"/>
  <c r="N239"/>
  <c r="N228"/>
  <c r="N210"/>
  <c r="N201"/>
  <c r="N200"/>
  <c r="M239"/>
  <c r="M228"/>
  <c r="M210"/>
  <c r="M201"/>
  <c r="M195"/>
  <c r="M185"/>
  <c r="L217"/>
  <c r="L239"/>
  <c r="L228"/>
  <c r="L201"/>
  <c r="L200"/>
  <c r="L195"/>
  <c r="J217"/>
  <c r="I239"/>
  <c r="I210"/>
  <c r="I200"/>
  <c r="H239"/>
  <c r="H225"/>
  <c r="H210"/>
  <c r="H201"/>
  <c r="F239"/>
  <c r="F228"/>
  <c r="F210"/>
  <c r="F201"/>
  <c r="F185"/>
  <c r="F147"/>
  <c r="E239"/>
  <c r="E228"/>
  <c r="E202"/>
  <c r="E201"/>
  <c r="E195"/>
  <c r="C3" l="1"/>
  <c r="C3" i="7"/>
  <c r="AK333"/>
  <c r="AL333"/>
  <c r="AM333"/>
  <c r="AK334"/>
  <c r="AL334"/>
  <c r="AM334"/>
  <c r="AK335"/>
  <c r="AL335"/>
  <c r="AM335"/>
  <c r="AK336"/>
  <c r="AL336"/>
  <c r="AM336"/>
  <c r="AK337"/>
  <c r="AL337"/>
  <c r="AM337"/>
  <c r="AK338"/>
  <c r="AL338"/>
  <c r="AM338"/>
  <c r="AK339"/>
  <c r="AL339"/>
  <c r="AM339"/>
  <c r="AK340"/>
  <c r="AL340"/>
  <c r="AM340"/>
  <c r="AK341"/>
  <c r="AL341"/>
  <c r="AM341"/>
  <c r="AK342"/>
  <c r="AL342"/>
  <c r="AM342"/>
  <c r="AK343"/>
  <c r="AL343"/>
  <c r="AM343"/>
  <c r="AK344"/>
  <c r="AL344"/>
  <c r="AM344"/>
  <c r="AK345"/>
  <c r="AL345"/>
  <c r="AM345"/>
  <c r="AK346"/>
  <c r="AL346"/>
  <c r="AM346"/>
  <c r="AK347"/>
  <c r="AL347"/>
  <c r="AM347"/>
  <c r="AM332"/>
  <c r="AL332"/>
  <c r="AK332"/>
  <c r="B347"/>
  <c r="B346"/>
  <c r="B345"/>
  <c r="B344"/>
  <c r="B343"/>
  <c r="B342"/>
  <c r="B341"/>
  <c r="B340"/>
  <c r="B339"/>
  <c r="B338"/>
  <c r="B337"/>
  <c r="B336"/>
  <c r="B335"/>
  <c r="B334"/>
  <c r="B333"/>
  <c r="B332"/>
  <c r="G1" i="17"/>
  <c r="P2"/>
  <c r="B332" i="2"/>
  <c r="B333"/>
  <c r="B334"/>
  <c r="B335"/>
  <c r="B336"/>
  <c r="B337"/>
  <c r="B338"/>
  <c r="B339"/>
  <c r="B340"/>
  <c r="B341"/>
  <c r="B342"/>
  <c r="B343"/>
  <c r="B344"/>
  <c r="B345"/>
  <c r="B346"/>
  <c r="B347"/>
  <c r="B342" i="17"/>
  <c r="B341"/>
  <c r="B340"/>
  <c r="B339"/>
  <c r="B338"/>
  <c r="B337"/>
  <c r="B336"/>
  <c r="B335"/>
  <c r="B334"/>
  <c r="B333"/>
  <c r="B332"/>
  <c r="B331"/>
  <c r="B330"/>
  <c r="B329"/>
  <c r="B328"/>
  <c r="B327"/>
  <c r="AK321" i="7" l="1"/>
  <c r="AL321"/>
  <c r="AM321"/>
  <c r="AK318"/>
  <c r="AK319"/>
  <c r="AK320"/>
  <c r="AK322"/>
  <c r="AK323"/>
  <c r="AK324"/>
  <c r="AK325"/>
  <c r="AK326"/>
  <c r="AK327"/>
  <c r="AK328"/>
  <c r="AK329"/>
  <c r="AL318"/>
  <c r="AL319"/>
  <c r="AL320"/>
  <c r="AL322"/>
  <c r="AL323"/>
  <c r="AL324"/>
  <c r="AL325"/>
  <c r="AL326"/>
  <c r="AL327"/>
  <c r="AL328"/>
  <c r="AL329"/>
  <c r="AM318"/>
  <c r="AM319"/>
  <c r="AM320"/>
  <c r="AM322"/>
  <c r="AM323"/>
  <c r="AM324"/>
  <c r="AM325"/>
  <c r="AM326"/>
  <c r="AM327"/>
  <c r="AM328"/>
  <c r="AM329"/>
  <c r="B324" i="17"/>
  <c r="A324"/>
  <c r="B323"/>
  <c r="A323"/>
  <c r="B322"/>
  <c r="A322"/>
  <c r="B321"/>
  <c r="A321"/>
  <c r="B320"/>
  <c r="A320"/>
  <c r="B319"/>
  <c r="A319"/>
  <c r="B318"/>
  <c r="A318"/>
  <c r="B317"/>
  <c r="A317"/>
  <c r="B316"/>
  <c r="A316"/>
  <c r="B315"/>
  <c r="A315"/>
  <c r="B314"/>
  <c r="B325" i="7" s="1"/>
  <c r="A314" i="17"/>
  <c r="B313"/>
  <c r="C320" i="18" s="1"/>
  <c r="A313" i="17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8"/>
  <c r="A248"/>
  <c r="B247"/>
  <c r="A247"/>
  <c r="B246"/>
  <c r="A246"/>
  <c r="B245"/>
  <c r="A245"/>
  <c r="B244"/>
  <c r="A244"/>
  <c r="B243"/>
  <c r="A243"/>
  <c r="B242"/>
  <c r="A242"/>
  <c r="B241"/>
  <c r="A241"/>
  <c r="B240"/>
  <c r="A240"/>
  <c r="B239"/>
  <c r="A239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B203"/>
  <c r="A203"/>
  <c r="B202"/>
  <c r="A202"/>
  <c r="B201"/>
  <c r="A201"/>
  <c r="B200"/>
  <c r="A200"/>
  <c r="B199"/>
  <c r="A199"/>
  <c r="B198"/>
  <c r="A198"/>
  <c r="B197"/>
  <c r="A197"/>
  <c r="B196"/>
  <c r="A196"/>
  <c r="B195"/>
  <c r="A195"/>
  <c r="B194"/>
  <c r="A194"/>
  <c r="B193"/>
  <c r="A193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3"/>
  <c r="A183"/>
  <c r="B182"/>
  <c r="A182"/>
  <c r="B181"/>
  <c r="A181"/>
  <c r="B180"/>
  <c r="A180"/>
  <c r="B179"/>
  <c r="A179"/>
  <c r="B178"/>
  <c r="A178"/>
  <c r="B175"/>
  <c r="A175"/>
  <c r="B174"/>
  <c r="A174"/>
  <c r="B173"/>
  <c r="A173"/>
  <c r="B172"/>
  <c r="A172"/>
  <c r="B171"/>
  <c r="A171"/>
  <c r="B168"/>
  <c r="A168"/>
  <c r="B167"/>
  <c r="A167"/>
  <c r="B166"/>
  <c r="A166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B140"/>
  <c r="A140"/>
  <c r="B139"/>
  <c r="A139"/>
  <c r="B138"/>
  <c r="A138"/>
  <c r="B137"/>
  <c r="A137"/>
  <c r="B136"/>
  <c r="A136"/>
  <c r="B135"/>
  <c r="A135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10"/>
  <c r="A110"/>
  <c r="B109"/>
  <c r="A109"/>
  <c r="B108"/>
  <c r="A108"/>
  <c r="B107"/>
  <c r="A107"/>
  <c r="B106"/>
  <c r="A106"/>
  <c r="B105"/>
  <c r="A105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4"/>
  <c r="A74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B4"/>
  <c r="A4"/>
  <c r="B3"/>
  <c r="A3"/>
  <c r="O2"/>
  <c r="N2"/>
  <c r="M2"/>
  <c r="L2"/>
  <c r="K2"/>
  <c r="J2"/>
  <c r="I2"/>
  <c r="B2"/>
  <c r="A2"/>
  <c r="B1"/>
  <c r="A1"/>
  <c r="C328" i="18" l="1"/>
  <c r="C324"/>
  <c r="B328" i="7"/>
  <c r="C329" i="18"/>
  <c r="C325"/>
  <c r="C321"/>
  <c r="B318" i="2"/>
  <c r="C318" i="18"/>
  <c r="C326"/>
  <c r="C322"/>
  <c r="B328" i="2"/>
  <c r="B321" i="7"/>
  <c r="C327" i="18"/>
  <c r="C323"/>
  <c r="C319"/>
  <c r="B329" i="2"/>
  <c r="B323"/>
  <c r="B318" i="7"/>
  <c r="B323"/>
  <c r="B327"/>
  <c r="B327" i="2"/>
  <c r="B324"/>
  <c r="B320"/>
  <c r="B322" i="7"/>
  <c r="B326"/>
  <c r="B325" i="2"/>
  <c r="B321"/>
  <c r="B320" i="7"/>
  <c r="B329"/>
  <c r="B319" i="2"/>
  <c r="B326"/>
  <c r="B322"/>
  <c r="B319" i="7"/>
  <c r="B324"/>
  <c r="C7" i="10" a="1"/>
  <c r="C7" s="1"/>
  <c r="I1" i="22" s="1"/>
  <c r="C6" i="10" l="1" a="1"/>
  <c r="C6" l="1"/>
  <c r="I2" i="22" s="1"/>
  <c r="C18" i="10" l="1"/>
  <c r="C16"/>
  <c r="J12"/>
  <c r="J5" l="1"/>
  <c r="K5" s="1"/>
  <c r="L5" s="1"/>
  <c r="M5" l="1"/>
  <c r="C4"/>
  <c r="B241" i="15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I3" i="7" l="1"/>
  <c r="M3"/>
  <c r="Q3"/>
  <c r="U3"/>
  <c r="Y3"/>
  <c r="AC3"/>
  <c r="AG3"/>
  <c r="H3"/>
  <c r="L3"/>
  <c r="P3"/>
  <c r="T3"/>
  <c r="AB3"/>
  <c r="G3"/>
  <c r="K3"/>
  <c r="O3"/>
  <c r="S3"/>
  <c r="W3"/>
  <c r="AA3"/>
  <c r="AE3"/>
  <c r="F3"/>
  <c r="J3"/>
  <c r="N3"/>
  <c r="R3"/>
  <c r="V3"/>
  <c r="Z3"/>
  <c r="AD3"/>
  <c r="AH3"/>
  <c r="X3"/>
  <c r="AF3"/>
  <c r="D3"/>
  <c r="E3"/>
  <c r="N5" i="10"/>
  <c r="C19"/>
  <c r="B205" i="1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0"/>
  <c r="B179"/>
  <c r="B178"/>
  <c r="B177"/>
  <c r="B176"/>
  <c r="B173"/>
  <c r="B172"/>
  <c r="B171"/>
  <c r="B140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O5" i="10" l="1"/>
  <c r="B98" i="15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P5" i="10" l="1"/>
  <c r="B49" i="15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J6" i="10" l="1"/>
  <c r="Q5"/>
  <c r="B19" i="15"/>
  <c r="B18"/>
  <c r="B17"/>
  <c r="B16"/>
  <c r="B15"/>
  <c r="B14"/>
  <c r="B13"/>
  <c r="B12"/>
  <c r="B11"/>
  <c r="B10"/>
  <c r="B9"/>
  <c r="B8"/>
  <c r="B7"/>
  <c r="B6"/>
  <c r="D242" i="14"/>
  <c r="B242"/>
  <c r="D241"/>
  <c r="B241"/>
  <c r="D240"/>
  <c r="B240"/>
  <c r="D239"/>
  <c r="B239"/>
  <c r="D238"/>
  <c r="B238"/>
  <c r="D237"/>
  <c r="B237"/>
  <c r="D236"/>
  <c r="B236"/>
  <c r="D235"/>
  <c r="B235"/>
  <c r="D234"/>
  <c r="B234"/>
  <c r="D233"/>
  <c r="B233"/>
  <c r="D232"/>
  <c r="B232"/>
  <c r="D231"/>
  <c r="B231"/>
  <c r="D230"/>
  <c r="B230"/>
  <c r="D229"/>
  <c r="B229"/>
  <c r="D228"/>
  <c r="B228"/>
  <c r="D227"/>
  <c r="B227"/>
  <c r="D226"/>
  <c r="B226"/>
  <c r="D225"/>
  <c r="B225"/>
  <c r="D224"/>
  <c r="B224"/>
  <c r="D223"/>
  <c r="B223"/>
  <c r="D222"/>
  <c r="B222"/>
  <c r="D221"/>
  <c r="B221"/>
  <c r="D220"/>
  <c r="B220"/>
  <c r="D219"/>
  <c r="B219"/>
  <c r="D218"/>
  <c r="B218"/>
  <c r="D217"/>
  <c r="B217"/>
  <c r="D216"/>
  <c r="B216"/>
  <c r="D215"/>
  <c r="B215"/>
  <c r="D214"/>
  <c r="B214"/>
  <c r="D213"/>
  <c r="B213"/>
  <c r="D212"/>
  <c r="B212"/>
  <c r="D211"/>
  <c r="B211"/>
  <c r="D210"/>
  <c r="B210"/>
  <c r="D209"/>
  <c r="B209"/>
  <c r="D208"/>
  <c r="B208"/>
  <c r="D207"/>
  <c r="B207"/>
  <c r="D206"/>
  <c r="B206"/>
  <c r="D205"/>
  <c r="B205"/>
  <c r="D204"/>
  <c r="B204"/>
  <c r="D203"/>
  <c r="B203"/>
  <c r="D202"/>
  <c r="B202"/>
  <c r="D201"/>
  <c r="B201"/>
  <c r="D200"/>
  <c r="B200"/>
  <c r="D199"/>
  <c r="B199"/>
  <c r="D198"/>
  <c r="B198"/>
  <c r="D197"/>
  <c r="B197"/>
  <c r="D196"/>
  <c r="B196"/>
  <c r="D195"/>
  <c r="B195"/>
  <c r="D194"/>
  <c r="B194"/>
  <c r="D193"/>
  <c r="B193"/>
  <c r="D192"/>
  <c r="B192"/>
  <c r="D191"/>
  <c r="B191"/>
  <c r="D190"/>
  <c r="B190"/>
  <c r="D189"/>
  <c r="B189"/>
  <c r="D188"/>
  <c r="B188"/>
  <c r="D187"/>
  <c r="B187"/>
  <c r="D186"/>
  <c r="B186"/>
  <c r="K6" i="10" l="1"/>
  <c r="D185" i="14"/>
  <c r="B185"/>
  <c r="D184"/>
  <c r="B184"/>
  <c r="D181"/>
  <c r="B181"/>
  <c r="D180"/>
  <c r="B180"/>
  <c r="D179"/>
  <c r="B179"/>
  <c r="D178"/>
  <c r="B178"/>
  <c r="D177"/>
  <c r="B177"/>
  <c r="D174"/>
  <c r="B174"/>
  <c r="D173"/>
  <c r="B173"/>
  <c r="D172"/>
  <c r="B172"/>
  <c r="D169"/>
  <c r="B169"/>
  <c r="D168"/>
  <c r="B168"/>
  <c r="D167"/>
  <c r="B167"/>
  <c r="D166"/>
  <c r="B166"/>
  <c r="D165"/>
  <c r="B165"/>
  <c r="D164"/>
  <c r="B164"/>
  <c r="D163"/>
  <c r="B163"/>
  <c r="D162"/>
  <c r="B162"/>
  <c r="D161"/>
  <c r="B161"/>
  <c r="D160"/>
  <c r="B160"/>
  <c r="D159"/>
  <c r="B159"/>
  <c r="D158"/>
  <c r="B158"/>
  <c r="D157"/>
  <c r="B157"/>
  <c r="D156"/>
  <c r="B156"/>
  <c r="D155"/>
  <c r="B155"/>
  <c r="D154"/>
  <c r="B154"/>
  <c r="D153"/>
  <c r="B153"/>
  <c r="D152"/>
  <c r="B152"/>
  <c r="D151"/>
  <c r="B151"/>
  <c r="D150"/>
  <c r="B150"/>
  <c r="D149"/>
  <c r="B149"/>
  <c r="D148"/>
  <c r="B148"/>
  <c r="D147"/>
  <c r="B147"/>
  <c r="D146"/>
  <c r="B146"/>
  <c r="D145"/>
  <c r="B145"/>
  <c r="D144"/>
  <c r="B144"/>
  <c r="D143"/>
  <c r="B143"/>
  <c r="D142"/>
  <c r="B142"/>
  <c r="D141"/>
  <c r="B141"/>
  <c r="D138"/>
  <c r="B138"/>
  <c r="D137"/>
  <c r="B137"/>
  <c r="D136"/>
  <c r="B136"/>
  <c r="D135"/>
  <c r="B135"/>
  <c r="D134"/>
  <c r="B134"/>
  <c r="D133"/>
  <c r="B133"/>
  <c r="D132"/>
  <c r="B132"/>
  <c r="D131"/>
  <c r="B131"/>
  <c r="D130"/>
  <c r="B130"/>
  <c r="D129"/>
  <c r="B129"/>
  <c r="D128"/>
  <c r="B128"/>
  <c r="D127"/>
  <c r="B127"/>
  <c r="D126"/>
  <c r="B126"/>
  <c r="D125"/>
  <c r="B125"/>
  <c r="D124"/>
  <c r="B124"/>
  <c r="D123"/>
  <c r="B123"/>
  <c r="D122"/>
  <c r="B122"/>
  <c r="D121"/>
  <c r="B121"/>
  <c r="D120"/>
  <c r="B120"/>
  <c r="D119"/>
  <c r="B119"/>
  <c r="D118"/>
  <c r="B118"/>
  <c r="D117"/>
  <c r="B117"/>
  <c r="D116"/>
  <c r="B116"/>
  <c r="D115"/>
  <c r="B115"/>
  <c r="D114"/>
  <c r="B114"/>
  <c r="D113"/>
  <c r="B113"/>
  <c r="D112"/>
  <c r="B112"/>
  <c r="D111"/>
  <c r="B111"/>
  <c r="D110"/>
  <c r="B110"/>
  <c r="D109"/>
  <c r="B109"/>
  <c r="D108"/>
  <c r="B108"/>
  <c r="D107"/>
  <c r="B107"/>
  <c r="D106"/>
  <c r="B106"/>
  <c r="D105"/>
  <c r="B105"/>
  <c r="D104"/>
  <c r="B104"/>
  <c r="D103"/>
  <c r="B103"/>
  <c r="D102"/>
  <c r="B102"/>
  <c r="D101"/>
  <c r="B101"/>
  <c r="D100"/>
  <c r="B100"/>
  <c r="D99"/>
  <c r="B99"/>
  <c r="D98"/>
  <c r="B98"/>
  <c r="D97"/>
  <c r="B97"/>
  <c r="D96"/>
  <c r="B96"/>
  <c r="D95"/>
  <c r="B95"/>
  <c r="D94"/>
  <c r="B94"/>
  <c r="D93"/>
  <c r="B93"/>
  <c r="D92"/>
  <c r="B92"/>
  <c r="D91"/>
  <c r="B91"/>
  <c r="D90"/>
  <c r="B90"/>
  <c r="D89"/>
  <c r="B89"/>
  <c r="D88"/>
  <c r="B88"/>
  <c r="D87"/>
  <c r="B87"/>
  <c r="D86"/>
  <c r="B86"/>
  <c r="D85"/>
  <c r="B85"/>
  <c r="D84"/>
  <c r="B84"/>
  <c r="D83"/>
  <c r="B83"/>
  <c r="D82"/>
  <c r="B82"/>
  <c r="D81"/>
  <c r="B81"/>
  <c r="D80"/>
  <c r="B80"/>
  <c r="D79"/>
  <c r="B79"/>
  <c r="D78"/>
  <c r="B78"/>
  <c r="D77"/>
  <c r="B77"/>
  <c r="D76"/>
  <c r="B76"/>
  <c r="D75"/>
  <c r="B75"/>
  <c r="D74"/>
  <c r="B74"/>
  <c r="D73"/>
  <c r="B73"/>
  <c r="D72"/>
  <c r="B72"/>
  <c r="D71"/>
  <c r="B71"/>
  <c r="D70"/>
  <c r="B70"/>
  <c r="D69"/>
  <c r="B69"/>
  <c r="D68"/>
  <c r="B68"/>
  <c r="D67"/>
  <c r="B67"/>
  <c r="D66"/>
  <c r="B66"/>
  <c r="D65"/>
  <c r="B65"/>
  <c r="D64"/>
  <c r="B64"/>
  <c r="D63"/>
  <c r="B63"/>
  <c r="D62"/>
  <c r="B62"/>
  <c r="D61"/>
  <c r="B61"/>
  <c r="D60"/>
  <c r="B60"/>
  <c r="D59"/>
  <c r="B59"/>
  <c r="D58"/>
  <c r="B58"/>
  <c r="D57"/>
  <c r="B57"/>
  <c r="D56"/>
  <c r="B56"/>
  <c r="D55"/>
  <c r="B55"/>
  <c r="D54"/>
  <c r="B54"/>
  <c r="D53"/>
  <c r="B53"/>
  <c r="D52"/>
  <c r="B52"/>
  <c r="D51"/>
  <c r="B51"/>
  <c r="D50"/>
  <c r="B50"/>
  <c r="D49"/>
  <c r="B49"/>
  <c r="D48"/>
  <c r="B48"/>
  <c r="D47"/>
  <c r="B47"/>
  <c r="D46"/>
  <c r="B46"/>
  <c r="D45"/>
  <c r="B45"/>
  <c r="D44"/>
  <c r="B44"/>
  <c r="D43"/>
  <c r="B43"/>
  <c r="D42"/>
  <c r="B42"/>
  <c r="D41"/>
  <c r="B41"/>
  <c r="D40"/>
  <c r="B40"/>
  <c r="D39"/>
  <c r="B39"/>
  <c r="D38"/>
  <c r="B38"/>
  <c r="D37"/>
  <c r="B37"/>
  <c r="D36"/>
  <c r="B36"/>
  <c r="D35"/>
  <c r="B35"/>
  <c r="D34"/>
  <c r="B34"/>
  <c r="D33"/>
  <c r="B33"/>
  <c r="D32"/>
  <c r="B32"/>
  <c r="D31"/>
  <c r="B31"/>
  <c r="D30"/>
  <c r="B30"/>
  <c r="D29"/>
  <c r="B29"/>
  <c r="D28"/>
  <c r="B28"/>
  <c r="D27"/>
  <c r="B27"/>
  <c r="D26"/>
  <c r="B26"/>
  <c r="D25"/>
  <c r="B25"/>
  <c r="D24"/>
  <c r="B24"/>
  <c r="D23"/>
  <c r="B23"/>
  <c r="D22"/>
  <c r="B22"/>
  <c r="D21"/>
  <c r="B21"/>
  <c r="D20"/>
  <c r="B20"/>
  <c r="D19"/>
  <c r="B19"/>
  <c r="D18"/>
  <c r="B18"/>
  <c r="D17"/>
  <c r="B17"/>
  <c r="D16"/>
  <c r="B16"/>
  <c r="D15"/>
  <c r="B15"/>
  <c r="D14"/>
  <c r="B14"/>
  <c r="D13"/>
  <c r="B13"/>
  <c r="D12"/>
  <c r="B12"/>
  <c r="D11"/>
  <c r="B11"/>
  <c r="D10"/>
  <c r="B10"/>
  <c r="D9"/>
  <c r="B9"/>
  <c r="D8"/>
  <c r="B8"/>
  <c r="D7"/>
  <c r="B7"/>
  <c r="AM315" i="7"/>
  <c r="AL315"/>
  <c r="AK315"/>
  <c r="B315"/>
  <c r="AM314"/>
  <c r="AL314"/>
  <c r="AK314"/>
  <c r="B314"/>
  <c r="AM313"/>
  <c r="AL313"/>
  <c r="AK313"/>
  <c r="B313"/>
  <c r="AM312"/>
  <c r="AL312"/>
  <c r="AK312"/>
  <c r="B312"/>
  <c r="AM311"/>
  <c r="AL311"/>
  <c r="AK311"/>
  <c r="B311"/>
  <c r="AM310"/>
  <c r="AL310"/>
  <c r="AK310"/>
  <c r="B310"/>
  <c r="AM309"/>
  <c r="AL309"/>
  <c r="AK309"/>
  <c r="B309"/>
  <c r="AM308"/>
  <c r="AL308"/>
  <c r="AK308"/>
  <c r="B308"/>
  <c r="AM307"/>
  <c r="AL307"/>
  <c r="AK307"/>
  <c r="B307"/>
  <c r="AM306"/>
  <c r="AL306"/>
  <c r="AK306"/>
  <c r="B306"/>
  <c r="AM305"/>
  <c r="AL305"/>
  <c r="AK305"/>
  <c r="B305"/>
  <c r="AM304"/>
  <c r="AL304"/>
  <c r="AK304"/>
  <c r="B304"/>
  <c r="AM303"/>
  <c r="AL303"/>
  <c r="AK303"/>
  <c r="B303"/>
  <c r="AM302"/>
  <c r="AL302"/>
  <c r="AK302"/>
  <c r="B302"/>
  <c r="AM301"/>
  <c r="AL301"/>
  <c r="AK301"/>
  <c r="B301"/>
  <c r="AM300"/>
  <c r="AL300"/>
  <c r="AK300"/>
  <c r="B300"/>
  <c r="AM299"/>
  <c r="AL299"/>
  <c r="AK299"/>
  <c r="L6" i="10" l="1"/>
  <c r="B299" i="7"/>
  <c r="AM298"/>
  <c r="AL298"/>
  <c r="AK298"/>
  <c r="B298"/>
  <c r="AM297"/>
  <c r="AL297"/>
  <c r="AK297"/>
  <c r="B297"/>
  <c r="AM296"/>
  <c r="AL296"/>
  <c r="AK296"/>
  <c r="B296"/>
  <c r="AM295"/>
  <c r="AL295"/>
  <c r="AK295"/>
  <c r="B295"/>
  <c r="AM294"/>
  <c r="AL294"/>
  <c r="AK294"/>
  <c r="B294"/>
  <c r="AM293"/>
  <c r="AL293"/>
  <c r="AK293"/>
  <c r="B293"/>
  <c r="AM292"/>
  <c r="AL292"/>
  <c r="AK292"/>
  <c r="B292"/>
  <c r="AM291"/>
  <c r="AL291"/>
  <c r="AK291"/>
  <c r="B291"/>
  <c r="AM290"/>
  <c r="AL290"/>
  <c r="AK290"/>
  <c r="B290"/>
  <c r="AM289"/>
  <c r="AL289"/>
  <c r="AK289"/>
  <c r="B289"/>
  <c r="AM288"/>
  <c r="AL288"/>
  <c r="AK288"/>
  <c r="B288"/>
  <c r="AM287"/>
  <c r="AL287"/>
  <c r="AK287"/>
  <c r="B287"/>
  <c r="AM286"/>
  <c r="AL286"/>
  <c r="AK286"/>
  <c r="B286"/>
  <c r="AM285"/>
  <c r="AL285"/>
  <c r="AK285"/>
  <c r="B285"/>
  <c r="AM284"/>
  <c r="AL284"/>
  <c r="AK284"/>
  <c r="B284"/>
  <c r="AM283"/>
  <c r="AL283"/>
  <c r="AK283"/>
  <c r="B283"/>
  <c r="AM282"/>
  <c r="AL282"/>
  <c r="AK282"/>
  <c r="B282"/>
  <c r="AM281"/>
  <c r="AL281"/>
  <c r="AK281"/>
  <c r="B281"/>
  <c r="AM280"/>
  <c r="AL280"/>
  <c r="AK280"/>
  <c r="B280"/>
  <c r="AM279"/>
  <c r="AL279"/>
  <c r="AK279"/>
  <c r="B279"/>
  <c r="AM278"/>
  <c r="AL278"/>
  <c r="AK278"/>
  <c r="B278"/>
  <c r="AM277"/>
  <c r="AL277"/>
  <c r="AK277"/>
  <c r="B277"/>
  <c r="AM276"/>
  <c r="AL276"/>
  <c r="AK276"/>
  <c r="B276"/>
  <c r="AM275"/>
  <c r="AL275"/>
  <c r="AK275"/>
  <c r="B275"/>
  <c r="AM274"/>
  <c r="AL274"/>
  <c r="AK274"/>
  <c r="B274"/>
  <c r="AM273"/>
  <c r="AL273"/>
  <c r="AK273"/>
  <c r="B273"/>
  <c r="AM272"/>
  <c r="AL272"/>
  <c r="AK272"/>
  <c r="B272"/>
  <c r="AM271"/>
  <c r="AL271"/>
  <c r="AK271"/>
  <c r="B271"/>
  <c r="AM270"/>
  <c r="AL270"/>
  <c r="AK270"/>
  <c r="B270"/>
  <c r="AM269"/>
  <c r="AL269"/>
  <c r="AK269"/>
  <c r="B269"/>
  <c r="AM268"/>
  <c r="AL268"/>
  <c r="AK268"/>
  <c r="B268"/>
  <c r="AM267"/>
  <c r="AL267"/>
  <c r="AK267"/>
  <c r="B267"/>
  <c r="AM266"/>
  <c r="AL266"/>
  <c r="AK266"/>
  <c r="B266"/>
  <c r="AM265"/>
  <c r="AL265"/>
  <c r="AK265"/>
  <c r="B265"/>
  <c r="AM264"/>
  <c r="AL264"/>
  <c r="AK264"/>
  <c r="B264"/>
  <c r="AM263"/>
  <c r="AL263"/>
  <c r="AK263"/>
  <c r="B263"/>
  <c r="AM262"/>
  <c r="AL262"/>
  <c r="AK262"/>
  <c r="B262"/>
  <c r="AM261"/>
  <c r="AL261"/>
  <c r="AK261"/>
  <c r="B261"/>
  <c r="AM260"/>
  <c r="AL260"/>
  <c r="AK260"/>
  <c r="B260"/>
  <c r="AM259"/>
  <c r="AL259"/>
  <c r="AK259"/>
  <c r="B259"/>
  <c r="AM258"/>
  <c r="AL258"/>
  <c r="AK258"/>
  <c r="B258"/>
  <c r="AM257"/>
  <c r="AL257"/>
  <c r="AK257"/>
  <c r="B257"/>
  <c r="AM256"/>
  <c r="AL256"/>
  <c r="AK256"/>
  <c r="B256"/>
  <c r="AM255"/>
  <c r="AL255"/>
  <c r="AK255"/>
  <c r="B255"/>
  <c r="AM254"/>
  <c r="AL254"/>
  <c r="AK254"/>
  <c r="B254"/>
  <c r="AM253"/>
  <c r="AL253"/>
  <c r="AK253"/>
  <c r="B253"/>
  <c r="AM252"/>
  <c r="AL252"/>
  <c r="AK252"/>
  <c r="B252"/>
  <c r="AM251"/>
  <c r="AL251"/>
  <c r="AK251"/>
  <c r="B251"/>
  <c r="AM250"/>
  <c r="AL250"/>
  <c r="AK250"/>
  <c r="B250"/>
  <c r="AM249"/>
  <c r="AL249"/>
  <c r="AK249"/>
  <c r="B249"/>
  <c r="AM248"/>
  <c r="AL248"/>
  <c r="AK248"/>
  <c r="B248"/>
  <c r="AM247"/>
  <c r="AL247"/>
  <c r="AK247"/>
  <c r="B247"/>
  <c r="AM246"/>
  <c r="AL246"/>
  <c r="AK246"/>
  <c r="B246"/>
  <c r="AM245"/>
  <c r="AL245"/>
  <c r="AK245"/>
  <c r="B245"/>
  <c r="M6" i="10" l="1"/>
  <c r="AM244" i="7"/>
  <c r="AL244"/>
  <c r="AK244"/>
  <c r="B244"/>
  <c r="AM241"/>
  <c r="AL241"/>
  <c r="AK241"/>
  <c r="B241"/>
  <c r="AM240"/>
  <c r="AL240"/>
  <c r="AK240"/>
  <c r="B240"/>
  <c r="AM239"/>
  <c r="AL239"/>
  <c r="AK239"/>
  <c r="B239"/>
  <c r="AM238"/>
  <c r="AL238"/>
  <c r="AK238"/>
  <c r="B238"/>
  <c r="AM237"/>
  <c r="AL237"/>
  <c r="AK237"/>
  <c r="B237"/>
  <c r="AM236"/>
  <c r="AL236"/>
  <c r="AK236"/>
  <c r="B236"/>
  <c r="AM235"/>
  <c r="AL235"/>
  <c r="AK235"/>
  <c r="B235"/>
  <c r="AM234"/>
  <c r="AL234"/>
  <c r="AK234"/>
  <c r="B234"/>
  <c r="AM233"/>
  <c r="AL233"/>
  <c r="AK233"/>
  <c r="B233"/>
  <c r="AM232"/>
  <c r="AL232"/>
  <c r="AK232"/>
  <c r="B232"/>
  <c r="AM231"/>
  <c r="AL231"/>
  <c r="AK231"/>
  <c r="B231"/>
  <c r="AM230"/>
  <c r="AL230"/>
  <c r="AK230"/>
  <c r="B230"/>
  <c r="N6" i="10" l="1"/>
  <c r="AM229" i="7"/>
  <c r="AL229"/>
  <c r="AK229"/>
  <c r="B229"/>
  <c r="AM228"/>
  <c r="AL228"/>
  <c r="AK228"/>
  <c r="B228"/>
  <c r="AM227"/>
  <c r="AL227"/>
  <c r="AK227"/>
  <c r="B227"/>
  <c r="AM226"/>
  <c r="AL226"/>
  <c r="AK226"/>
  <c r="B226"/>
  <c r="AM225"/>
  <c r="AL225"/>
  <c r="AK225"/>
  <c r="B225"/>
  <c r="AM224"/>
  <c r="AL224"/>
  <c r="AK224"/>
  <c r="B224"/>
  <c r="AM223"/>
  <c r="AL223"/>
  <c r="AK223"/>
  <c r="B223"/>
  <c r="AM222"/>
  <c r="AL222"/>
  <c r="AK222"/>
  <c r="B222"/>
  <c r="AM221"/>
  <c r="AL221"/>
  <c r="AK221"/>
  <c r="B221"/>
  <c r="AM220"/>
  <c r="AL220"/>
  <c r="AK220"/>
  <c r="B220"/>
  <c r="AM219"/>
  <c r="AL219"/>
  <c r="AK219"/>
  <c r="B219"/>
  <c r="AM218"/>
  <c r="AL218"/>
  <c r="AK218"/>
  <c r="B218"/>
  <c r="AM217"/>
  <c r="AL217"/>
  <c r="AK217"/>
  <c r="B217"/>
  <c r="AM216"/>
  <c r="AL216"/>
  <c r="AK216"/>
  <c r="B216"/>
  <c r="AM215"/>
  <c r="AL215"/>
  <c r="AK215"/>
  <c r="B215"/>
  <c r="AM214"/>
  <c r="AL214"/>
  <c r="AK214"/>
  <c r="B214"/>
  <c r="AM213"/>
  <c r="AL213"/>
  <c r="AK213"/>
  <c r="B213"/>
  <c r="AM212"/>
  <c r="AL212"/>
  <c r="AK212"/>
  <c r="B212"/>
  <c r="AM211"/>
  <c r="AL211"/>
  <c r="AK211"/>
  <c r="B211"/>
  <c r="AM210"/>
  <c r="AL210"/>
  <c r="AK210"/>
  <c r="B210"/>
  <c r="AM209"/>
  <c r="AL209"/>
  <c r="AK209"/>
  <c r="B209"/>
  <c r="AM208"/>
  <c r="AL208"/>
  <c r="AK208"/>
  <c r="B208"/>
  <c r="AM207"/>
  <c r="AL207"/>
  <c r="AK207"/>
  <c r="B207"/>
  <c r="AM206"/>
  <c r="AL206"/>
  <c r="AK206"/>
  <c r="B206"/>
  <c r="AM205"/>
  <c r="AL205"/>
  <c r="AK205"/>
  <c r="B205"/>
  <c r="AM204"/>
  <c r="AL204"/>
  <c r="AK204"/>
  <c r="B204"/>
  <c r="AM203"/>
  <c r="AL203"/>
  <c r="AK203"/>
  <c r="B203"/>
  <c r="AM202"/>
  <c r="AL202"/>
  <c r="AK202"/>
  <c r="B202"/>
  <c r="AM201"/>
  <c r="AL201"/>
  <c r="AK201"/>
  <c r="B201"/>
  <c r="AM200"/>
  <c r="AL200"/>
  <c r="AK200"/>
  <c r="B200"/>
  <c r="AM199"/>
  <c r="AL199"/>
  <c r="AK199"/>
  <c r="O6" i="10" l="1"/>
  <c r="B199" i="7"/>
  <c r="AM198"/>
  <c r="AL198"/>
  <c r="AK198"/>
  <c r="B198"/>
  <c r="AM197"/>
  <c r="AL197"/>
  <c r="AK197"/>
  <c r="B197"/>
  <c r="AM196"/>
  <c r="AL196"/>
  <c r="AK196"/>
  <c r="B196"/>
  <c r="AM195"/>
  <c r="AL195"/>
  <c r="AK195"/>
  <c r="B195"/>
  <c r="AM194"/>
  <c r="AL194"/>
  <c r="AK194"/>
  <c r="B194"/>
  <c r="AM193"/>
  <c r="AL193"/>
  <c r="AK193"/>
  <c r="B193"/>
  <c r="AM192"/>
  <c r="AL192"/>
  <c r="AK192"/>
  <c r="B192"/>
  <c r="AM191"/>
  <c r="AL191"/>
  <c r="AK191"/>
  <c r="B191"/>
  <c r="AM190"/>
  <c r="AL190"/>
  <c r="AK190"/>
  <c r="B190"/>
  <c r="AM189"/>
  <c r="AL189"/>
  <c r="AK189"/>
  <c r="B189"/>
  <c r="AM188"/>
  <c r="AL188"/>
  <c r="AK188"/>
  <c r="B188"/>
  <c r="AM187"/>
  <c r="AL187"/>
  <c r="AK187"/>
  <c r="B187"/>
  <c r="AM186"/>
  <c r="AL186"/>
  <c r="AK186"/>
  <c r="B186"/>
  <c r="AM185"/>
  <c r="AL185"/>
  <c r="AK185"/>
  <c r="B185"/>
  <c r="AM184"/>
  <c r="AL184"/>
  <c r="AK184"/>
  <c r="B184"/>
  <c r="AM183"/>
  <c r="AL183"/>
  <c r="AK183"/>
  <c r="B183"/>
  <c r="AM180"/>
  <c r="AL180"/>
  <c r="AK180"/>
  <c r="B180"/>
  <c r="AM179"/>
  <c r="AL179"/>
  <c r="AK179"/>
  <c r="B179"/>
  <c r="AM178"/>
  <c r="AL178"/>
  <c r="AK178"/>
  <c r="B178"/>
  <c r="AM177"/>
  <c r="AL177"/>
  <c r="AK177"/>
  <c r="B177"/>
  <c r="AM176"/>
  <c r="AL176"/>
  <c r="AK176"/>
  <c r="B176"/>
  <c r="AM173"/>
  <c r="AL173"/>
  <c r="AK173"/>
  <c r="B173"/>
  <c r="AM172"/>
  <c r="AL172"/>
  <c r="AK172"/>
  <c r="B172"/>
  <c r="AM171"/>
  <c r="AL171"/>
  <c r="AK171"/>
  <c r="B171"/>
  <c r="AM168"/>
  <c r="AL168"/>
  <c r="AK168"/>
  <c r="B168"/>
  <c r="AM167"/>
  <c r="AL167"/>
  <c r="AK167"/>
  <c r="B167"/>
  <c r="AM166"/>
  <c r="AL166"/>
  <c r="AK166"/>
  <c r="B166"/>
  <c r="AM165"/>
  <c r="AL165"/>
  <c r="AK165"/>
  <c r="B165"/>
  <c r="AM164"/>
  <c r="AL164"/>
  <c r="AK164"/>
  <c r="B164"/>
  <c r="AM163"/>
  <c r="AL163"/>
  <c r="AK163"/>
  <c r="B163"/>
  <c r="AM162"/>
  <c r="AL162"/>
  <c r="AK162"/>
  <c r="B162"/>
  <c r="AM161"/>
  <c r="AL161"/>
  <c r="AK161"/>
  <c r="B161"/>
  <c r="AM160"/>
  <c r="AL160"/>
  <c r="AK160"/>
  <c r="B160"/>
  <c r="AM159"/>
  <c r="AL159"/>
  <c r="AK159"/>
  <c r="B159"/>
  <c r="AM158"/>
  <c r="AL158"/>
  <c r="AK158"/>
  <c r="B158"/>
  <c r="AM157"/>
  <c r="AL157"/>
  <c r="AK157"/>
  <c r="B157"/>
  <c r="AM156"/>
  <c r="AL156"/>
  <c r="AK156"/>
  <c r="B156"/>
  <c r="AM155"/>
  <c r="AL155"/>
  <c r="AK155"/>
  <c r="B155"/>
  <c r="AM154"/>
  <c r="AL154"/>
  <c r="AK154"/>
  <c r="B154"/>
  <c r="AM153"/>
  <c r="AL153"/>
  <c r="AK153"/>
  <c r="B153"/>
  <c r="AM152"/>
  <c r="AL152"/>
  <c r="AK152"/>
  <c r="B152"/>
  <c r="AM151"/>
  <c r="AL151"/>
  <c r="AK151"/>
  <c r="B151"/>
  <c r="AM150"/>
  <c r="AL150"/>
  <c r="AK150"/>
  <c r="B150"/>
  <c r="AM149"/>
  <c r="AL149"/>
  <c r="AK149"/>
  <c r="B149"/>
  <c r="AM148"/>
  <c r="AL148"/>
  <c r="AK148"/>
  <c r="B148"/>
  <c r="AM147"/>
  <c r="AL147"/>
  <c r="AK147"/>
  <c r="B147"/>
  <c r="AM146"/>
  <c r="AL146"/>
  <c r="AK146"/>
  <c r="B146"/>
  <c r="AM145"/>
  <c r="AL145"/>
  <c r="AK145"/>
  <c r="B145"/>
  <c r="AM144"/>
  <c r="AL144"/>
  <c r="AK144"/>
  <c r="B144"/>
  <c r="AM143"/>
  <c r="AL143"/>
  <c r="AK143"/>
  <c r="B143"/>
  <c r="AM142"/>
  <c r="AL142"/>
  <c r="AK142"/>
  <c r="B142"/>
  <c r="AM141"/>
  <c r="AL141"/>
  <c r="AK141"/>
  <c r="B141"/>
  <c r="AM140"/>
  <c r="AL140"/>
  <c r="AK140"/>
  <c r="B140"/>
  <c r="AM137"/>
  <c r="AL137"/>
  <c r="AK137"/>
  <c r="B137"/>
  <c r="AM136"/>
  <c r="AL136"/>
  <c r="AK136"/>
  <c r="B136"/>
  <c r="AM135"/>
  <c r="AL135"/>
  <c r="AK135"/>
  <c r="B135"/>
  <c r="AM134"/>
  <c r="AL134"/>
  <c r="AK134"/>
  <c r="B134"/>
  <c r="AM133"/>
  <c r="AL133"/>
  <c r="AK133"/>
  <c r="B133"/>
  <c r="AM132"/>
  <c r="AL132"/>
  <c r="AK132"/>
  <c r="B132"/>
  <c r="AM131"/>
  <c r="AL131"/>
  <c r="AK131"/>
  <c r="B131"/>
  <c r="AM130"/>
  <c r="AL130"/>
  <c r="AK130"/>
  <c r="B130"/>
  <c r="AM129"/>
  <c r="AL129"/>
  <c r="AK129"/>
  <c r="B129"/>
  <c r="AM128"/>
  <c r="AL128"/>
  <c r="AK128"/>
  <c r="B128"/>
  <c r="AM127"/>
  <c r="AL127"/>
  <c r="AK127"/>
  <c r="B127"/>
  <c r="AM126"/>
  <c r="AL126"/>
  <c r="AK126"/>
  <c r="B126"/>
  <c r="AM125"/>
  <c r="AL125"/>
  <c r="AK125"/>
  <c r="B125"/>
  <c r="AM124"/>
  <c r="AL124"/>
  <c r="AK124"/>
  <c r="B124"/>
  <c r="AM123"/>
  <c r="AL123"/>
  <c r="AK123"/>
  <c r="B123"/>
  <c r="AM122"/>
  <c r="AL122"/>
  <c r="AK122"/>
  <c r="B122"/>
  <c r="AM121"/>
  <c r="AL121"/>
  <c r="AK121"/>
  <c r="B121"/>
  <c r="AM120"/>
  <c r="AL120"/>
  <c r="AK120"/>
  <c r="B120"/>
  <c r="AM119"/>
  <c r="AL119"/>
  <c r="AK119"/>
  <c r="B119"/>
  <c r="AM118"/>
  <c r="AL118"/>
  <c r="AK118"/>
  <c r="B118"/>
  <c r="AM117"/>
  <c r="AL117"/>
  <c r="AK117"/>
  <c r="B117"/>
  <c r="AM116"/>
  <c r="AL116"/>
  <c r="AK116"/>
  <c r="B116"/>
  <c r="AM115"/>
  <c r="AL115"/>
  <c r="AK115"/>
  <c r="B115"/>
  <c r="AM114"/>
  <c r="AL114"/>
  <c r="AK114"/>
  <c r="B114"/>
  <c r="AM113"/>
  <c r="AL113"/>
  <c r="AK113"/>
  <c r="B113"/>
  <c r="AM112"/>
  <c r="AL112"/>
  <c r="AK112"/>
  <c r="B112"/>
  <c r="AM111"/>
  <c r="AL111"/>
  <c r="AK111"/>
  <c r="B111"/>
  <c r="AM110"/>
  <c r="AL110"/>
  <c r="AK110"/>
  <c r="B110"/>
  <c r="AM109"/>
  <c r="AL109"/>
  <c r="AK109"/>
  <c r="B109"/>
  <c r="AM108"/>
  <c r="AL108"/>
  <c r="AK108"/>
  <c r="B108"/>
  <c r="AM107"/>
  <c r="AL107"/>
  <c r="AK107"/>
  <c r="B107"/>
  <c r="AM106"/>
  <c r="AL106"/>
  <c r="AK106"/>
  <c r="B106"/>
  <c r="AM105"/>
  <c r="AL105"/>
  <c r="AK105"/>
  <c r="B105"/>
  <c r="AM104"/>
  <c r="AL104"/>
  <c r="AK104"/>
  <c r="B104"/>
  <c r="AM103"/>
  <c r="AL103"/>
  <c r="AK103"/>
  <c r="B103"/>
  <c r="AM102"/>
  <c r="AL102"/>
  <c r="AK102"/>
  <c r="B102"/>
  <c r="AM101"/>
  <c r="AL101"/>
  <c r="AK101"/>
  <c r="B101"/>
  <c r="AM100"/>
  <c r="AL100"/>
  <c r="AK100"/>
  <c r="B100"/>
  <c r="AM99"/>
  <c r="AL99"/>
  <c r="AK99"/>
  <c r="B99"/>
  <c r="AM98"/>
  <c r="AL98"/>
  <c r="AK98"/>
  <c r="B98"/>
  <c r="AM97"/>
  <c r="AL97"/>
  <c r="AK97"/>
  <c r="B97"/>
  <c r="AM96"/>
  <c r="AL96"/>
  <c r="AK96"/>
  <c r="B96"/>
  <c r="AM95"/>
  <c r="AL95"/>
  <c r="AK95"/>
  <c r="B95"/>
  <c r="AM94"/>
  <c r="AL94"/>
  <c r="AK94"/>
  <c r="B94"/>
  <c r="AM93"/>
  <c r="AL93"/>
  <c r="AK93"/>
  <c r="B93"/>
  <c r="AM92"/>
  <c r="AL92"/>
  <c r="AK92"/>
  <c r="B92"/>
  <c r="AM91"/>
  <c r="AL91"/>
  <c r="AK91"/>
  <c r="B91"/>
  <c r="AM90"/>
  <c r="AL90"/>
  <c r="AK90"/>
  <c r="B90"/>
  <c r="AM89"/>
  <c r="AL89"/>
  <c r="AK89"/>
  <c r="B89"/>
  <c r="AM88"/>
  <c r="AL88"/>
  <c r="AK88"/>
  <c r="B88"/>
  <c r="AM87"/>
  <c r="AL87"/>
  <c r="AK87"/>
  <c r="B87"/>
  <c r="AM86"/>
  <c r="AL86"/>
  <c r="AK86"/>
  <c r="B86"/>
  <c r="AM85"/>
  <c r="AL85"/>
  <c r="AK85"/>
  <c r="B85"/>
  <c r="AM84"/>
  <c r="AL84"/>
  <c r="AK84"/>
  <c r="B84"/>
  <c r="AM83"/>
  <c r="AL83"/>
  <c r="AK83"/>
  <c r="B83"/>
  <c r="AM82"/>
  <c r="AL82"/>
  <c r="AK82"/>
  <c r="B82"/>
  <c r="AM81"/>
  <c r="AL81"/>
  <c r="AK81"/>
  <c r="B81"/>
  <c r="AM80"/>
  <c r="AL80"/>
  <c r="AK80"/>
  <c r="B80"/>
  <c r="AM79"/>
  <c r="AL79"/>
  <c r="AK79"/>
  <c r="B79"/>
  <c r="AM78"/>
  <c r="AL78"/>
  <c r="AK78"/>
  <c r="B78"/>
  <c r="AM77"/>
  <c r="AL77"/>
  <c r="AK77"/>
  <c r="B77"/>
  <c r="AM76"/>
  <c r="AL76"/>
  <c r="AK76"/>
  <c r="B76"/>
  <c r="AM75"/>
  <c r="AL75"/>
  <c r="AK75"/>
  <c r="B75"/>
  <c r="AM74"/>
  <c r="AL74"/>
  <c r="AK74"/>
  <c r="B74"/>
  <c r="AM73"/>
  <c r="AL73"/>
  <c r="AK73"/>
  <c r="B73"/>
  <c r="AM72"/>
  <c r="AL72"/>
  <c r="AK72"/>
  <c r="B72"/>
  <c r="AM71"/>
  <c r="AL71"/>
  <c r="AK71"/>
  <c r="B71"/>
  <c r="AM70"/>
  <c r="AL70"/>
  <c r="AK70"/>
  <c r="B70"/>
  <c r="AM69"/>
  <c r="AL69"/>
  <c r="AK69"/>
  <c r="B69"/>
  <c r="AM68"/>
  <c r="AL68"/>
  <c r="AK68"/>
  <c r="B68"/>
  <c r="AM67"/>
  <c r="AL67"/>
  <c r="AK67"/>
  <c r="B67"/>
  <c r="AM66"/>
  <c r="AL66"/>
  <c r="AK66"/>
  <c r="B66"/>
  <c r="AM65"/>
  <c r="AL65"/>
  <c r="AK65"/>
  <c r="B65"/>
  <c r="AM64"/>
  <c r="AL64"/>
  <c r="AK64"/>
  <c r="B64"/>
  <c r="AM63"/>
  <c r="AL63"/>
  <c r="AK63"/>
  <c r="B63"/>
  <c r="AM62"/>
  <c r="AL62"/>
  <c r="AK62"/>
  <c r="B62"/>
  <c r="AM61"/>
  <c r="AL61"/>
  <c r="AK61"/>
  <c r="B61"/>
  <c r="AM60"/>
  <c r="AL60"/>
  <c r="AK60"/>
  <c r="B60"/>
  <c r="AM59"/>
  <c r="AL59"/>
  <c r="AK59"/>
  <c r="B59"/>
  <c r="AM58"/>
  <c r="AL58"/>
  <c r="AK58"/>
  <c r="B58"/>
  <c r="AM57"/>
  <c r="AL57"/>
  <c r="AK57"/>
  <c r="B57"/>
  <c r="AM56"/>
  <c r="AL56"/>
  <c r="AK56"/>
  <c r="B56"/>
  <c r="AM55"/>
  <c r="AL55"/>
  <c r="AK55"/>
  <c r="B55"/>
  <c r="AM54"/>
  <c r="AL54"/>
  <c r="AK54"/>
  <c r="B54"/>
  <c r="AM53"/>
  <c r="AL53"/>
  <c r="AK53"/>
  <c r="B53"/>
  <c r="AM52"/>
  <c r="AL52"/>
  <c r="AK52"/>
  <c r="B52"/>
  <c r="AM51"/>
  <c r="AL51"/>
  <c r="AK51"/>
  <c r="B51"/>
  <c r="AM50"/>
  <c r="AL50"/>
  <c r="AK50"/>
  <c r="B50"/>
  <c r="AM49"/>
  <c r="AL49"/>
  <c r="AK49"/>
  <c r="B49"/>
  <c r="AM48"/>
  <c r="AL48"/>
  <c r="AK48"/>
  <c r="B48"/>
  <c r="AM47"/>
  <c r="AL47"/>
  <c r="AK47"/>
  <c r="B47"/>
  <c r="AM46"/>
  <c r="AL46"/>
  <c r="AK46"/>
  <c r="B46"/>
  <c r="AM45"/>
  <c r="AL45"/>
  <c r="AK45"/>
  <c r="B45"/>
  <c r="AM44"/>
  <c r="AL44"/>
  <c r="AK44"/>
  <c r="B44"/>
  <c r="AM43"/>
  <c r="AL43"/>
  <c r="AK43"/>
  <c r="B43"/>
  <c r="AM42"/>
  <c r="AL42"/>
  <c r="AK42"/>
  <c r="B42"/>
  <c r="AM41"/>
  <c r="AL41"/>
  <c r="AK41"/>
  <c r="B41"/>
  <c r="AM40"/>
  <c r="AL40"/>
  <c r="AK40"/>
  <c r="B40"/>
  <c r="AM39"/>
  <c r="AL39"/>
  <c r="AK39"/>
  <c r="B39"/>
  <c r="AM38"/>
  <c r="AL38"/>
  <c r="AK38"/>
  <c r="B38"/>
  <c r="AM37"/>
  <c r="AL37"/>
  <c r="AK37"/>
  <c r="B37"/>
  <c r="AM36"/>
  <c r="AL36"/>
  <c r="AK36"/>
  <c r="B36"/>
  <c r="AM35"/>
  <c r="AL35"/>
  <c r="AK35"/>
  <c r="B35"/>
  <c r="AM34"/>
  <c r="AL34"/>
  <c r="AK34"/>
  <c r="B34"/>
  <c r="AM33"/>
  <c r="AL33"/>
  <c r="AK33"/>
  <c r="B33"/>
  <c r="AM32"/>
  <c r="AL32"/>
  <c r="AK32"/>
  <c r="B32"/>
  <c r="AM31"/>
  <c r="AL31"/>
  <c r="AK31"/>
  <c r="B31"/>
  <c r="AM30"/>
  <c r="AL30"/>
  <c r="AK30"/>
  <c r="B30"/>
  <c r="AM29"/>
  <c r="AL29"/>
  <c r="AK29"/>
  <c r="B29"/>
  <c r="AM28"/>
  <c r="AL28"/>
  <c r="AK28"/>
  <c r="B28"/>
  <c r="AM27"/>
  <c r="AL27"/>
  <c r="AK27"/>
  <c r="B27"/>
  <c r="AM26"/>
  <c r="AL26"/>
  <c r="AK26"/>
  <c r="B26"/>
  <c r="AM25"/>
  <c r="AL25"/>
  <c r="AK25"/>
  <c r="B25"/>
  <c r="AM24"/>
  <c r="AL24"/>
  <c r="AK24"/>
  <c r="B24"/>
  <c r="AM23"/>
  <c r="AL23"/>
  <c r="AK23"/>
  <c r="B23"/>
  <c r="AM22"/>
  <c r="AL22"/>
  <c r="AK22"/>
  <c r="B22"/>
  <c r="AM21"/>
  <c r="AL21"/>
  <c r="AK21"/>
  <c r="B21"/>
  <c r="AM20"/>
  <c r="AL20"/>
  <c r="AK20"/>
  <c r="B20"/>
  <c r="AM19"/>
  <c r="AL19"/>
  <c r="AK19"/>
  <c r="B19"/>
  <c r="AM18"/>
  <c r="AL18"/>
  <c r="AK18"/>
  <c r="B18"/>
  <c r="AM17"/>
  <c r="AL17"/>
  <c r="AK17"/>
  <c r="B17"/>
  <c r="AM16"/>
  <c r="AL16"/>
  <c r="AK16"/>
  <c r="B16"/>
  <c r="AM15"/>
  <c r="AL15"/>
  <c r="AK15"/>
  <c r="B15"/>
  <c r="AM14"/>
  <c r="AL14"/>
  <c r="AK14"/>
  <c r="B14"/>
  <c r="AM13"/>
  <c r="AL13"/>
  <c r="AK13"/>
  <c r="B13"/>
  <c r="AM12"/>
  <c r="AL12"/>
  <c r="AK12"/>
  <c r="B12"/>
  <c r="AM11"/>
  <c r="AL11"/>
  <c r="AK11"/>
  <c r="B11"/>
  <c r="AM10"/>
  <c r="AL10"/>
  <c r="AK10"/>
  <c r="B10"/>
  <c r="AM9"/>
  <c r="AL9"/>
  <c r="AK9"/>
  <c r="B9"/>
  <c r="P6" i="10" l="1"/>
  <c r="AM8" i="7"/>
  <c r="AL8"/>
  <c r="AK8"/>
  <c r="B8"/>
  <c r="AM7"/>
  <c r="AL7"/>
  <c r="AK7"/>
  <c r="B7"/>
  <c r="AM6"/>
  <c r="AL6"/>
  <c r="J7" i="10" l="1"/>
  <c r="Q6"/>
  <c r="AK6" i="7"/>
  <c r="B6"/>
  <c r="AJ4"/>
  <c r="K7" i="10" l="1"/>
  <c r="L7" l="1"/>
  <c r="M7" l="1"/>
  <c r="B3" i="7"/>
  <c r="B315" i="2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1"/>
  <c r="B240"/>
  <c r="B239"/>
  <c r="B238"/>
  <c r="B237"/>
  <c r="B236"/>
  <c r="B235"/>
  <c r="B234"/>
  <c r="B233"/>
  <c r="B232"/>
  <c r="N7" i="10" l="1"/>
  <c r="B231" i="2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0"/>
  <c r="B179"/>
  <c r="B178"/>
  <c r="B177"/>
  <c r="B176"/>
  <c r="B173"/>
  <c r="B172"/>
  <c r="B171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AJ4"/>
  <c r="O7" i="10" l="1"/>
  <c r="P7" l="1"/>
  <c r="J8" l="1"/>
  <c r="Q7"/>
  <c r="K8" l="1"/>
  <c r="B2" i="2"/>
  <c r="J3" l="1"/>
  <c r="J2" s="1"/>
  <c r="N3"/>
  <c r="R3"/>
  <c r="R2" s="1"/>
  <c r="V3"/>
  <c r="Z3"/>
  <c r="Z2" s="1"/>
  <c r="AD3"/>
  <c r="AD2" s="1"/>
  <c r="AH3"/>
  <c r="AH2" s="1"/>
  <c r="S3"/>
  <c r="I3"/>
  <c r="M3"/>
  <c r="Q3"/>
  <c r="U3"/>
  <c r="Y3"/>
  <c r="Y2" s="1"/>
  <c r="AC3"/>
  <c r="AC2" s="1"/>
  <c r="AG3"/>
  <c r="AG2" s="1"/>
  <c r="O3"/>
  <c r="AE3"/>
  <c r="AE2" s="1"/>
  <c r="H3"/>
  <c r="H2" s="1"/>
  <c r="L3"/>
  <c r="P3"/>
  <c r="T3"/>
  <c r="T2" s="1"/>
  <c r="X3"/>
  <c r="X2" s="1"/>
  <c r="AB3"/>
  <c r="AB2" s="1"/>
  <c r="AF3"/>
  <c r="AF2" s="1"/>
  <c r="K3"/>
  <c r="AA3"/>
  <c r="AA2" s="1"/>
  <c r="G3"/>
  <c r="G2" s="1"/>
  <c r="W3"/>
  <c r="D3"/>
  <c r="F3"/>
  <c r="E3"/>
  <c r="L8" i="10"/>
  <c r="C315" i="18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A183"/>
  <c r="A182"/>
  <c r="C180"/>
  <c r="C179"/>
  <c r="C178"/>
  <c r="C177"/>
  <c r="C176"/>
  <c r="A176"/>
  <c r="A175"/>
  <c r="C173"/>
  <c r="C172"/>
  <c r="C171"/>
  <c r="A171"/>
  <c r="A170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A172" l="1"/>
  <c r="A184"/>
  <c r="A177"/>
  <c r="I2" i="2"/>
  <c r="S2"/>
  <c r="Q2"/>
  <c r="M8" i="10"/>
  <c r="F2" i="2"/>
  <c r="E2" s="1"/>
  <c r="W2"/>
  <c r="V2" s="1"/>
  <c r="U2" s="1"/>
  <c r="AJ3"/>
  <c r="D2"/>
  <c r="P2"/>
  <c r="O2" s="1"/>
  <c r="N2" s="1"/>
  <c r="M2" s="1"/>
  <c r="L2" s="1"/>
  <c r="K2" s="1"/>
  <c r="C140" i="18"/>
  <c r="A140"/>
  <c r="A139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A141" l="1"/>
  <c r="N8" i="10"/>
  <c r="C8" i="18"/>
  <c r="C7"/>
  <c r="C6"/>
  <c r="A6"/>
  <c r="L5"/>
  <c r="A5"/>
  <c r="F2"/>
  <c r="H1"/>
  <c r="G1"/>
  <c r="A7" l="1"/>
  <c r="O8" i="10"/>
  <c r="E37" i="6"/>
  <c r="D37"/>
  <c r="C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N8" i="18" l="1"/>
  <c r="N9" s="1"/>
  <c r="P8" i="10"/>
  <c r="A20" i="6"/>
  <c r="G19"/>
  <c r="A19"/>
  <c r="G18"/>
  <c r="J9" i="10" l="1"/>
  <c r="Q8"/>
  <c r="A18" i="6"/>
  <c r="G17"/>
  <c r="A17"/>
  <c r="G16"/>
  <c r="A16"/>
  <c r="G15"/>
  <c r="K9" i="10" l="1"/>
  <c r="A15" i="6"/>
  <c r="G14"/>
  <c r="A14"/>
  <c r="G13"/>
  <c r="A13"/>
  <c r="L9" i="10" l="1"/>
  <c r="G12" i="6"/>
  <c r="M9" i="10" l="1"/>
  <c r="A12" i="6"/>
  <c r="G11"/>
  <c r="A11"/>
  <c r="G10"/>
  <c r="A10"/>
  <c r="G9"/>
  <c r="A9"/>
  <c r="G8"/>
  <c r="A8"/>
  <c r="G7"/>
  <c r="A7"/>
  <c r="N9" i="10" l="1"/>
  <c r="G6" i="6"/>
  <c r="O9" i="10" l="1"/>
  <c r="I23" i="6"/>
  <c r="I22"/>
  <c r="I21"/>
  <c r="I36"/>
  <c r="I35"/>
  <c r="I34"/>
  <c r="I33"/>
  <c r="I32"/>
  <c r="I31"/>
  <c r="I30"/>
  <c r="I29"/>
  <c r="I28"/>
  <c r="I27"/>
  <c r="I26"/>
  <c r="I25"/>
  <c r="I24"/>
  <c r="I20"/>
  <c r="I18"/>
  <c r="I19"/>
  <c r="I17"/>
  <c r="I16"/>
  <c r="I15"/>
  <c r="I13"/>
  <c r="I14"/>
  <c r="I12"/>
  <c r="I11"/>
  <c r="I10"/>
  <c r="I8"/>
  <c r="I7"/>
  <c r="I6"/>
  <c r="I9"/>
  <c r="A6"/>
  <c r="A37" s="1"/>
  <c r="P9" i="10" l="1"/>
  <c r="B3" i="6"/>
  <c r="A5" s="1"/>
  <c r="A4" s="1"/>
  <c r="C3" s="1"/>
  <c r="A3" s="1"/>
  <c r="A2" s="1"/>
  <c r="J10" i="10" l="1"/>
  <c r="Q9"/>
  <c r="T6" i="19"/>
  <c r="K10" i="10" l="1"/>
  <c r="J3"/>
  <c r="J11"/>
  <c r="T5" i="19"/>
  <c r="T2"/>
  <c r="M32" i="22"/>
  <c r="M31"/>
  <c r="M29"/>
  <c r="M26"/>
  <c r="M25"/>
  <c r="M24"/>
  <c r="M22"/>
  <c r="M19"/>
  <c r="M18"/>
  <c r="M17"/>
  <c r="M15"/>
  <c r="M12"/>
  <c r="M11"/>
  <c r="M10"/>
  <c r="M8"/>
  <c r="M5"/>
  <c r="M4"/>
  <c r="M3"/>
  <c r="L10" i="10" l="1"/>
  <c r="K11"/>
  <c r="K3"/>
  <c r="M10" l="1"/>
  <c r="L3"/>
  <c r="L11"/>
  <c r="N10" l="1"/>
  <c r="M3"/>
  <c r="M11"/>
  <c r="AI2" i="7" s="1"/>
  <c r="O10" i="10" l="1"/>
  <c r="N3"/>
  <c r="N11"/>
  <c r="P10" l="1"/>
  <c r="O11"/>
  <c r="O3"/>
  <c r="C14" l="1"/>
  <c r="P3"/>
  <c r="P11"/>
  <c r="Q10"/>
  <c r="Q11" s="1"/>
  <c r="C5" l="1" a="1"/>
  <c r="C5" s="1"/>
  <c r="AH3" i="15"/>
  <c r="AJ3" i="7"/>
  <c r="AI3" i="2"/>
  <c r="A332" s="1"/>
  <c r="H36" i="6"/>
  <c r="F36" s="1"/>
  <c r="H35"/>
  <c r="F35" s="1"/>
  <c r="H33"/>
  <c r="F33" s="1"/>
  <c r="H30"/>
  <c r="F30" s="1"/>
  <c r="H29"/>
  <c r="F29" s="1"/>
  <c r="H28"/>
  <c r="F28" s="1"/>
  <c r="H26"/>
  <c r="F26" s="1"/>
  <c r="H23"/>
  <c r="F23" s="1"/>
  <c r="H22"/>
  <c r="F22" s="1"/>
  <c r="H21"/>
  <c r="F21" s="1"/>
  <c r="H19"/>
  <c r="F19" s="1"/>
  <c r="H16"/>
  <c r="F16" s="1"/>
  <c r="H15"/>
  <c r="F15" s="1"/>
  <c r="H14"/>
  <c r="F14" s="1"/>
  <c r="H12"/>
  <c r="F12" s="1"/>
  <c r="H9"/>
  <c r="F9" s="1"/>
  <c r="H8"/>
  <c r="F8" s="1"/>
  <c r="H7"/>
  <c r="F7" s="1"/>
  <c r="AI335" i="2" l="1"/>
  <c r="AI339"/>
  <c r="AJ339" s="1"/>
  <c r="AI343"/>
  <c r="AI347"/>
  <c r="AI334"/>
  <c r="AJ334" s="1"/>
  <c r="AI338"/>
  <c r="AJ338" s="1"/>
  <c r="AI342"/>
  <c r="AI346"/>
  <c r="AI333"/>
  <c r="AJ333" s="1"/>
  <c r="AI337"/>
  <c r="AJ337" s="1"/>
  <c r="AI341"/>
  <c r="AJ341" s="1"/>
  <c r="AI345"/>
  <c r="AI332"/>
  <c r="AJ332" s="1"/>
  <c r="AI336"/>
  <c r="AI340"/>
  <c r="AJ340" s="1"/>
  <c r="AI344"/>
  <c r="B3"/>
  <c r="C1" s="1"/>
  <c r="D1" s="1"/>
  <c r="B1" s="1"/>
  <c r="T3" i="19" s="1"/>
  <c r="AN333" i="7"/>
  <c r="AN334"/>
  <c r="AN335"/>
  <c r="AN336"/>
  <c r="AN337"/>
  <c r="AN338"/>
  <c r="AN339"/>
  <c r="AN340"/>
  <c r="AN341"/>
  <c r="AN342"/>
  <c r="AN343"/>
  <c r="AN344"/>
  <c r="AN345"/>
  <c r="AN346"/>
  <c r="AN347"/>
  <c r="AN321"/>
  <c r="AN332"/>
  <c r="A344" i="2"/>
  <c r="A340"/>
  <c r="A336"/>
  <c r="A347"/>
  <c r="A343"/>
  <c r="A339"/>
  <c r="A335"/>
  <c r="A346"/>
  <c r="A342"/>
  <c r="A338"/>
  <c r="A334"/>
  <c r="A345"/>
  <c r="A341"/>
  <c r="A337"/>
  <c r="A333"/>
  <c r="AI327"/>
  <c r="AJ327" s="1"/>
  <c r="AI328"/>
  <c r="AJ328" s="1"/>
  <c r="A327"/>
  <c r="A328"/>
  <c r="AN320" i="7"/>
  <c r="AN325"/>
  <c r="AN329"/>
  <c r="AN319"/>
  <c r="AN324"/>
  <c r="AN328"/>
  <c r="AN318"/>
  <c r="AN323"/>
  <c r="AN327"/>
  <c r="AN322"/>
  <c r="AN326"/>
  <c r="AI321" i="2"/>
  <c r="AJ321" s="1"/>
  <c r="AI320"/>
  <c r="AJ320" s="1"/>
  <c r="A321"/>
  <c r="A320"/>
  <c r="AI323"/>
  <c r="AJ323" s="1"/>
  <c r="AI322"/>
  <c r="AJ322" s="1"/>
  <c r="A323"/>
  <c r="A322"/>
  <c r="AI325"/>
  <c r="AJ325" s="1"/>
  <c r="AI324"/>
  <c r="AJ324" s="1"/>
  <c r="A325"/>
  <c r="A324"/>
  <c r="AI329"/>
  <c r="AJ329" s="1"/>
  <c r="AI326"/>
  <c r="AJ326" s="1"/>
  <c r="A329"/>
  <c r="A326"/>
  <c r="AI319"/>
  <c r="AJ319" s="1"/>
  <c r="AI318"/>
  <c r="AJ318" s="1"/>
  <c r="A319"/>
  <c r="A318"/>
  <c r="C20" i="10"/>
  <c r="B3" i="15"/>
  <c r="A136" i="7"/>
  <c r="A135"/>
  <c r="A134"/>
  <c r="A133"/>
  <c r="A130"/>
  <c r="A129"/>
  <c r="AI3"/>
  <c r="AI347" s="1"/>
  <c r="AJ347" s="1"/>
  <c r="AI315" i="2"/>
  <c r="AI311"/>
  <c r="AI307"/>
  <c r="AI303"/>
  <c r="AI299"/>
  <c r="AI295"/>
  <c r="AI291"/>
  <c r="AI287"/>
  <c r="AI283"/>
  <c r="AI279"/>
  <c r="AI275"/>
  <c r="AI271"/>
  <c r="AI267"/>
  <c r="AI263"/>
  <c r="AI259"/>
  <c r="AI255"/>
  <c r="AI251"/>
  <c r="AI247"/>
  <c r="AI314"/>
  <c r="AI310"/>
  <c r="AI306"/>
  <c r="AI302"/>
  <c r="AI298"/>
  <c r="AI294"/>
  <c r="AI290"/>
  <c r="AI286"/>
  <c r="AI282"/>
  <c r="AI278"/>
  <c r="AI274"/>
  <c r="AI270"/>
  <c r="AI266"/>
  <c r="AI262"/>
  <c r="AI258"/>
  <c r="AI254"/>
  <c r="AI250"/>
  <c r="AI246"/>
  <c r="AI313"/>
  <c r="AI309"/>
  <c r="AI305"/>
  <c r="AI301"/>
  <c r="AI297"/>
  <c r="AI293"/>
  <c r="AI289"/>
  <c r="AI285"/>
  <c r="AI281"/>
  <c r="AI277"/>
  <c r="AI273"/>
  <c r="AI269"/>
  <c r="AI265"/>
  <c r="AI261"/>
  <c r="AI257"/>
  <c r="AI253"/>
  <c r="AI249"/>
  <c r="AI245"/>
  <c r="AI312"/>
  <c r="AI308"/>
  <c r="AI304"/>
  <c r="AI300"/>
  <c r="AI296"/>
  <c r="AI292"/>
  <c r="AI288"/>
  <c r="AI284"/>
  <c r="AI280"/>
  <c r="AI276"/>
  <c r="AI272"/>
  <c r="AI268"/>
  <c r="AI264"/>
  <c r="AI260"/>
  <c r="AI256"/>
  <c r="AI252"/>
  <c r="AI248"/>
  <c r="AI244"/>
  <c r="AI241"/>
  <c r="AI240"/>
  <c r="AI239"/>
  <c r="AI238"/>
  <c r="AI237"/>
  <c r="AI236"/>
  <c r="AI235"/>
  <c r="AI234"/>
  <c r="AI233"/>
  <c r="AI232"/>
  <c r="AI231"/>
  <c r="AI230"/>
  <c r="AI229"/>
  <c r="AI228"/>
  <c r="AI227"/>
  <c r="AI226"/>
  <c r="AI225"/>
  <c r="AI224"/>
  <c r="AI223"/>
  <c r="AI222"/>
  <c r="AI221"/>
  <c r="AI220"/>
  <c r="AI219"/>
  <c r="AI218"/>
  <c r="AI217"/>
  <c r="AI216"/>
  <c r="AI215"/>
  <c r="AI214"/>
  <c r="AI213"/>
  <c r="AI212"/>
  <c r="AI211"/>
  <c r="AI210"/>
  <c r="AI209"/>
  <c r="AI208"/>
  <c r="AI207"/>
  <c r="AI206"/>
  <c r="AI205"/>
  <c r="AI204"/>
  <c r="AI203"/>
  <c r="AI202"/>
  <c r="AI201"/>
  <c r="AI200"/>
  <c r="AI199"/>
  <c r="AI198"/>
  <c r="AI197"/>
  <c r="AI196"/>
  <c r="AI195"/>
  <c r="AI194"/>
  <c r="AI193"/>
  <c r="AI192"/>
  <c r="AI191"/>
  <c r="AI190"/>
  <c r="AI189"/>
  <c r="AI188"/>
  <c r="AI187"/>
  <c r="AI186"/>
  <c r="AI185"/>
  <c r="AI184"/>
  <c r="AI183"/>
  <c r="AI180"/>
  <c r="AI179"/>
  <c r="AI178"/>
  <c r="AI177"/>
  <c r="AI176"/>
  <c r="AI173"/>
  <c r="AI172"/>
  <c r="AI171"/>
  <c r="AI168"/>
  <c r="AI167"/>
  <c r="AI166"/>
  <c r="AI165"/>
  <c r="AI164"/>
  <c r="AI163"/>
  <c r="AI162"/>
  <c r="AI161"/>
  <c r="AI160"/>
  <c r="AI159"/>
  <c r="AI158"/>
  <c r="AI157"/>
  <c r="AI156"/>
  <c r="AI155"/>
  <c r="AI154"/>
  <c r="AI153"/>
  <c r="AI152"/>
  <c r="AI151"/>
  <c r="AI150"/>
  <c r="AI149"/>
  <c r="AI148"/>
  <c r="AI147"/>
  <c r="AI146"/>
  <c r="AI145"/>
  <c r="AI144"/>
  <c r="AI143"/>
  <c r="AI142"/>
  <c r="AI141"/>
  <c r="AI140"/>
  <c r="AI137"/>
  <c r="AI136"/>
  <c r="AI135"/>
  <c r="AI134"/>
  <c r="AI133"/>
  <c r="AI132"/>
  <c r="AI131"/>
  <c r="AI130"/>
  <c r="AI129"/>
  <c r="AI128"/>
  <c r="AI127"/>
  <c r="AI126"/>
  <c r="AI125"/>
  <c r="AI124"/>
  <c r="AI123"/>
  <c r="AI122"/>
  <c r="AI121"/>
  <c r="AI120"/>
  <c r="AI119"/>
  <c r="AI118"/>
  <c r="AI117"/>
  <c r="AI116"/>
  <c r="AI115"/>
  <c r="AI114"/>
  <c r="AI113"/>
  <c r="AI112"/>
  <c r="AI111"/>
  <c r="AI110"/>
  <c r="AI109"/>
  <c r="AI108"/>
  <c r="AI107"/>
  <c r="AI106"/>
  <c r="AI105"/>
  <c r="AI104"/>
  <c r="AI103"/>
  <c r="AI102"/>
  <c r="AI101"/>
  <c r="AI100"/>
  <c r="AI99"/>
  <c r="AI98"/>
  <c r="AI97"/>
  <c r="AI96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C4" i="18"/>
  <c r="K8" i="6"/>
  <c r="B6" i="22"/>
  <c r="AN315" i="7"/>
  <c r="AN314"/>
  <c r="AN313"/>
  <c r="AN312"/>
  <c r="AN311"/>
  <c r="AN310"/>
  <c r="AN309"/>
  <c r="AN308"/>
  <c r="AN307"/>
  <c r="AN306"/>
  <c r="AN305"/>
  <c r="AN304"/>
  <c r="AN303"/>
  <c r="AN302"/>
  <c r="AN301"/>
  <c r="AN300"/>
  <c r="AN299"/>
  <c r="AN298"/>
  <c r="AN297"/>
  <c r="AN296"/>
  <c r="AN295"/>
  <c r="AN294"/>
  <c r="AN293"/>
  <c r="AN292"/>
  <c r="AN291"/>
  <c r="AN290"/>
  <c r="AN289"/>
  <c r="AN288"/>
  <c r="AN287"/>
  <c r="AN286"/>
  <c r="AN285"/>
  <c r="AN284"/>
  <c r="AN283"/>
  <c r="AN282"/>
  <c r="AN281"/>
  <c r="AN280"/>
  <c r="AN279"/>
  <c r="AN278"/>
  <c r="AN277"/>
  <c r="AN276"/>
  <c r="AN275"/>
  <c r="AN274"/>
  <c r="AN273"/>
  <c r="AN272"/>
  <c r="AN271"/>
  <c r="AN270"/>
  <c r="AN269"/>
  <c r="AN268"/>
  <c r="AN267"/>
  <c r="AN266"/>
  <c r="AN265"/>
  <c r="AN264"/>
  <c r="AN263"/>
  <c r="AN262"/>
  <c r="AN261"/>
  <c r="AN260"/>
  <c r="AN259"/>
  <c r="AN258"/>
  <c r="AN257"/>
  <c r="AN256"/>
  <c r="AN255"/>
  <c r="AN254"/>
  <c r="AN253"/>
  <c r="AN249"/>
  <c r="AN247"/>
  <c r="AN245"/>
  <c r="AN244"/>
  <c r="AN252"/>
  <c r="AN251"/>
  <c r="AN250"/>
  <c r="AN248"/>
  <c r="AN246"/>
  <c r="AN241"/>
  <c r="AN240"/>
  <c r="AN239"/>
  <c r="AN238"/>
  <c r="AN237"/>
  <c r="AN236"/>
  <c r="AN235"/>
  <c r="AN234"/>
  <c r="AN233"/>
  <c r="AN232"/>
  <c r="AN231"/>
  <c r="AN230"/>
  <c r="AN229"/>
  <c r="AN228"/>
  <c r="AN227"/>
  <c r="AN226"/>
  <c r="AN225"/>
  <c r="AN224"/>
  <c r="AN223"/>
  <c r="AN222"/>
  <c r="AN221"/>
  <c r="AN220"/>
  <c r="AN219"/>
  <c r="AN218"/>
  <c r="AN217"/>
  <c r="AN216"/>
  <c r="AN215"/>
  <c r="AN214"/>
  <c r="AN213"/>
  <c r="AN212"/>
  <c r="AN211"/>
  <c r="AN210"/>
  <c r="AN209"/>
  <c r="AN208"/>
  <c r="AN207"/>
  <c r="AN204"/>
  <c r="AN201"/>
  <c r="AN200"/>
  <c r="AN206"/>
  <c r="AN205"/>
  <c r="AN203"/>
  <c r="AN202"/>
  <c r="AN199"/>
  <c r="AN56"/>
  <c r="AN55"/>
  <c r="AN54"/>
  <c r="AN52"/>
  <c r="AN50"/>
  <c r="AN46"/>
  <c r="AN43"/>
  <c r="AN40"/>
  <c r="AN38"/>
  <c r="AN35"/>
  <c r="AN29"/>
  <c r="AN27"/>
  <c r="AN23"/>
  <c r="AN21"/>
  <c r="AN20"/>
  <c r="AN18"/>
  <c r="AN16"/>
  <c r="AN15"/>
  <c r="AN13"/>
  <c r="AN11"/>
  <c r="AN10"/>
  <c r="AN198"/>
  <c r="AN197"/>
  <c r="AN196"/>
  <c r="AN195"/>
  <c r="AN194"/>
  <c r="AN193"/>
  <c r="AN192"/>
  <c r="AN191"/>
  <c r="AN190"/>
  <c r="AN189"/>
  <c r="AN188"/>
  <c r="AN187"/>
  <c r="AN186"/>
  <c r="AN185"/>
  <c r="AN184"/>
  <c r="AN183"/>
  <c r="AN180"/>
  <c r="AN179"/>
  <c r="AN178"/>
  <c r="AN177"/>
  <c r="AN176"/>
  <c r="AN173"/>
  <c r="AN172"/>
  <c r="AN171"/>
  <c r="AN168"/>
  <c r="AN167"/>
  <c r="AN166"/>
  <c r="AN165"/>
  <c r="AN164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5"/>
  <c r="AN144"/>
  <c r="AN143"/>
  <c r="AN142"/>
  <c r="AN141"/>
  <c r="AN140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3"/>
  <c r="AN51"/>
  <c r="AN49"/>
  <c r="AN48"/>
  <c r="AN47"/>
  <c r="AN45"/>
  <c r="AN44"/>
  <c r="AN42"/>
  <c r="AN41"/>
  <c r="AN39"/>
  <c r="AN37"/>
  <c r="AN36"/>
  <c r="AN34"/>
  <c r="AN33"/>
  <c r="AN32"/>
  <c r="AN31"/>
  <c r="AN30"/>
  <c r="AN28"/>
  <c r="AN26"/>
  <c r="AN25"/>
  <c r="AN24"/>
  <c r="AN22"/>
  <c r="AN19"/>
  <c r="AN17"/>
  <c r="AN14"/>
  <c r="AN12"/>
  <c r="AN9"/>
  <c r="AN8"/>
  <c r="AN7"/>
  <c r="AN6"/>
  <c r="A313" i="2"/>
  <c r="A309"/>
  <c r="A305"/>
  <c r="A301"/>
  <c r="A297"/>
  <c r="A293"/>
  <c r="A289"/>
  <c r="A285"/>
  <c r="A281"/>
  <c r="A277"/>
  <c r="A273"/>
  <c r="A269"/>
  <c r="A265"/>
  <c r="A261"/>
  <c r="A257"/>
  <c r="A253"/>
  <c r="A249"/>
  <c r="A245"/>
  <c r="A312"/>
  <c r="A308"/>
  <c r="A304"/>
  <c r="A300"/>
  <c r="A296"/>
  <c r="A292"/>
  <c r="A288"/>
  <c r="A284"/>
  <c r="A280"/>
  <c r="A276"/>
  <c r="A272"/>
  <c r="A268"/>
  <c r="A264"/>
  <c r="A260"/>
  <c r="A256"/>
  <c r="A252"/>
  <c r="A248"/>
  <c r="A244"/>
  <c r="A241"/>
  <c r="A240"/>
  <c r="A239"/>
  <c r="A238"/>
  <c r="A237"/>
  <c r="A236"/>
  <c r="A235"/>
  <c r="A234"/>
  <c r="A233"/>
  <c r="A232"/>
  <c r="A315"/>
  <c r="A311"/>
  <c r="A307"/>
  <c r="A303"/>
  <c r="A299"/>
  <c r="A295"/>
  <c r="A291"/>
  <c r="A287"/>
  <c r="A283"/>
  <c r="A279"/>
  <c r="A275"/>
  <c r="A271"/>
  <c r="A267"/>
  <c r="A263"/>
  <c r="A259"/>
  <c r="A255"/>
  <c r="A251"/>
  <c r="A247"/>
  <c r="A314"/>
  <c r="A310"/>
  <c r="A306"/>
  <c r="A302"/>
  <c r="A298"/>
  <c r="A294"/>
  <c r="A290"/>
  <c r="A286"/>
  <c r="A282"/>
  <c r="A278"/>
  <c r="A274"/>
  <c r="A270"/>
  <c r="A266"/>
  <c r="A262"/>
  <c r="A258"/>
  <c r="A254"/>
  <c r="A250"/>
  <c r="A246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0"/>
  <c r="A179"/>
  <c r="A178"/>
  <c r="A177"/>
  <c r="A176"/>
  <c r="A173"/>
  <c r="A172"/>
  <c r="A171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I336" i="7" l="1"/>
  <c r="AJ336" s="1"/>
  <c r="AI342"/>
  <c r="AJ342" s="1"/>
  <c r="AI337"/>
  <c r="AJ337" s="1"/>
  <c r="AI335"/>
  <c r="AJ335" s="1"/>
  <c r="AI340"/>
  <c r="AJ340" s="1"/>
  <c r="AI346"/>
  <c r="AJ346" s="1"/>
  <c r="AI345"/>
  <c r="AJ345" s="1"/>
  <c r="AI339"/>
  <c r="AJ339" s="1"/>
  <c r="AI344"/>
  <c r="AJ344" s="1"/>
  <c r="AI341"/>
  <c r="AJ341" s="1"/>
  <c r="AI334"/>
  <c r="AJ334" s="1"/>
  <c r="AI343"/>
  <c r="AJ343" s="1"/>
  <c r="AI333"/>
  <c r="AJ333" s="1"/>
  <c r="AI332"/>
  <c r="D332" i="18" s="1"/>
  <c r="AI338" i="7"/>
  <c r="AJ338" s="1"/>
  <c r="AJ335" i="2"/>
  <c r="AJ342"/>
  <c r="AJ343"/>
  <c r="AJ344"/>
  <c r="AJ345"/>
  <c r="AJ346"/>
  <c r="D347" i="18"/>
  <c r="AJ347" i="2"/>
  <c r="AJ336"/>
  <c r="AJ244"/>
  <c r="AJ260"/>
  <c r="AJ276"/>
  <c r="AJ292"/>
  <c r="AJ308"/>
  <c r="A332" i="7"/>
  <c r="A333"/>
  <c r="A347"/>
  <c r="A346"/>
  <c r="A345"/>
  <c r="A343"/>
  <c r="A342"/>
  <c r="A341"/>
  <c r="A340"/>
  <c r="A339"/>
  <c r="A337"/>
  <c r="A335"/>
  <c r="A344"/>
  <c r="A338"/>
  <c r="A336"/>
  <c r="A334"/>
  <c r="AJ248" i="2"/>
  <c r="AJ264"/>
  <c r="AJ280"/>
  <c r="AJ296"/>
  <c r="AJ312"/>
  <c r="AJ256"/>
  <c r="AJ272"/>
  <c r="AJ288"/>
  <c r="AJ304"/>
  <c r="A176" i="7"/>
  <c r="D2"/>
  <c r="AJ252" i="2"/>
  <c r="AJ268"/>
  <c r="AJ284"/>
  <c r="AJ300"/>
  <c r="AI321" i="7"/>
  <c r="D321" i="18" s="1"/>
  <c r="A321" i="7"/>
  <c r="AI329"/>
  <c r="AI320"/>
  <c r="AI325"/>
  <c r="AI6"/>
  <c r="D6" i="18" s="1"/>
  <c r="A329" i="7"/>
  <c r="A328"/>
  <c r="A327"/>
  <c r="A326"/>
  <c r="A325"/>
  <c r="A324"/>
  <c r="A323"/>
  <c r="A322"/>
  <c r="A320"/>
  <c r="A319"/>
  <c r="A318"/>
  <c r="AI319"/>
  <c r="AI324"/>
  <c r="AI328"/>
  <c r="AI318"/>
  <c r="AI323"/>
  <c r="AI327"/>
  <c r="AI322"/>
  <c r="AI326"/>
  <c r="AJ259" i="2"/>
  <c r="AJ275"/>
  <c r="AJ291"/>
  <c r="AJ307"/>
  <c r="AJ257"/>
  <c r="AJ273"/>
  <c r="AJ289"/>
  <c r="AJ305"/>
  <c r="AJ250"/>
  <c r="AJ266"/>
  <c r="AJ282"/>
  <c r="AJ298"/>
  <c r="AJ314"/>
  <c r="AJ245"/>
  <c r="AJ261"/>
  <c r="AJ277"/>
  <c r="AJ293"/>
  <c r="AJ309"/>
  <c r="AJ254"/>
  <c r="AJ270"/>
  <c r="AJ286"/>
  <c r="AJ302"/>
  <c r="AJ247"/>
  <c r="AJ263"/>
  <c r="AJ279"/>
  <c r="AJ295"/>
  <c r="AJ311"/>
  <c r="AJ251"/>
  <c r="AJ267"/>
  <c r="AJ283"/>
  <c r="AJ299"/>
  <c r="AJ249"/>
  <c r="AJ265"/>
  <c r="AJ281"/>
  <c r="AJ297"/>
  <c r="AJ313"/>
  <c r="AJ258"/>
  <c r="AJ274"/>
  <c r="AJ290"/>
  <c r="AJ306"/>
  <c r="AJ253"/>
  <c r="AJ269"/>
  <c r="AJ285"/>
  <c r="AJ301"/>
  <c r="AJ246"/>
  <c r="AJ262"/>
  <c r="AJ278"/>
  <c r="AJ294"/>
  <c r="AJ310"/>
  <c r="AJ255"/>
  <c r="AJ271"/>
  <c r="AJ287"/>
  <c r="AJ303"/>
  <c r="AJ7"/>
  <c r="C8" i="14" s="1"/>
  <c r="AJ11" i="2"/>
  <c r="C12" i="14" s="1"/>
  <c r="AJ15" i="2"/>
  <c r="C16" i="14" s="1"/>
  <c r="AJ19" i="2"/>
  <c r="C20" i="14" s="1"/>
  <c r="AJ23" i="2"/>
  <c r="C24" i="14" s="1"/>
  <c r="AJ27" i="2"/>
  <c r="C28" i="14" s="1"/>
  <c r="AJ31" i="2"/>
  <c r="C32" i="14" s="1"/>
  <c r="AJ35" i="2"/>
  <c r="C36" i="14" s="1"/>
  <c r="AJ39" i="2"/>
  <c r="C40" i="14" s="1"/>
  <c r="AJ43" i="2"/>
  <c r="C44" i="14" s="1"/>
  <c r="AJ47" i="2"/>
  <c r="C48" i="14" s="1"/>
  <c r="AJ51" i="2"/>
  <c r="C52" i="14" s="1"/>
  <c r="AJ55" i="2"/>
  <c r="C56" i="14" s="1"/>
  <c r="AJ59" i="2"/>
  <c r="C60" i="14" s="1"/>
  <c r="AJ63" i="2"/>
  <c r="C64" i="14" s="1"/>
  <c r="AJ67" i="2"/>
  <c r="C68" i="14" s="1"/>
  <c r="AJ71" i="2"/>
  <c r="C72" i="14" s="1"/>
  <c r="AJ75" i="2"/>
  <c r="C76" i="14" s="1"/>
  <c r="AJ79" i="2"/>
  <c r="C80" i="14" s="1"/>
  <c r="AJ83" i="2"/>
  <c r="C84" i="14" s="1"/>
  <c r="AJ87" i="2"/>
  <c r="C88" i="14" s="1"/>
  <c r="AJ91" i="2"/>
  <c r="C92" i="14" s="1"/>
  <c r="AJ95" i="2"/>
  <c r="C96" i="14" s="1"/>
  <c r="AJ99" i="2"/>
  <c r="C100" i="14" s="1"/>
  <c r="AJ103" i="2"/>
  <c r="C104" i="14" s="1"/>
  <c r="AJ107" i="2"/>
  <c r="C108" i="14" s="1"/>
  <c r="AJ111" i="2"/>
  <c r="C112" i="14" s="1"/>
  <c r="AJ115" i="2"/>
  <c r="C116" i="14" s="1"/>
  <c r="AJ119" i="2"/>
  <c r="C120" i="14" s="1"/>
  <c r="AJ123" i="2"/>
  <c r="C124" i="14" s="1"/>
  <c r="AJ127" i="2"/>
  <c r="C128" i="14" s="1"/>
  <c r="AJ131" i="2"/>
  <c r="AJ135"/>
  <c r="AJ141"/>
  <c r="C142" i="14" s="1"/>
  <c r="AJ145" i="2"/>
  <c r="C146" i="14" s="1"/>
  <c r="AJ149" i="2"/>
  <c r="C150" i="14" s="1"/>
  <c r="AJ153" i="2"/>
  <c r="C154" i="14" s="1"/>
  <c r="AJ157" i="2"/>
  <c r="C158" i="14" s="1"/>
  <c r="AJ161" i="2"/>
  <c r="C162" i="14" s="1"/>
  <c r="AJ165" i="2"/>
  <c r="C166" i="14" s="1"/>
  <c r="AJ171" i="2"/>
  <c r="C172" i="14" s="1"/>
  <c r="AJ177" i="2"/>
  <c r="C178" i="14" s="1"/>
  <c r="AJ183" i="2"/>
  <c r="C184" i="14" s="1"/>
  <c r="AJ187" i="2"/>
  <c r="C188" i="14" s="1"/>
  <c r="AJ191" i="2"/>
  <c r="C192" i="14" s="1"/>
  <c r="AJ195" i="2"/>
  <c r="C196" i="14" s="1"/>
  <c r="AJ199" i="2"/>
  <c r="C200" i="14" s="1"/>
  <c r="AJ203" i="2"/>
  <c r="C204" i="14" s="1"/>
  <c r="AJ207" i="2"/>
  <c r="C208" i="14" s="1"/>
  <c r="AJ211" i="2"/>
  <c r="C212" i="14" s="1"/>
  <c r="AJ215" i="2"/>
  <c r="C216" i="14" s="1"/>
  <c r="AJ219" i="2"/>
  <c r="C220" i="14" s="1"/>
  <c r="AJ223" i="2"/>
  <c r="C224" i="14" s="1"/>
  <c r="AJ227" i="2"/>
  <c r="AJ231"/>
  <c r="AJ235"/>
  <c r="AJ239"/>
  <c r="C231" i="14" s="1"/>
  <c r="A315" i="7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0"/>
  <c r="A179"/>
  <c r="A178"/>
  <c r="A177"/>
  <c r="A173"/>
  <c r="A172"/>
  <c r="A171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7"/>
  <c r="A132"/>
  <c r="A131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R2"/>
  <c r="Y2"/>
  <c r="AF2"/>
  <c r="K2"/>
  <c r="AI12"/>
  <c r="AI16"/>
  <c r="AI20"/>
  <c r="AI24"/>
  <c r="AI28"/>
  <c r="AI32"/>
  <c r="AI36"/>
  <c r="AI40"/>
  <c r="AI44"/>
  <c r="AI48"/>
  <c r="AI52"/>
  <c r="AI56"/>
  <c r="AI60"/>
  <c r="AI64"/>
  <c r="AI68"/>
  <c r="AI72"/>
  <c r="AI76"/>
  <c r="AI80"/>
  <c r="AI84"/>
  <c r="AI88"/>
  <c r="AI92"/>
  <c r="AI96"/>
  <c r="AI100"/>
  <c r="AI104"/>
  <c r="AI108"/>
  <c r="AI112"/>
  <c r="AI116"/>
  <c r="AI120"/>
  <c r="AI124"/>
  <c r="AI128"/>
  <c r="AI132"/>
  <c r="AI136"/>
  <c r="AI142"/>
  <c r="AI146"/>
  <c r="AI150"/>
  <c r="AI154"/>
  <c r="AI158"/>
  <c r="AI162"/>
  <c r="AI166"/>
  <c r="AI172"/>
  <c r="AI178"/>
  <c r="AI184"/>
  <c r="AI188"/>
  <c r="AI192"/>
  <c r="AI196"/>
  <c r="AI200"/>
  <c r="AI204"/>
  <c r="AI208"/>
  <c r="AI212"/>
  <c r="AI216"/>
  <c r="AI220"/>
  <c r="AI224"/>
  <c r="AI228"/>
  <c r="AI232"/>
  <c r="AI236"/>
  <c r="AI240"/>
  <c r="AI246"/>
  <c r="AI250"/>
  <c r="AI254"/>
  <c r="AI258"/>
  <c r="AI262"/>
  <c r="AI266"/>
  <c r="AI270"/>
  <c r="AI274"/>
  <c r="AI278"/>
  <c r="AI282"/>
  <c r="AI286"/>
  <c r="AI290"/>
  <c r="AI294"/>
  <c r="AI298"/>
  <c r="AI306"/>
  <c r="AI301"/>
  <c r="AI313"/>
  <c r="AI310"/>
  <c r="AJ6" i="2"/>
  <c r="C7" i="14" s="1"/>
  <c r="AJ10" i="2"/>
  <c r="C11" i="14" s="1"/>
  <c r="AJ14" i="2"/>
  <c r="C15" i="14" s="1"/>
  <c r="AJ18" i="2"/>
  <c r="C19" i="14" s="1"/>
  <c r="AJ22" i="2"/>
  <c r="C23" i="14" s="1"/>
  <c r="AJ26" i="2"/>
  <c r="C27" i="14" s="1"/>
  <c r="AJ30" i="2"/>
  <c r="C31" i="14" s="1"/>
  <c r="AJ34" i="2"/>
  <c r="C35" i="14" s="1"/>
  <c r="AJ38" i="2"/>
  <c r="C39" i="14" s="1"/>
  <c r="AJ42" i="2"/>
  <c r="C43" i="14" s="1"/>
  <c r="AJ46" i="2"/>
  <c r="C47" i="14" s="1"/>
  <c r="AJ50" i="2"/>
  <c r="C51" i="14" s="1"/>
  <c r="AJ54" i="2"/>
  <c r="C55" i="14" s="1"/>
  <c r="AJ58" i="2"/>
  <c r="C59" i="14" s="1"/>
  <c r="AJ62" i="2"/>
  <c r="C63" i="14" s="1"/>
  <c r="AJ66" i="2"/>
  <c r="C67" i="14" s="1"/>
  <c r="AJ70" i="2"/>
  <c r="C71" i="14" s="1"/>
  <c r="AJ74" i="2"/>
  <c r="C75" i="14" s="1"/>
  <c r="AJ78" i="2"/>
  <c r="C79" i="14" s="1"/>
  <c r="AJ82" i="2"/>
  <c r="C83" i="14" s="1"/>
  <c r="AJ86" i="2"/>
  <c r="C87" i="14" s="1"/>
  <c r="AJ90" i="2"/>
  <c r="C91" i="14" s="1"/>
  <c r="AJ94" i="2"/>
  <c r="C95" i="14" s="1"/>
  <c r="AJ98" i="2"/>
  <c r="C99" i="14" s="1"/>
  <c r="AJ102" i="2"/>
  <c r="C103" i="14" s="1"/>
  <c r="AJ106" i="2"/>
  <c r="C107" i="14" s="1"/>
  <c r="AJ110" i="2"/>
  <c r="C111" i="14" s="1"/>
  <c r="AJ114" i="2"/>
  <c r="C115" i="14" s="1"/>
  <c r="AJ118" i="2"/>
  <c r="C119" i="14" s="1"/>
  <c r="AJ122" i="2"/>
  <c r="C123" i="14" s="1"/>
  <c r="AJ126" i="2"/>
  <c r="C127" i="14" s="1"/>
  <c r="AJ130" i="2"/>
  <c r="C130" i="14" s="1"/>
  <c r="AJ134" i="2"/>
  <c r="AJ140"/>
  <c r="C141" i="14" s="1"/>
  <c r="AJ144" i="2"/>
  <c r="C145" i="14" s="1"/>
  <c r="AJ148" i="2"/>
  <c r="C149" i="14" s="1"/>
  <c r="AJ152" i="2"/>
  <c r="C153" i="14" s="1"/>
  <c r="AJ156" i="2"/>
  <c r="C157" i="14" s="1"/>
  <c r="AJ160" i="2"/>
  <c r="C161" i="14" s="1"/>
  <c r="AJ164" i="2"/>
  <c r="C165" i="14" s="1"/>
  <c r="AJ168" i="2"/>
  <c r="C169" i="14" s="1"/>
  <c r="AJ176" i="2"/>
  <c r="C177" i="14" s="1"/>
  <c r="AJ180" i="2"/>
  <c r="C181" i="14" s="1"/>
  <c r="AJ186" i="2"/>
  <c r="C187" i="14" s="1"/>
  <c r="AJ190" i="2"/>
  <c r="C191" i="14" s="1"/>
  <c r="AJ194" i="2"/>
  <c r="C195" i="14" s="1"/>
  <c r="AJ198" i="2"/>
  <c r="C199" i="14" s="1"/>
  <c r="AJ202" i="2"/>
  <c r="C203" i="14" s="1"/>
  <c r="AJ206" i="2"/>
  <c r="C207" i="14" s="1"/>
  <c r="AJ210" i="2"/>
  <c r="C211" i="14" s="1"/>
  <c r="AJ214" i="2"/>
  <c r="C215" i="14" s="1"/>
  <c r="AJ218" i="2"/>
  <c r="C219" i="14" s="1"/>
  <c r="AJ222" i="2"/>
  <c r="C223" i="14" s="1"/>
  <c r="AJ226" i="2"/>
  <c r="AJ230"/>
  <c r="C228" i="14" s="1"/>
  <c r="AJ234" i="2"/>
  <c r="AJ238"/>
  <c r="C230" i="14" s="1"/>
  <c r="AI11" i="7"/>
  <c r="AI15"/>
  <c r="AI19"/>
  <c r="AI23"/>
  <c r="AI27"/>
  <c r="AI31"/>
  <c r="AI35"/>
  <c r="AI39"/>
  <c r="AI43"/>
  <c r="AI47"/>
  <c r="AI51"/>
  <c r="AI55"/>
  <c r="AI59"/>
  <c r="AI63"/>
  <c r="AI67"/>
  <c r="AI71"/>
  <c r="AI75"/>
  <c r="AI79"/>
  <c r="AI83"/>
  <c r="AI87"/>
  <c r="AI91"/>
  <c r="AI95"/>
  <c r="AI99"/>
  <c r="AI103"/>
  <c r="AI107"/>
  <c r="AI111"/>
  <c r="AI115"/>
  <c r="AI119"/>
  <c r="AI123"/>
  <c r="AI127"/>
  <c r="AI131"/>
  <c r="AI135"/>
  <c r="AI141"/>
  <c r="AI145"/>
  <c r="AI149"/>
  <c r="AI153"/>
  <c r="AI157"/>
  <c r="AI161"/>
  <c r="AI165"/>
  <c r="AI171"/>
  <c r="AI177"/>
  <c r="AI183"/>
  <c r="AI187"/>
  <c r="AI191"/>
  <c r="AI195"/>
  <c r="AI199"/>
  <c r="AI203"/>
  <c r="AI207"/>
  <c r="AI211"/>
  <c r="AI215"/>
  <c r="AI219"/>
  <c r="AI223"/>
  <c r="AI227"/>
  <c r="AI231"/>
  <c r="AI235"/>
  <c r="AI239"/>
  <c r="AI245"/>
  <c r="AI249"/>
  <c r="AI253"/>
  <c r="AI257"/>
  <c r="AI261"/>
  <c r="AI265"/>
  <c r="AI269"/>
  <c r="AI273"/>
  <c r="AI277"/>
  <c r="AI281"/>
  <c r="AI285"/>
  <c r="AI289"/>
  <c r="AI293"/>
  <c r="AI297"/>
  <c r="AI303"/>
  <c r="AI315"/>
  <c r="AI311"/>
  <c r="AI308"/>
  <c r="AJ9" i="2"/>
  <c r="C10" i="14" s="1"/>
  <c r="AJ13" i="2"/>
  <c r="C14" i="14" s="1"/>
  <c r="AJ17" i="2"/>
  <c r="C18" i="14" s="1"/>
  <c r="AJ21" i="2"/>
  <c r="C22" i="14" s="1"/>
  <c r="AJ25" i="2"/>
  <c r="C26" i="14" s="1"/>
  <c r="AJ29" i="2"/>
  <c r="C30" i="14" s="1"/>
  <c r="AJ33" i="2"/>
  <c r="C34" i="14" s="1"/>
  <c r="AJ37" i="2"/>
  <c r="C38" i="14" s="1"/>
  <c r="AJ41" i="2"/>
  <c r="C42" i="14" s="1"/>
  <c r="AJ45" i="2"/>
  <c r="C46" i="14" s="1"/>
  <c r="AJ49" i="2"/>
  <c r="C50" i="14" s="1"/>
  <c r="AJ53" i="2"/>
  <c r="C54" i="14" s="1"/>
  <c r="AJ57" i="2"/>
  <c r="C58" i="14" s="1"/>
  <c r="AJ61" i="2"/>
  <c r="C62" i="14" s="1"/>
  <c r="AJ65" i="2"/>
  <c r="C66" i="14" s="1"/>
  <c r="AJ69" i="2"/>
  <c r="C70" i="14" s="1"/>
  <c r="AJ73" i="2"/>
  <c r="C74" i="14" s="1"/>
  <c r="AJ77" i="2"/>
  <c r="C78" i="14" s="1"/>
  <c r="AJ81" i="2"/>
  <c r="C82" i="14" s="1"/>
  <c r="AJ85" i="2"/>
  <c r="C86" i="14" s="1"/>
  <c r="AJ89" i="2"/>
  <c r="C90" i="14" s="1"/>
  <c r="AJ93" i="2"/>
  <c r="C94" i="14" s="1"/>
  <c r="AJ97" i="2"/>
  <c r="C98" i="14" s="1"/>
  <c r="AJ101" i="2"/>
  <c r="C102" i="14" s="1"/>
  <c r="AJ105" i="2"/>
  <c r="C106" i="14" s="1"/>
  <c r="AJ109" i="2"/>
  <c r="C110" i="14" s="1"/>
  <c r="AJ113" i="2"/>
  <c r="C114" i="14" s="1"/>
  <c r="AJ117" i="2"/>
  <c r="C118" i="14" s="1"/>
  <c r="AJ121" i="2"/>
  <c r="C122" i="14" s="1"/>
  <c r="AJ125" i="2"/>
  <c r="C126" i="14" s="1"/>
  <c r="AJ129" i="2"/>
  <c r="AJ133"/>
  <c r="AJ137"/>
  <c r="C138" i="14" s="1"/>
  <c r="AJ143" i="2"/>
  <c r="C144" i="14" s="1"/>
  <c r="AJ147" i="2"/>
  <c r="C148" i="14" s="1"/>
  <c r="AJ151" i="2"/>
  <c r="C152" i="14" s="1"/>
  <c r="AJ155" i="2"/>
  <c r="C156" i="14" s="1"/>
  <c r="AJ159" i="2"/>
  <c r="C160" i="14" s="1"/>
  <c r="AJ163" i="2"/>
  <c r="C164" i="14" s="1"/>
  <c r="AJ167" i="2"/>
  <c r="C168" i="14" s="1"/>
  <c r="AJ173" i="2"/>
  <c r="C174" i="14" s="1"/>
  <c r="AJ179" i="2"/>
  <c r="C180" i="14" s="1"/>
  <c r="AJ185" i="2"/>
  <c r="C186" i="14" s="1"/>
  <c r="AJ189" i="2"/>
  <c r="C190" i="14" s="1"/>
  <c r="AJ193" i="2"/>
  <c r="C194" i="14" s="1"/>
  <c r="AJ197" i="2"/>
  <c r="C198" i="14" s="1"/>
  <c r="AJ201" i="2"/>
  <c r="C202" i="14" s="1"/>
  <c r="AJ205" i="2"/>
  <c r="C206" i="14" s="1"/>
  <c r="AJ209" i="2"/>
  <c r="C210" i="14" s="1"/>
  <c r="AJ213" i="2"/>
  <c r="C214" i="14" s="1"/>
  <c r="AJ217" i="2"/>
  <c r="C218" i="14" s="1"/>
  <c r="AJ221" i="2"/>
  <c r="C222" i="14" s="1"/>
  <c r="AJ225" i="2"/>
  <c r="AJ229"/>
  <c r="C227" i="14" s="1"/>
  <c r="AJ233" i="2"/>
  <c r="AJ237"/>
  <c r="AJ241"/>
  <c r="AI7" i="7"/>
  <c r="AI10"/>
  <c r="AI14"/>
  <c r="AI18"/>
  <c r="AI22"/>
  <c r="AI26"/>
  <c r="AI30"/>
  <c r="AI34"/>
  <c r="AI38"/>
  <c r="AI42"/>
  <c r="AI46"/>
  <c r="AI50"/>
  <c r="AI54"/>
  <c r="AI58"/>
  <c r="AI62"/>
  <c r="AI66"/>
  <c r="AI70"/>
  <c r="AI74"/>
  <c r="AI78"/>
  <c r="AI82"/>
  <c r="AI86"/>
  <c r="AI90"/>
  <c r="AI94"/>
  <c r="AI98"/>
  <c r="AI102"/>
  <c r="AI106"/>
  <c r="AI110"/>
  <c r="AI114"/>
  <c r="AI118"/>
  <c r="AI122"/>
  <c r="AI126"/>
  <c r="AI130"/>
  <c r="AI134"/>
  <c r="AI140"/>
  <c r="AI144"/>
  <c r="AI148"/>
  <c r="AI152"/>
  <c r="AI156"/>
  <c r="AI160"/>
  <c r="AI164"/>
  <c r="AI168"/>
  <c r="AI176"/>
  <c r="AI180"/>
  <c r="AI186"/>
  <c r="AI190"/>
  <c r="AI194"/>
  <c r="AI198"/>
  <c r="AI202"/>
  <c r="AI206"/>
  <c r="AI210"/>
  <c r="AI214"/>
  <c r="AI218"/>
  <c r="AI222"/>
  <c r="AI226"/>
  <c r="AI230"/>
  <c r="AI234"/>
  <c r="AI238"/>
  <c r="AI244"/>
  <c r="AI248"/>
  <c r="AI252"/>
  <c r="AI256"/>
  <c r="AI260"/>
  <c r="AI264"/>
  <c r="AI268"/>
  <c r="AI272"/>
  <c r="AI276"/>
  <c r="AI280"/>
  <c r="AI284"/>
  <c r="AI288"/>
  <c r="AI292"/>
  <c r="AI296"/>
  <c r="AI300"/>
  <c r="AI312"/>
  <c r="AI307"/>
  <c r="AI304"/>
  <c r="C10" i="22"/>
  <c r="C8"/>
  <c r="C11"/>
  <c r="C12" s="1"/>
  <c r="C9"/>
  <c r="C7"/>
  <c r="AJ8" i="2"/>
  <c r="C9" i="14" s="1"/>
  <c r="AJ12" i="2"/>
  <c r="C13" i="14" s="1"/>
  <c r="AJ16" i="2"/>
  <c r="C17" i="14" s="1"/>
  <c r="AJ20" i="2"/>
  <c r="C21" i="14" s="1"/>
  <c r="AJ24" i="2"/>
  <c r="C25" i="14" s="1"/>
  <c r="AJ28" i="2"/>
  <c r="C29" i="14" s="1"/>
  <c r="AJ32" i="2"/>
  <c r="C33" i="14" s="1"/>
  <c r="AJ36" i="2"/>
  <c r="C37" i="14" s="1"/>
  <c r="AJ40" i="2"/>
  <c r="C41" i="14" s="1"/>
  <c r="AJ44" i="2"/>
  <c r="C45" i="14" s="1"/>
  <c r="AJ48" i="2"/>
  <c r="C49" i="14" s="1"/>
  <c r="AJ52" i="2"/>
  <c r="C53" i="14" s="1"/>
  <c r="AJ56" i="2"/>
  <c r="C57" i="14" s="1"/>
  <c r="AJ60" i="2"/>
  <c r="C61" i="14" s="1"/>
  <c r="AJ64" i="2"/>
  <c r="C65" i="14" s="1"/>
  <c r="AJ68" i="2"/>
  <c r="C69" i="14" s="1"/>
  <c r="AJ72" i="2"/>
  <c r="C73" i="14" s="1"/>
  <c r="AJ76" i="2"/>
  <c r="C77" i="14" s="1"/>
  <c r="AJ80" i="2"/>
  <c r="C81" i="14" s="1"/>
  <c r="AJ84" i="2"/>
  <c r="C85" i="14" s="1"/>
  <c r="AJ88" i="2"/>
  <c r="C89" i="14" s="1"/>
  <c r="AJ92" i="2"/>
  <c r="C93" i="14" s="1"/>
  <c r="AJ96" i="2"/>
  <c r="C97" i="14" s="1"/>
  <c r="AJ100" i="2"/>
  <c r="C101" i="14" s="1"/>
  <c r="AJ104" i="2"/>
  <c r="C105" i="14" s="1"/>
  <c r="AJ108" i="2"/>
  <c r="C109" i="14" s="1"/>
  <c r="AJ112" i="2"/>
  <c r="C113" i="14" s="1"/>
  <c r="AJ116" i="2"/>
  <c r="C117" i="14" s="1"/>
  <c r="AJ120" i="2"/>
  <c r="C121" i="14" s="1"/>
  <c r="AJ124" i="2"/>
  <c r="C125" i="14" s="1"/>
  <c r="AJ128" i="2"/>
  <c r="C129" i="14" s="1"/>
  <c r="AJ132" i="2"/>
  <c r="AJ136"/>
  <c r="AJ142"/>
  <c r="C143" i="14" s="1"/>
  <c r="AJ146" i="2"/>
  <c r="C147" i="14" s="1"/>
  <c r="AJ150" i="2"/>
  <c r="C151" i="14" s="1"/>
  <c r="AJ154" i="2"/>
  <c r="C155" i="14" s="1"/>
  <c r="AJ158" i="2"/>
  <c r="C159" i="14" s="1"/>
  <c r="AJ162" i="2"/>
  <c r="C163" i="14" s="1"/>
  <c r="AJ166" i="2"/>
  <c r="C167" i="14" s="1"/>
  <c r="AJ172" i="2"/>
  <c r="C173" i="14" s="1"/>
  <c r="AJ178" i="2"/>
  <c r="C179" i="14" s="1"/>
  <c r="AJ184" i="2"/>
  <c r="C185" i="14" s="1"/>
  <c r="AJ188" i="2"/>
  <c r="C189" i="14" s="1"/>
  <c r="AJ192" i="2"/>
  <c r="C193" i="14" s="1"/>
  <c r="AJ196" i="2"/>
  <c r="C197" i="14" s="1"/>
  <c r="AJ200" i="2"/>
  <c r="C201" i="14" s="1"/>
  <c r="AJ204" i="2"/>
  <c r="C205" i="14" s="1"/>
  <c r="AJ208" i="2"/>
  <c r="C209" i="14" s="1"/>
  <c r="AJ212" i="2"/>
  <c r="C213" i="14" s="1"/>
  <c r="AJ216" i="2"/>
  <c r="C217" i="14" s="1"/>
  <c r="AJ220" i="2"/>
  <c r="C221" i="14" s="1"/>
  <c r="AJ224" i="2"/>
  <c r="C225" i="14" s="1"/>
  <c r="AJ228" i="2"/>
  <c r="C226" i="14" s="1"/>
  <c r="AJ232" i="2"/>
  <c r="AJ236"/>
  <c r="AJ240"/>
  <c r="AI8" i="7"/>
  <c r="AI9"/>
  <c r="AI13"/>
  <c r="AI17"/>
  <c r="AI21"/>
  <c r="AI25"/>
  <c r="AI29"/>
  <c r="AI33"/>
  <c r="AI37"/>
  <c r="AI41"/>
  <c r="AI45"/>
  <c r="AI49"/>
  <c r="AI53"/>
  <c r="AI57"/>
  <c r="AI61"/>
  <c r="AI65"/>
  <c r="AI69"/>
  <c r="AI73"/>
  <c r="AI77"/>
  <c r="AI81"/>
  <c r="AI85"/>
  <c r="AI89"/>
  <c r="AI93"/>
  <c r="AI97"/>
  <c r="AI101"/>
  <c r="AI105"/>
  <c r="AI109"/>
  <c r="AI113"/>
  <c r="AI117"/>
  <c r="AI121"/>
  <c r="AI125"/>
  <c r="AI129"/>
  <c r="AI133"/>
  <c r="AI137"/>
  <c r="AI143"/>
  <c r="AI147"/>
  <c r="AI151"/>
  <c r="AI155"/>
  <c r="AI159"/>
  <c r="AI163"/>
  <c r="AI167"/>
  <c r="AI173"/>
  <c r="AI179"/>
  <c r="AI185"/>
  <c r="AI189"/>
  <c r="AI193"/>
  <c r="AI197"/>
  <c r="AI201"/>
  <c r="AI205"/>
  <c r="AI209"/>
  <c r="AI213"/>
  <c r="AI217"/>
  <c r="AI221"/>
  <c r="AI225"/>
  <c r="AI229"/>
  <c r="AI233"/>
  <c r="AI237"/>
  <c r="AI241"/>
  <c r="AI247"/>
  <c r="AI251"/>
  <c r="AI255"/>
  <c r="AI259"/>
  <c r="AI263"/>
  <c r="AI267"/>
  <c r="AI271"/>
  <c r="AI275"/>
  <c r="AI279"/>
  <c r="AI283"/>
  <c r="AI287"/>
  <c r="AI291"/>
  <c r="AI295"/>
  <c r="AI299"/>
  <c r="AI309"/>
  <c r="AI305"/>
  <c r="AI302"/>
  <c r="AI314"/>
  <c r="M30" i="22" l="1"/>
  <c r="H34" i="6" s="1"/>
  <c r="F34" s="1"/>
  <c r="M2" i="22"/>
  <c r="H6" i="6" s="1"/>
  <c r="F6" s="1"/>
  <c r="M9" i="22"/>
  <c r="H13" i="6" s="1"/>
  <c r="F13" s="1"/>
  <c r="M16" i="22"/>
  <c r="H20" i="6" s="1"/>
  <c r="F20" s="1"/>
  <c r="M23" i="22"/>
  <c r="H27" i="6" s="1"/>
  <c r="F27" s="1"/>
  <c r="M21" i="22"/>
  <c r="H25" i="6" s="1"/>
  <c r="F25" s="1"/>
  <c r="M7" i="22"/>
  <c r="H11" i="6" s="1"/>
  <c r="F11" s="1"/>
  <c r="M28" i="22"/>
  <c r="H32" i="6" s="1"/>
  <c r="F32" s="1"/>
  <c r="M14" i="22"/>
  <c r="H18" i="6" s="1"/>
  <c r="F18" s="1"/>
  <c r="D340" i="18"/>
  <c r="D336"/>
  <c r="D342"/>
  <c r="D335"/>
  <c r="D341"/>
  <c r="D346"/>
  <c r="AJ332" i="7"/>
  <c r="D344" i="18"/>
  <c r="D337"/>
  <c r="D338"/>
  <c r="D333"/>
  <c r="D345"/>
  <c r="D343"/>
  <c r="D339"/>
  <c r="D334"/>
  <c r="AJ321" i="7"/>
  <c r="AJ322"/>
  <c r="D322" i="18"/>
  <c r="AJ328" i="7"/>
  <c r="D328" i="18"/>
  <c r="AJ320" i="7"/>
  <c r="D320" i="18"/>
  <c r="AJ326" i="7"/>
  <c r="D326" i="18"/>
  <c r="AJ325" i="7"/>
  <c r="D325" i="18"/>
  <c r="AJ323" i="7"/>
  <c r="D323" i="18"/>
  <c r="AJ319" i="7"/>
  <c r="D319" i="18"/>
  <c r="AJ329" i="7"/>
  <c r="D329" i="18"/>
  <c r="AJ327" i="7"/>
  <c r="D327" i="18"/>
  <c r="AJ324" i="7"/>
  <c r="D324" i="18"/>
  <c r="AJ318" i="7"/>
  <c r="D318" i="18"/>
  <c r="AJ6" i="7"/>
  <c r="AJ309"/>
  <c r="D309" i="18"/>
  <c r="AJ287" i="7"/>
  <c r="D287" i="18"/>
  <c r="AJ271" i="7"/>
  <c r="D271" i="18"/>
  <c r="AJ255" i="7"/>
  <c r="D255" i="18"/>
  <c r="AJ237" i="7"/>
  <c r="D237" i="18"/>
  <c r="AJ221" i="7"/>
  <c r="D221" i="18"/>
  <c r="AJ205" i="7"/>
  <c r="D205" i="18"/>
  <c r="AJ189" i="7"/>
  <c r="D189" i="18"/>
  <c r="AJ167" i="7"/>
  <c r="D167" i="18"/>
  <c r="AJ151" i="7"/>
  <c r="D151" i="18"/>
  <c r="AJ133" i="7"/>
  <c r="D133" i="18"/>
  <c r="AJ117" i="7"/>
  <c r="D117" i="18"/>
  <c r="AJ101" i="7"/>
  <c r="D101" i="18"/>
  <c r="AJ85" i="7"/>
  <c r="D85" i="18"/>
  <c r="AJ69" i="7"/>
  <c r="D69" i="18"/>
  <c r="AJ53" i="7"/>
  <c r="D53" i="18"/>
  <c r="AJ37" i="7"/>
  <c r="D37" i="18"/>
  <c r="AJ21" i="7"/>
  <c r="D21" i="18"/>
  <c r="AJ8" i="7"/>
  <c r="D8" i="18"/>
  <c r="AJ300" i="7"/>
  <c r="D300" i="18"/>
  <c r="AJ284" i="7"/>
  <c r="D284" i="18"/>
  <c r="AJ268" i="7"/>
  <c r="D268" i="18"/>
  <c r="AJ252" i="7"/>
  <c r="D252" i="18"/>
  <c r="AJ234" i="7"/>
  <c r="D234" i="18"/>
  <c r="AJ218" i="7"/>
  <c r="D218" i="18"/>
  <c r="AJ202" i="7"/>
  <c r="D202" i="18"/>
  <c r="AJ186" i="7"/>
  <c r="D186" i="18"/>
  <c r="AJ164" i="7"/>
  <c r="D164" i="18"/>
  <c r="AJ148" i="7"/>
  <c r="D148" i="18"/>
  <c r="AJ130" i="7"/>
  <c r="D130" i="18"/>
  <c r="AJ114" i="7"/>
  <c r="D114" i="18"/>
  <c r="AJ98" i="7"/>
  <c r="D98" i="18"/>
  <c r="AJ82" i="7"/>
  <c r="D82" i="18"/>
  <c r="AJ66" i="7"/>
  <c r="D66" i="18"/>
  <c r="AJ50" i="7"/>
  <c r="D50" i="18"/>
  <c r="AJ34" i="7"/>
  <c r="D34" i="18"/>
  <c r="AJ18" i="7"/>
  <c r="D18" i="18"/>
  <c r="AJ308" i="7"/>
  <c r="D308" i="18"/>
  <c r="AJ297" i="7"/>
  <c r="D297" i="18"/>
  <c r="AJ281" i="7"/>
  <c r="D281" i="18"/>
  <c r="AJ265" i="7"/>
  <c r="D265" i="18"/>
  <c r="AJ249" i="7"/>
  <c r="D249" i="18"/>
  <c r="AJ231" i="7"/>
  <c r="D231" i="18"/>
  <c r="AJ215" i="7"/>
  <c r="D215" i="18"/>
  <c r="AJ199" i="7"/>
  <c r="D199" i="18"/>
  <c r="AJ183" i="7"/>
  <c r="D183" i="18"/>
  <c r="AJ161" i="7"/>
  <c r="D161" i="18"/>
  <c r="AJ145" i="7"/>
  <c r="D145" i="18"/>
  <c r="AJ127" i="7"/>
  <c r="D127" i="18"/>
  <c r="AJ111" i="7"/>
  <c r="D111" i="18"/>
  <c r="AJ95" i="7"/>
  <c r="D95" i="18"/>
  <c r="AJ79" i="7"/>
  <c r="D79" i="18"/>
  <c r="AJ63" i="7"/>
  <c r="D63" i="18"/>
  <c r="AJ47" i="7"/>
  <c r="D47" i="18"/>
  <c r="AJ31" i="7"/>
  <c r="D31" i="18"/>
  <c r="AJ15" i="7"/>
  <c r="D15" i="18"/>
  <c r="AJ301" i="7"/>
  <c r="D301" i="18"/>
  <c r="AJ290" i="7"/>
  <c r="D290" i="18"/>
  <c r="AJ274" i="7"/>
  <c r="D274" i="18"/>
  <c r="AJ258" i="7"/>
  <c r="D258" i="18"/>
  <c r="AJ240" i="7"/>
  <c r="D240" i="18"/>
  <c r="AJ224" i="7"/>
  <c r="D224" i="18"/>
  <c r="AJ208" i="7"/>
  <c r="D208" i="18"/>
  <c r="AJ192" i="7"/>
  <c r="D192" i="18"/>
  <c r="AJ172" i="7"/>
  <c r="D172" i="18"/>
  <c r="AJ154" i="7"/>
  <c r="D154" i="18"/>
  <c r="AJ136" i="7"/>
  <c r="D136" i="18"/>
  <c r="AJ120" i="7"/>
  <c r="D120" i="18"/>
  <c r="AJ104" i="7"/>
  <c r="D104" i="18"/>
  <c r="AJ88" i="7"/>
  <c r="D88" i="18"/>
  <c r="AJ72" i="7"/>
  <c r="D72" i="18"/>
  <c r="AJ56" i="7"/>
  <c r="D56" i="18"/>
  <c r="AJ40" i="7"/>
  <c r="D40" i="18"/>
  <c r="AJ24" i="7"/>
  <c r="D24" i="18"/>
  <c r="AJ305" i="7"/>
  <c r="D305" i="18"/>
  <c r="AJ291" i="7"/>
  <c r="D291" i="18"/>
  <c r="AJ275" i="7"/>
  <c r="D275" i="18"/>
  <c r="AJ259" i="7"/>
  <c r="D259" i="18"/>
  <c r="AJ241" i="7"/>
  <c r="D241" i="18"/>
  <c r="AJ225" i="7"/>
  <c r="D225" i="18"/>
  <c r="AJ209" i="7"/>
  <c r="D209" i="18"/>
  <c r="AJ193" i="7"/>
  <c r="D193" i="18"/>
  <c r="AJ173" i="7"/>
  <c r="D173" i="18"/>
  <c r="AJ155" i="7"/>
  <c r="D155" i="18"/>
  <c r="AJ137" i="7"/>
  <c r="D137" i="18"/>
  <c r="AJ121" i="7"/>
  <c r="D121" i="18"/>
  <c r="AJ105" i="7"/>
  <c r="D105" i="18"/>
  <c r="AJ89" i="7"/>
  <c r="D89" i="18"/>
  <c r="AJ73" i="7"/>
  <c r="D73" i="18"/>
  <c r="AJ57" i="7"/>
  <c r="D57" i="18"/>
  <c r="AJ41" i="7"/>
  <c r="D41" i="18"/>
  <c r="AJ25" i="7"/>
  <c r="D25" i="18"/>
  <c r="AJ9" i="7"/>
  <c r="D9" i="18"/>
  <c r="M27" i="22"/>
  <c r="H31" i="6" s="1"/>
  <c r="F31" s="1"/>
  <c r="M20" i="22"/>
  <c r="H24" i="6" s="1"/>
  <c r="F24" s="1"/>
  <c r="M13" i="22"/>
  <c r="H17" i="6" s="1"/>
  <c r="F17" s="1"/>
  <c r="M6" i="22"/>
  <c r="H10" i="6" s="1"/>
  <c r="F10" s="1"/>
  <c r="AJ312" i="7"/>
  <c r="D312" i="18"/>
  <c r="AJ288" i="7"/>
  <c r="D288" i="18"/>
  <c r="AJ272" i="7"/>
  <c r="D272" i="18"/>
  <c r="AJ256" i="7"/>
  <c r="D256" i="18"/>
  <c r="AJ238" i="7"/>
  <c r="D238" i="18"/>
  <c r="AJ222" i="7"/>
  <c r="D222" i="18"/>
  <c r="AJ206" i="7"/>
  <c r="D206" i="18"/>
  <c r="AJ190" i="7"/>
  <c r="D190" i="18"/>
  <c r="AJ168" i="7"/>
  <c r="D168" i="18"/>
  <c r="AJ152" i="7"/>
  <c r="D152" i="18"/>
  <c r="AJ134" i="7"/>
  <c r="D134" i="18"/>
  <c r="AJ118" i="7"/>
  <c r="D118" i="18"/>
  <c r="AJ102" i="7"/>
  <c r="D102" i="18"/>
  <c r="AJ86" i="7"/>
  <c r="D86" i="18"/>
  <c r="AJ70" i="7"/>
  <c r="D70" i="18"/>
  <c r="AJ54" i="7"/>
  <c r="D54" i="18"/>
  <c r="AJ38" i="7"/>
  <c r="D38" i="18"/>
  <c r="AJ22" i="7"/>
  <c r="D22" i="18"/>
  <c r="AJ7" i="7"/>
  <c r="D7" i="18"/>
  <c r="AJ303" i="7"/>
  <c r="D303" i="18"/>
  <c r="AJ285" i="7"/>
  <c r="D285" i="18"/>
  <c r="AJ269" i="7"/>
  <c r="D269" i="18"/>
  <c r="AJ253" i="7"/>
  <c r="D253" i="18"/>
  <c r="AJ235" i="7"/>
  <c r="D235" i="18"/>
  <c r="AJ219" i="7"/>
  <c r="D219" i="18"/>
  <c r="AJ203" i="7"/>
  <c r="D203" i="18"/>
  <c r="AJ187" i="7"/>
  <c r="D187" i="18"/>
  <c r="AJ165" i="7"/>
  <c r="D165" i="18"/>
  <c r="AJ149" i="7"/>
  <c r="D149" i="18"/>
  <c r="AJ131" i="7"/>
  <c r="D131" i="18"/>
  <c r="AJ115" i="7"/>
  <c r="D115" i="18"/>
  <c r="AJ99" i="7"/>
  <c r="D99" i="18"/>
  <c r="AJ83" i="7"/>
  <c r="D83" i="18"/>
  <c r="AJ67" i="7"/>
  <c r="D67" i="18"/>
  <c r="AJ51" i="7"/>
  <c r="D51" i="18"/>
  <c r="AJ35" i="7"/>
  <c r="D35" i="18"/>
  <c r="AJ19" i="7"/>
  <c r="D19" i="18"/>
  <c r="C240" i="14"/>
  <c r="C236"/>
  <c r="C239"/>
  <c r="C235"/>
  <c r="C238"/>
  <c r="C241"/>
  <c r="C237"/>
  <c r="C242"/>
  <c r="AJ313" i="7"/>
  <c r="D313" i="18"/>
  <c r="AJ294" i="7"/>
  <c r="D294" i="18"/>
  <c r="AJ278" i="7"/>
  <c r="D278" i="18"/>
  <c r="AJ262" i="7"/>
  <c r="D262" i="18"/>
  <c r="AJ246" i="7"/>
  <c r="D246" i="18"/>
  <c r="AJ228" i="7"/>
  <c r="D228" i="18"/>
  <c r="AJ212" i="7"/>
  <c r="D212" i="18"/>
  <c r="AJ196" i="7"/>
  <c r="D196" i="18"/>
  <c r="AJ178" i="7"/>
  <c r="D178" i="18"/>
  <c r="AJ158" i="7"/>
  <c r="D158" i="18"/>
  <c r="AJ142" i="7"/>
  <c r="D142" i="18"/>
  <c r="AJ124" i="7"/>
  <c r="D124" i="18"/>
  <c r="AJ108" i="7"/>
  <c r="D108" i="18"/>
  <c r="AJ92" i="7"/>
  <c r="D92" i="18"/>
  <c r="AJ76" i="7"/>
  <c r="D76" i="18"/>
  <c r="AJ60" i="7"/>
  <c r="D60" i="18"/>
  <c r="AJ44" i="7"/>
  <c r="D44" i="18"/>
  <c r="AJ28" i="7"/>
  <c r="D28" i="18"/>
  <c r="AJ12" i="7"/>
  <c r="D12" i="18"/>
  <c r="AJ302" i="7"/>
  <c r="D302" i="18"/>
  <c r="AJ295" i="7"/>
  <c r="D295" i="18"/>
  <c r="AJ279" i="7"/>
  <c r="D279" i="18"/>
  <c r="AJ263" i="7"/>
  <c r="D263" i="18"/>
  <c r="AJ247" i="7"/>
  <c r="D247" i="18"/>
  <c r="AJ229" i="7"/>
  <c r="D229" i="18"/>
  <c r="AJ213" i="7"/>
  <c r="D213" i="18"/>
  <c r="AJ197" i="7"/>
  <c r="D197" i="18"/>
  <c r="AJ179" i="7"/>
  <c r="D179" i="18"/>
  <c r="AJ159" i="7"/>
  <c r="D159" i="18"/>
  <c r="AJ143" i="7"/>
  <c r="D143" i="18"/>
  <c r="AJ125" i="7"/>
  <c r="D125" i="18"/>
  <c r="AJ109" i="7"/>
  <c r="D109" i="18"/>
  <c r="AJ93" i="7"/>
  <c r="D93" i="18"/>
  <c r="AJ77" i="7"/>
  <c r="D77" i="18"/>
  <c r="AJ61" i="7"/>
  <c r="D61" i="18"/>
  <c r="AJ45" i="7"/>
  <c r="D45" i="18"/>
  <c r="AJ29" i="7"/>
  <c r="D29" i="18"/>
  <c r="AJ13" i="7"/>
  <c r="D13" i="18"/>
  <c r="AJ307" i="7"/>
  <c r="D307" i="18"/>
  <c r="AJ292" i="7"/>
  <c r="D292" i="18"/>
  <c r="AJ276" i="7"/>
  <c r="D276" i="18"/>
  <c r="AJ260" i="7"/>
  <c r="D260" i="18"/>
  <c r="AJ244" i="7"/>
  <c r="D244" i="18"/>
  <c r="AJ226" i="7"/>
  <c r="D226" i="18"/>
  <c r="AJ210" i="7"/>
  <c r="D210" i="18"/>
  <c r="AJ194" i="7"/>
  <c r="D194" i="18"/>
  <c r="AJ176" i="7"/>
  <c r="D176" i="18"/>
  <c r="AJ156" i="7"/>
  <c r="D156" i="18"/>
  <c r="AJ140" i="7"/>
  <c r="D140" i="18"/>
  <c r="AJ122" i="7"/>
  <c r="D122" i="18"/>
  <c r="AJ106" i="7"/>
  <c r="D106" i="18"/>
  <c r="AJ90" i="7"/>
  <c r="D90" i="18"/>
  <c r="AJ74" i="7"/>
  <c r="D74" i="18"/>
  <c r="AJ58" i="7"/>
  <c r="D58" i="18"/>
  <c r="AJ42" i="7"/>
  <c r="D42" i="18"/>
  <c r="AJ26" i="7"/>
  <c r="D26" i="18"/>
  <c r="AJ10" i="7"/>
  <c r="D10" i="18"/>
  <c r="AJ315" i="7"/>
  <c r="D315" i="18"/>
  <c r="AJ289" i="7"/>
  <c r="D289" i="18"/>
  <c r="AJ273" i="7"/>
  <c r="D273" i="18"/>
  <c r="AJ257" i="7"/>
  <c r="D257" i="18"/>
  <c r="AJ239" i="7"/>
  <c r="D239" i="18"/>
  <c r="AJ223" i="7"/>
  <c r="D223" i="18"/>
  <c r="AJ207" i="7"/>
  <c r="D207" i="18"/>
  <c r="AJ191" i="7"/>
  <c r="D191" i="18"/>
  <c r="AJ171" i="7"/>
  <c r="D171" i="18"/>
  <c r="AJ153" i="7"/>
  <c r="D153" i="18"/>
  <c r="AJ135" i="7"/>
  <c r="D135" i="18"/>
  <c r="AJ119" i="7"/>
  <c r="D119" i="18"/>
  <c r="AJ103" i="7"/>
  <c r="D103" i="18"/>
  <c r="AJ87" i="7"/>
  <c r="D87" i="18"/>
  <c r="AJ71" i="7"/>
  <c r="D71" i="18"/>
  <c r="AJ55" i="7"/>
  <c r="D55" i="18"/>
  <c r="AJ39" i="7"/>
  <c r="D39" i="18"/>
  <c r="AJ23" i="7"/>
  <c r="D23" i="18"/>
  <c r="AJ310" i="7"/>
  <c r="D310" i="18"/>
  <c r="AJ298" i="7"/>
  <c r="D298" i="18"/>
  <c r="AJ282" i="7"/>
  <c r="D282" i="18"/>
  <c r="AJ266" i="7"/>
  <c r="D266" i="18"/>
  <c r="AJ250" i="7"/>
  <c r="D250" i="18"/>
  <c r="AJ232" i="7"/>
  <c r="D232" i="18"/>
  <c r="AJ216" i="7"/>
  <c r="D216" i="18"/>
  <c r="AJ200" i="7"/>
  <c r="D200" i="18"/>
  <c r="AJ184" i="7"/>
  <c r="D184" i="18"/>
  <c r="AJ162" i="7"/>
  <c r="D162" i="18"/>
  <c r="AJ146" i="7"/>
  <c r="D146" i="18"/>
  <c r="AJ128" i="7"/>
  <c r="D128" i="18"/>
  <c r="AJ112" i="7"/>
  <c r="D112" i="18"/>
  <c r="AJ96" i="7"/>
  <c r="D96" i="18"/>
  <c r="AJ80" i="7"/>
  <c r="D80" i="18"/>
  <c r="AJ64" i="7"/>
  <c r="D64" i="18"/>
  <c r="AJ48" i="7"/>
  <c r="D48" i="18"/>
  <c r="AJ32" i="7"/>
  <c r="D32" i="18"/>
  <c r="AJ16" i="7"/>
  <c r="D16" i="18"/>
  <c r="C232" i="14"/>
  <c r="C229"/>
  <c r="C233"/>
  <c r="C234"/>
  <c r="C132"/>
  <c r="C133"/>
  <c r="AJ314" i="7"/>
  <c r="D314" i="18"/>
  <c r="AJ299" i="7"/>
  <c r="D299" i="18"/>
  <c r="AJ283" i="7"/>
  <c r="D283" i="18"/>
  <c r="AJ267" i="7"/>
  <c r="D267" i="18"/>
  <c r="AJ251" i="7"/>
  <c r="D251" i="18"/>
  <c r="AJ233" i="7"/>
  <c r="D233" i="18"/>
  <c r="AJ217" i="7"/>
  <c r="D217" i="18"/>
  <c r="AJ201" i="7"/>
  <c r="D201" i="18"/>
  <c r="AJ185" i="7"/>
  <c r="D185" i="18"/>
  <c r="AJ163" i="7"/>
  <c r="D163" i="18"/>
  <c r="AJ147" i="7"/>
  <c r="D147" i="18"/>
  <c r="AJ129" i="7"/>
  <c r="D129" i="18"/>
  <c r="AJ113" i="7"/>
  <c r="D113" i="18"/>
  <c r="AJ97" i="7"/>
  <c r="D97" i="18"/>
  <c r="AJ81" i="7"/>
  <c r="D81" i="18"/>
  <c r="AJ65" i="7"/>
  <c r="D65" i="18"/>
  <c r="AJ49" i="7"/>
  <c r="D49" i="18"/>
  <c r="AJ33" i="7"/>
  <c r="D33" i="18"/>
  <c r="AJ17" i="7"/>
  <c r="D17" i="18"/>
  <c r="AJ304" i="7"/>
  <c r="D304" i="18"/>
  <c r="AJ296" i="7"/>
  <c r="D296" i="18"/>
  <c r="AJ280" i="7"/>
  <c r="D280" i="18"/>
  <c r="AJ264" i="7"/>
  <c r="D264" i="18"/>
  <c r="AJ248" i="7"/>
  <c r="D248" i="18"/>
  <c r="AJ230" i="7"/>
  <c r="D230" i="18"/>
  <c r="AJ214" i="7"/>
  <c r="D214" i="18"/>
  <c r="AJ198" i="7"/>
  <c r="D198" i="18"/>
  <c r="AJ180" i="7"/>
  <c r="D180" i="18"/>
  <c r="AJ160" i="7"/>
  <c r="D160" i="18"/>
  <c r="AJ144" i="7"/>
  <c r="D144" i="18"/>
  <c r="AJ126" i="7"/>
  <c r="D126" i="18"/>
  <c r="AJ110" i="7"/>
  <c r="D110" i="18"/>
  <c r="AJ94" i="7"/>
  <c r="D94" i="18"/>
  <c r="AJ78" i="7"/>
  <c r="D78" i="18"/>
  <c r="AJ62" i="7"/>
  <c r="D62" i="18"/>
  <c r="AJ46" i="7"/>
  <c r="D46" i="18"/>
  <c r="AJ30" i="7"/>
  <c r="D30" i="18"/>
  <c r="AJ14" i="7"/>
  <c r="D14" i="18"/>
  <c r="C136" i="14"/>
  <c r="C134"/>
  <c r="C135"/>
  <c r="C131"/>
  <c r="C137"/>
  <c r="AJ311" i="7"/>
  <c r="D311" i="18"/>
  <c r="AJ293" i="7"/>
  <c r="D293" i="18"/>
  <c r="AJ277" i="7"/>
  <c r="D277" i="18"/>
  <c r="AJ261" i="7"/>
  <c r="D261" i="18"/>
  <c r="AJ245" i="7"/>
  <c r="D245" i="18"/>
  <c r="AJ227" i="7"/>
  <c r="D227" i="18"/>
  <c r="AJ211" i="7"/>
  <c r="D211" i="18"/>
  <c r="AJ195" i="7"/>
  <c r="D195" i="18"/>
  <c r="AJ177" i="7"/>
  <c r="D177" i="18"/>
  <c r="AJ157" i="7"/>
  <c r="D157" i="18"/>
  <c r="AJ141" i="7"/>
  <c r="D141" i="18"/>
  <c r="AJ123" i="7"/>
  <c r="D123" i="18"/>
  <c r="AJ107" i="7"/>
  <c r="D107" i="18"/>
  <c r="AJ91" i="7"/>
  <c r="D91" i="18"/>
  <c r="AJ75" i="7"/>
  <c r="D75" i="18"/>
  <c r="AJ59" i="7"/>
  <c r="D59" i="18"/>
  <c r="AJ43" i="7"/>
  <c r="D43" i="18"/>
  <c r="AJ27" i="7"/>
  <c r="D27" i="18"/>
  <c r="AJ11" i="7"/>
  <c r="D11" i="18"/>
  <c r="AJ306" i="7"/>
  <c r="D306" i="18"/>
  <c r="AJ286" i="7"/>
  <c r="D286" i="18"/>
  <c r="AJ270" i="7"/>
  <c r="D270" i="18"/>
  <c r="AJ254" i="7"/>
  <c r="D254" i="18"/>
  <c r="AJ236" i="7"/>
  <c r="D236" i="18"/>
  <c r="AJ220" i="7"/>
  <c r="D220" i="18"/>
  <c r="AJ204" i="7"/>
  <c r="D204" i="18"/>
  <c r="AJ188" i="7"/>
  <c r="D188" i="18"/>
  <c r="AJ166" i="7"/>
  <c r="D166" i="18"/>
  <c r="AJ150" i="7"/>
  <c r="D150" i="18"/>
  <c r="AJ132" i="7"/>
  <c r="D132" i="18"/>
  <c r="AJ116" i="7"/>
  <c r="D116" i="18"/>
  <c r="AJ100" i="7"/>
  <c r="D100" i="18"/>
  <c r="AJ84" i="7"/>
  <c r="D84" i="18"/>
  <c r="AJ68" i="7"/>
  <c r="D68" i="18"/>
  <c r="AJ52" i="7"/>
  <c r="D52" i="18"/>
  <c r="AJ36" i="7"/>
  <c r="D36" i="18"/>
  <c r="AJ20" i="7"/>
  <c r="D20" i="18"/>
  <c r="B2" i="7"/>
  <c r="C1"/>
  <c r="K11" i="6" l="1"/>
  <c r="K10" s="1"/>
  <c r="K12"/>
  <c r="F37"/>
  <c r="D1" i="7"/>
  <c r="B1" s="1"/>
  <c r="T4" i="19" s="1"/>
  <c r="L7" i="18" l="1"/>
  <c r="L15"/>
  <c r="L23"/>
  <c r="L31"/>
  <c r="L39"/>
  <c r="L47"/>
  <c r="L55"/>
  <c r="L63"/>
  <c r="L71"/>
  <c r="L79"/>
  <c r="L87"/>
  <c r="L95"/>
  <c r="L103"/>
  <c r="L111"/>
  <c r="L119"/>
  <c r="L127"/>
  <c r="L135"/>
  <c r="L145"/>
  <c r="L153"/>
  <c r="L161"/>
  <c r="L171"/>
  <c r="L183"/>
  <c r="L191"/>
  <c r="L199"/>
  <c r="L207"/>
  <c r="L215"/>
  <c r="L223"/>
  <c r="L231"/>
  <c r="L239"/>
  <c r="L6"/>
  <c r="L14"/>
  <c r="L22"/>
  <c r="L30"/>
  <c r="L38"/>
  <c r="L46"/>
  <c r="L54"/>
  <c r="L62"/>
  <c r="L70"/>
  <c r="L78"/>
  <c r="L86"/>
  <c r="L94"/>
  <c r="L102"/>
  <c r="L110"/>
  <c r="L118"/>
  <c r="L126"/>
  <c r="L134"/>
  <c r="L144"/>
  <c r="L152"/>
  <c r="L160"/>
  <c r="L168"/>
  <c r="L180"/>
  <c r="L190"/>
  <c r="L198"/>
  <c r="L206"/>
  <c r="L214"/>
  <c r="L222"/>
  <c r="L230"/>
  <c r="L238"/>
  <c r="L9"/>
  <c r="L17"/>
  <c r="L25"/>
  <c r="L33"/>
  <c r="L41"/>
  <c r="L49"/>
  <c r="L57"/>
  <c r="L65"/>
  <c r="L73"/>
  <c r="L81"/>
  <c r="L89"/>
  <c r="L97"/>
  <c r="L105"/>
  <c r="L113"/>
  <c r="L121"/>
  <c r="L129"/>
  <c r="L137"/>
  <c r="L147"/>
  <c r="L155"/>
  <c r="L163"/>
  <c r="L173"/>
  <c r="L185"/>
  <c r="L193"/>
  <c r="L201"/>
  <c r="L209"/>
  <c r="L217"/>
  <c r="L225"/>
  <c r="L233"/>
  <c r="L241"/>
  <c r="L12"/>
  <c r="L20"/>
  <c r="L28"/>
  <c r="L36"/>
  <c r="L44"/>
  <c r="L52"/>
  <c r="L60"/>
  <c r="L68"/>
  <c r="L76"/>
  <c r="L84"/>
  <c r="L92"/>
  <c r="L100"/>
  <c r="L108"/>
  <c r="L116"/>
  <c r="L124"/>
  <c r="L132"/>
  <c r="L142"/>
  <c r="L150"/>
  <c r="L158"/>
  <c r="L166"/>
  <c r="L178"/>
  <c r="L188"/>
  <c r="L196"/>
  <c r="L204"/>
  <c r="L212"/>
  <c r="L220"/>
  <c r="L228"/>
  <c r="L236"/>
  <c r="L11"/>
  <c r="L19"/>
  <c r="L27"/>
  <c r="L35"/>
  <c r="L43"/>
  <c r="L51"/>
  <c r="L59"/>
  <c r="L67"/>
  <c r="L75"/>
  <c r="L83"/>
  <c r="L91"/>
  <c r="L99"/>
  <c r="L107"/>
  <c r="L115"/>
  <c r="L123"/>
  <c r="L131"/>
  <c r="L141"/>
  <c r="L149"/>
  <c r="L157"/>
  <c r="L165"/>
  <c r="L177"/>
  <c r="L187"/>
  <c r="L195"/>
  <c r="L203"/>
  <c r="L211"/>
  <c r="L219"/>
  <c r="L227"/>
  <c r="L235"/>
  <c r="L10"/>
  <c r="L18"/>
  <c r="L26"/>
  <c r="L34"/>
  <c r="L42"/>
  <c r="L50"/>
  <c r="L58"/>
  <c r="L66"/>
  <c r="L74"/>
  <c r="L82"/>
  <c r="L90"/>
  <c r="L98"/>
  <c r="L106"/>
  <c r="L114"/>
  <c r="L122"/>
  <c r="L130"/>
  <c r="L140"/>
  <c r="L148"/>
  <c r="L156"/>
  <c r="L164"/>
  <c r="L176"/>
  <c r="L186"/>
  <c r="L194"/>
  <c r="L202"/>
  <c r="L210"/>
  <c r="L218"/>
  <c r="L226"/>
  <c r="L234"/>
  <c r="L13"/>
  <c r="L21"/>
  <c r="L29"/>
  <c r="L37"/>
  <c r="L45"/>
  <c r="L53"/>
  <c r="L61"/>
  <c r="L69"/>
  <c r="L77"/>
  <c r="L85"/>
  <c r="L93"/>
  <c r="L101"/>
  <c r="L109"/>
  <c r="L117"/>
  <c r="L125"/>
  <c r="L133"/>
  <c r="L143"/>
  <c r="L151"/>
  <c r="L159"/>
  <c r="L167"/>
  <c r="L179"/>
  <c r="L189"/>
  <c r="L197"/>
  <c r="L205"/>
  <c r="L213"/>
  <c r="L221"/>
  <c r="L229"/>
  <c r="L237"/>
  <c r="L8"/>
  <c r="L16"/>
  <c r="L24"/>
  <c r="L32"/>
  <c r="L40"/>
  <c r="L48"/>
  <c r="L56"/>
  <c r="L64"/>
  <c r="L72"/>
  <c r="L80"/>
  <c r="L88"/>
  <c r="L96"/>
  <c r="L104"/>
  <c r="L112"/>
  <c r="L120"/>
  <c r="L128"/>
  <c r="L136"/>
  <c r="L146"/>
  <c r="L154"/>
  <c r="L162"/>
  <c r="L172"/>
  <c r="L184"/>
  <c r="L192"/>
  <c r="L200"/>
  <c r="L208"/>
  <c r="L216"/>
  <c r="L224"/>
  <c r="L232"/>
  <c r="L240"/>
  <c r="AJ315" i="2"/>
  <c r="Z216" i="15" l="1"/>
  <c r="J216"/>
  <c r="W216"/>
  <c r="G216"/>
  <c r="X216"/>
  <c r="H216"/>
  <c r="U216"/>
  <c r="E216"/>
  <c r="AD216"/>
  <c r="N216"/>
  <c r="AA216"/>
  <c r="K216"/>
  <c r="AB216"/>
  <c r="L216"/>
  <c r="Y216"/>
  <c r="I216"/>
  <c r="R216"/>
  <c r="AE216"/>
  <c r="O216"/>
  <c r="AF216"/>
  <c r="P216"/>
  <c r="AC216"/>
  <c r="M216"/>
  <c r="V216"/>
  <c r="F216"/>
  <c r="S216"/>
  <c r="C216"/>
  <c r="T216"/>
  <c r="AG216"/>
  <c r="Q216"/>
  <c r="D216"/>
  <c r="AC146"/>
  <c r="M146"/>
  <c r="Z146"/>
  <c r="J146"/>
  <c r="W146"/>
  <c r="G146"/>
  <c r="X146"/>
  <c r="H146"/>
  <c r="AG146"/>
  <c r="Q146"/>
  <c r="AD146"/>
  <c r="N146"/>
  <c r="AA146"/>
  <c r="K146"/>
  <c r="AB146"/>
  <c r="L146"/>
  <c r="U146"/>
  <c r="E146"/>
  <c r="R146"/>
  <c r="AE146"/>
  <c r="O146"/>
  <c r="AF146"/>
  <c r="P146"/>
  <c r="Y146"/>
  <c r="I146"/>
  <c r="V146"/>
  <c r="F146"/>
  <c r="S146"/>
  <c r="C146"/>
  <c r="T146"/>
  <c r="D146"/>
  <c r="AA112"/>
  <c r="K112"/>
  <c r="AB112"/>
  <c r="L112"/>
  <c r="AC112"/>
  <c r="M112"/>
  <c r="Z112"/>
  <c r="J112"/>
  <c r="AE112"/>
  <c r="O112"/>
  <c r="AF112"/>
  <c r="P112"/>
  <c r="AG112"/>
  <c r="Q112"/>
  <c r="AD112"/>
  <c r="N112"/>
  <c r="S112"/>
  <c r="C112"/>
  <c r="T112"/>
  <c r="D112"/>
  <c r="U112"/>
  <c r="E112"/>
  <c r="R112"/>
  <c r="W112"/>
  <c r="G112"/>
  <c r="X112"/>
  <c r="H112"/>
  <c r="Y112"/>
  <c r="I112"/>
  <c r="V112"/>
  <c r="F112"/>
  <c r="AC80"/>
  <c r="M80"/>
  <c r="Z80"/>
  <c r="J80"/>
  <c r="W80"/>
  <c r="G80"/>
  <c r="X80"/>
  <c r="H80"/>
  <c r="AG80"/>
  <c r="Q80"/>
  <c r="AD80"/>
  <c r="N80"/>
  <c r="AA80"/>
  <c r="K80"/>
  <c r="AB80"/>
  <c r="L80"/>
  <c r="U80"/>
  <c r="E80"/>
  <c r="R80"/>
  <c r="AE80"/>
  <c r="O80"/>
  <c r="AF80"/>
  <c r="P80"/>
  <c r="Y80"/>
  <c r="I80"/>
  <c r="V80"/>
  <c r="F80"/>
  <c r="S80"/>
  <c r="C80"/>
  <c r="T80"/>
  <c r="D80"/>
  <c r="Z48"/>
  <c r="J48"/>
  <c r="H48"/>
  <c r="S48"/>
  <c r="C48"/>
  <c r="AC48"/>
  <c r="M48"/>
  <c r="P48"/>
  <c r="AD48"/>
  <c r="N48"/>
  <c r="T48"/>
  <c r="W48"/>
  <c r="G48"/>
  <c r="AG48"/>
  <c r="Q48"/>
  <c r="AF48"/>
  <c r="R48"/>
  <c r="AB48"/>
  <c r="AA48"/>
  <c r="K48"/>
  <c r="L48"/>
  <c r="U48"/>
  <c r="E48"/>
  <c r="V48"/>
  <c r="F48"/>
  <c r="AE48"/>
  <c r="O48"/>
  <c r="X48"/>
  <c r="Y48"/>
  <c r="I48"/>
  <c r="D48"/>
  <c r="AA16"/>
  <c r="K16"/>
  <c r="AC16"/>
  <c r="I16"/>
  <c r="T16"/>
  <c r="D16"/>
  <c r="V16"/>
  <c r="F16"/>
  <c r="AE16"/>
  <c r="O16"/>
  <c r="AG16"/>
  <c r="Q16"/>
  <c r="X16"/>
  <c r="H16"/>
  <c r="Z16"/>
  <c r="J16"/>
  <c r="S16"/>
  <c r="C16"/>
  <c r="U16"/>
  <c r="AB16"/>
  <c r="L16"/>
  <c r="AD16"/>
  <c r="N16"/>
  <c r="W16"/>
  <c r="G16"/>
  <c r="Y16"/>
  <c r="AF16"/>
  <c r="P16"/>
  <c r="M16"/>
  <c r="R16"/>
  <c r="E16"/>
  <c r="U221"/>
  <c r="E221"/>
  <c r="R221"/>
  <c r="AE221"/>
  <c r="O221"/>
  <c r="AF221"/>
  <c r="P221"/>
  <c r="Y221"/>
  <c r="I221"/>
  <c r="V221"/>
  <c r="F221"/>
  <c r="S221"/>
  <c r="C221"/>
  <c r="T221"/>
  <c r="D221"/>
  <c r="AC221"/>
  <c r="M221"/>
  <c r="Z221"/>
  <c r="J221"/>
  <c r="W221"/>
  <c r="G221"/>
  <c r="X221"/>
  <c r="H221"/>
  <c r="AG221"/>
  <c r="Q221"/>
  <c r="AD221"/>
  <c r="N221"/>
  <c r="AA221"/>
  <c r="K221"/>
  <c r="AB221"/>
  <c r="L221"/>
  <c r="U189"/>
  <c r="E189"/>
  <c r="R189"/>
  <c r="AE189"/>
  <c r="O189"/>
  <c r="AF189"/>
  <c r="P189"/>
  <c r="Y189"/>
  <c r="I189"/>
  <c r="V189"/>
  <c r="F189"/>
  <c r="S189"/>
  <c r="C189"/>
  <c r="T189"/>
  <c r="D189"/>
  <c r="AC189"/>
  <c r="M189"/>
  <c r="Z189"/>
  <c r="J189"/>
  <c r="W189"/>
  <c r="G189"/>
  <c r="X189"/>
  <c r="H189"/>
  <c r="AG189"/>
  <c r="Q189"/>
  <c r="AD189"/>
  <c r="N189"/>
  <c r="AA189"/>
  <c r="K189"/>
  <c r="AB189"/>
  <c r="L189"/>
  <c r="U151"/>
  <c r="E151"/>
  <c r="R151"/>
  <c r="AE151"/>
  <c r="O151"/>
  <c r="AF151"/>
  <c r="P151"/>
  <c r="Y151"/>
  <c r="I151"/>
  <c r="V151"/>
  <c r="F151"/>
  <c r="S151"/>
  <c r="C151"/>
  <c r="T151"/>
  <c r="D151"/>
  <c r="AC151"/>
  <c r="M151"/>
  <c r="Z151"/>
  <c r="J151"/>
  <c r="W151"/>
  <c r="G151"/>
  <c r="X151"/>
  <c r="H151"/>
  <c r="AG151"/>
  <c r="Q151"/>
  <c r="AD151"/>
  <c r="N151"/>
  <c r="AA151"/>
  <c r="K151"/>
  <c r="AB151"/>
  <c r="L151"/>
  <c r="R117"/>
  <c r="AE117"/>
  <c r="O117"/>
  <c r="AF117"/>
  <c r="P117"/>
  <c r="AG117"/>
  <c r="Q117"/>
  <c r="V117"/>
  <c r="F117"/>
  <c r="S117"/>
  <c r="C117"/>
  <c r="T117"/>
  <c r="D117"/>
  <c r="U117"/>
  <c r="E117"/>
  <c r="Z117"/>
  <c r="J117"/>
  <c r="W117"/>
  <c r="G117"/>
  <c r="X117"/>
  <c r="H117"/>
  <c r="Y117"/>
  <c r="I117"/>
  <c r="AD117"/>
  <c r="N117"/>
  <c r="AA117"/>
  <c r="K117"/>
  <c r="AB117"/>
  <c r="L117"/>
  <c r="AC117"/>
  <c r="M117"/>
  <c r="T85"/>
  <c r="D85"/>
  <c r="U85"/>
  <c r="E85"/>
  <c r="R85"/>
  <c r="AE85"/>
  <c r="O85"/>
  <c r="X85"/>
  <c r="H85"/>
  <c r="Y85"/>
  <c r="I85"/>
  <c r="V85"/>
  <c r="F85"/>
  <c r="S85"/>
  <c r="C85"/>
  <c r="AB85"/>
  <c r="L85"/>
  <c r="AC85"/>
  <c r="M85"/>
  <c r="Z85"/>
  <c r="J85"/>
  <c r="W85"/>
  <c r="G85"/>
  <c r="AF85"/>
  <c r="P85"/>
  <c r="AG85"/>
  <c r="Q85"/>
  <c r="AD85"/>
  <c r="N85"/>
  <c r="AA85"/>
  <c r="K85"/>
  <c r="T53"/>
  <c r="D53"/>
  <c r="U53"/>
  <c r="E53"/>
  <c r="J53"/>
  <c r="AE53"/>
  <c r="O53"/>
  <c r="X53"/>
  <c r="H53"/>
  <c r="Y53"/>
  <c r="I53"/>
  <c r="R53"/>
  <c r="F53"/>
  <c r="S53"/>
  <c r="C53"/>
  <c r="AB53"/>
  <c r="L53"/>
  <c r="AC53"/>
  <c r="M53"/>
  <c r="V53"/>
  <c r="N53"/>
  <c r="W53"/>
  <c r="G53"/>
  <c r="AF53"/>
  <c r="P53"/>
  <c r="AG53"/>
  <c r="Q53"/>
  <c r="AD53"/>
  <c r="Z53"/>
  <c r="AA53"/>
  <c r="K53"/>
  <c r="U21"/>
  <c r="E21"/>
  <c r="O21"/>
  <c r="AE21"/>
  <c r="AB21"/>
  <c r="L21"/>
  <c r="R21"/>
  <c r="Y21"/>
  <c r="I21"/>
  <c r="AA21"/>
  <c r="J21"/>
  <c r="AF21"/>
  <c r="P21"/>
  <c r="AD21"/>
  <c r="K21"/>
  <c r="AC21"/>
  <c r="M21"/>
  <c r="N21"/>
  <c r="V21"/>
  <c r="G21"/>
  <c r="T21"/>
  <c r="D21"/>
  <c r="W21"/>
  <c r="AG21"/>
  <c r="Q21"/>
  <c r="Z21"/>
  <c r="C21"/>
  <c r="S21"/>
  <c r="X21"/>
  <c r="H21"/>
  <c r="F21"/>
  <c r="AB218"/>
  <c r="L218"/>
  <c r="AC218"/>
  <c r="M218"/>
  <c r="Z218"/>
  <c r="J218"/>
  <c r="W218"/>
  <c r="G218"/>
  <c r="AF218"/>
  <c r="P218"/>
  <c r="AG218"/>
  <c r="Q218"/>
  <c r="AD218"/>
  <c r="N218"/>
  <c r="AA218"/>
  <c r="K218"/>
  <c r="T218"/>
  <c r="D218"/>
  <c r="U218"/>
  <c r="E218"/>
  <c r="R218"/>
  <c r="AE218"/>
  <c r="O218"/>
  <c r="X218"/>
  <c r="H218"/>
  <c r="Y218"/>
  <c r="I218"/>
  <c r="V218"/>
  <c r="F218"/>
  <c r="S218"/>
  <c r="C218"/>
  <c r="AB186"/>
  <c r="L186"/>
  <c r="AC186"/>
  <c r="M186"/>
  <c r="Z186"/>
  <c r="J186"/>
  <c r="W186"/>
  <c r="G186"/>
  <c r="AF186"/>
  <c r="P186"/>
  <c r="AG186"/>
  <c r="Q186"/>
  <c r="AD186"/>
  <c r="N186"/>
  <c r="AA186"/>
  <c r="K186"/>
  <c r="T186"/>
  <c r="D186"/>
  <c r="U186"/>
  <c r="E186"/>
  <c r="R186"/>
  <c r="AE186"/>
  <c r="O186"/>
  <c r="X186"/>
  <c r="H186"/>
  <c r="Y186"/>
  <c r="I186"/>
  <c r="V186"/>
  <c r="F186"/>
  <c r="S186"/>
  <c r="C186"/>
  <c r="AC148"/>
  <c r="M148"/>
  <c r="Z148"/>
  <c r="J148"/>
  <c r="W148"/>
  <c r="G148"/>
  <c r="X148"/>
  <c r="H148"/>
  <c r="AG148"/>
  <c r="Q148"/>
  <c r="AD148"/>
  <c r="N148"/>
  <c r="AA148"/>
  <c r="K148"/>
  <c r="AB148"/>
  <c r="L148"/>
  <c r="U148"/>
  <c r="E148"/>
  <c r="R148"/>
  <c r="AE148"/>
  <c r="O148"/>
  <c r="AF148"/>
  <c r="P148"/>
  <c r="Y148"/>
  <c r="I148"/>
  <c r="V148"/>
  <c r="F148"/>
  <c r="S148"/>
  <c r="C148"/>
  <c r="T148"/>
  <c r="D148"/>
  <c r="AC114"/>
  <c r="M114"/>
  <c r="Z114"/>
  <c r="J114"/>
  <c r="W114"/>
  <c r="G114"/>
  <c r="X114"/>
  <c r="H114"/>
  <c r="AG114"/>
  <c r="Q114"/>
  <c r="AD114"/>
  <c r="N114"/>
  <c r="AA114"/>
  <c r="K114"/>
  <c r="AB114"/>
  <c r="L114"/>
  <c r="U114"/>
  <c r="E114"/>
  <c r="R114"/>
  <c r="AE114"/>
  <c r="O114"/>
  <c r="AF114"/>
  <c r="P114"/>
  <c r="Y114"/>
  <c r="I114"/>
  <c r="V114"/>
  <c r="F114"/>
  <c r="S114"/>
  <c r="C114"/>
  <c r="T114"/>
  <c r="D114"/>
  <c r="AA82"/>
  <c r="K82"/>
  <c r="AB82"/>
  <c r="L82"/>
  <c r="AC82"/>
  <c r="M82"/>
  <c r="Z82"/>
  <c r="J82"/>
  <c r="AE82"/>
  <c r="O82"/>
  <c r="AF82"/>
  <c r="P82"/>
  <c r="AG82"/>
  <c r="Q82"/>
  <c r="AD82"/>
  <c r="N82"/>
  <c r="S82"/>
  <c r="C82"/>
  <c r="T82"/>
  <c r="D82"/>
  <c r="U82"/>
  <c r="E82"/>
  <c r="R82"/>
  <c r="W82"/>
  <c r="G82"/>
  <c r="X82"/>
  <c r="H82"/>
  <c r="Y82"/>
  <c r="I82"/>
  <c r="V82"/>
  <c r="F82"/>
  <c r="AA50"/>
  <c r="AE50"/>
  <c r="AF50"/>
  <c r="G50"/>
  <c r="W50"/>
  <c r="X50"/>
  <c r="H50"/>
  <c r="Q50"/>
  <c r="J50"/>
  <c r="M50"/>
  <c r="O50"/>
  <c r="S50"/>
  <c r="AB50"/>
  <c r="L50"/>
  <c r="Y50"/>
  <c r="V50"/>
  <c r="U50"/>
  <c r="F50"/>
  <c r="N50"/>
  <c r="P50"/>
  <c r="AG50"/>
  <c r="E50"/>
  <c r="AC50"/>
  <c r="R50"/>
  <c r="AD50"/>
  <c r="T50"/>
  <c r="D50"/>
  <c r="I50"/>
  <c r="K50"/>
  <c r="Z50"/>
  <c r="C50"/>
  <c r="Y18"/>
  <c r="I18"/>
  <c r="S18"/>
  <c r="C18"/>
  <c r="R18"/>
  <c r="AF18"/>
  <c r="P18"/>
  <c r="AE18"/>
  <c r="AC18"/>
  <c r="M18"/>
  <c r="W18"/>
  <c r="G18"/>
  <c r="V18"/>
  <c r="F18"/>
  <c r="T18"/>
  <c r="D18"/>
  <c r="AG18"/>
  <c r="Q18"/>
  <c r="AA18"/>
  <c r="K18"/>
  <c r="Z18"/>
  <c r="J18"/>
  <c r="X18"/>
  <c r="H18"/>
  <c r="U18"/>
  <c r="E18"/>
  <c r="O18"/>
  <c r="AD18"/>
  <c r="N18"/>
  <c r="AB18"/>
  <c r="L18"/>
  <c r="W219"/>
  <c r="G219"/>
  <c r="X219"/>
  <c r="H219"/>
  <c r="Y219"/>
  <c r="I219"/>
  <c r="V219"/>
  <c r="F219"/>
  <c r="AA219"/>
  <c r="K219"/>
  <c r="AB219"/>
  <c r="L219"/>
  <c r="AC219"/>
  <c r="M219"/>
  <c r="Z219"/>
  <c r="J219"/>
  <c r="AE219"/>
  <c r="O219"/>
  <c r="AF219"/>
  <c r="P219"/>
  <c r="AG219"/>
  <c r="Q219"/>
  <c r="AD219"/>
  <c r="N219"/>
  <c r="S219"/>
  <c r="C219"/>
  <c r="T219"/>
  <c r="D219"/>
  <c r="U219"/>
  <c r="E219"/>
  <c r="R219"/>
  <c r="W187"/>
  <c r="G187"/>
  <c r="X187"/>
  <c r="H187"/>
  <c r="Y187"/>
  <c r="I187"/>
  <c r="V187"/>
  <c r="F187"/>
  <c r="AA187"/>
  <c r="K187"/>
  <c r="AB187"/>
  <c r="L187"/>
  <c r="AC187"/>
  <c r="M187"/>
  <c r="Z187"/>
  <c r="J187"/>
  <c r="AE187"/>
  <c r="O187"/>
  <c r="AF187"/>
  <c r="P187"/>
  <c r="AG187"/>
  <c r="Q187"/>
  <c r="AD187"/>
  <c r="N187"/>
  <c r="S187"/>
  <c r="C187"/>
  <c r="T187"/>
  <c r="D187"/>
  <c r="U187"/>
  <c r="E187"/>
  <c r="R187"/>
  <c r="Y149"/>
  <c r="I149"/>
  <c r="V149"/>
  <c r="F149"/>
  <c r="S149"/>
  <c r="C149"/>
  <c r="T149"/>
  <c r="D149"/>
  <c r="AC149"/>
  <c r="M149"/>
  <c r="Z149"/>
  <c r="J149"/>
  <c r="W149"/>
  <c r="G149"/>
  <c r="X149"/>
  <c r="H149"/>
  <c r="AG149"/>
  <c r="Q149"/>
  <c r="AD149"/>
  <c r="N149"/>
  <c r="AA149"/>
  <c r="K149"/>
  <c r="AB149"/>
  <c r="L149"/>
  <c r="U149"/>
  <c r="E149"/>
  <c r="R149"/>
  <c r="AE149"/>
  <c r="O149"/>
  <c r="AF149"/>
  <c r="P149"/>
  <c r="X115"/>
  <c r="H115"/>
  <c r="Y115"/>
  <c r="I115"/>
  <c r="V115"/>
  <c r="F115"/>
  <c r="S115"/>
  <c r="C115"/>
  <c r="AB115"/>
  <c r="L115"/>
  <c r="AC115"/>
  <c r="M115"/>
  <c r="Z115"/>
  <c r="J115"/>
  <c r="W115"/>
  <c r="G115"/>
  <c r="AF115"/>
  <c r="P115"/>
  <c r="AG115"/>
  <c r="Q115"/>
  <c r="AD115"/>
  <c r="N115"/>
  <c r="AA115"/>
  <c r="K115"/>
  <c r="T115"/>
  <c r="D115"/>
  <c r="U115"/>
  <c r="E115"/>
  <c r="R115"/>
  <c r="AE115"/>
  <c r="O115"/>
  <c r="V83"/>
  <c r="F83"/>
  <c r="S83"/>
  <c r="C83"/>
  <c r="T83"/>
  <c r="D83"/>
  <c r="U83"/>
  <c r="E83"/>
  <c r="Z83"/>
  <c r="J83"/>
  <c r="W83"/>
  <c r="G83"/>
  <c r="X83"/>
  <c r="H83"/>
  <c r="Y83"/>
  <c r="I83"/>
  <c r="AD83"/>
  <c r="N83"/>
  <c r="AA83"/>
  <c r="K83"/>
  <c r="AB83"/>
  <c r="L83"/>
  <c r="AC83"/>
  <c r="M83"/>
  <c r="R83"/>
  <c r="AE83"/>
  <c r="O83"/>
  <c r="AF83"/>
  <c r="P83"/>
  <c r="AG83"/>
  <c r="Q83"/>
  <c r="V51"/>
  <c r="F51"/>
  <c r="S51"/>
  <c r="C51"/>
  <c r="H51"/>
  <c r="T51"/>
  <c r="Q51"/>
  <c r="I51"/>
  <c r="Z51"/>
  <c r="J51"/>
  <c r="W51"/>
  <c r="G51"/>
  <c r="P51"/>
  <c r="AB51"/>
  <c r="AC51"/>
  <c r="U51"/>
  <c r="AD51"/>
  <c r="N51"/>
  <c r="AA51"/>
  <c r="K51"/>
  <c r="X51"/>
  <c r="M51"/>
  <c r="D51"/>
  <c r="AG51"/>
  <c r="R51"/>
  <c r="AE51"/>
  <c r="O51"/>
  <c r="AF51"/>
  <c r="Y51"/>
  <c r="L51"/>
  <c r="E51"/>
  <c r="K19"/>
  <c r="H19"/>
  <c r="T19"/>
  <c r="AD19"/>
  <c r="N19"/>
  <c r="W19"/>
  <c r="X19"/>
  <c r="E19"/>
  <c r="S19"/>
  <c r="P19"/>
  <c r="I19"/>
  <c r="M19"/>
  <c r="R19"/>
  <c r="AE19"/>
  <c r="AF19"/>
  <c r="Q19"/>
  <c r="AA19"/>
  <c r="AB19"/>
  <c r="U19"/>
  <c r="Y19"/>
  <c r="V19"/>
  <c r="F19"/>
  <c r="G19"/>
  <c r="AC19"/>
  <c r="C19"/>
  <c r="AG19"/>
  <c r="D19"/>
  <c r="Z19"/>
  <c r="J19"/>
  <c r="O19"/>
  <c r="L19"/>
  <c r="AD220"/>
  <c r="N220"/>
  <c r="AA220"/>
  <c r="K220"/>
  <c r="AB220"/>
  <c r="L220"/>
  <c r="AC220"/>
  <c r="M220"/>
  <c r="R220"/>
  <c r="AE220"/>
  <c r="O220"/>
  <c r="AF220"/>
  <c r="P220"/>
  <c r="AG220"/>
  <c r="Q220"/>
  <c r="V220"/>
  <c r="F220"/>
  <c r="S220"/>
  <c r="C220"/>
  <c r="T220"/>
  <c r="D220"/>
  <c r="U220"/>
  <c r="E220"/>
  <c r="Z220"/>
  <c r="J220"/>
  <c r="W220"/>
  <c r="G220"/>
  <c r="X220"/>
  <c r="H220"/>
  <c r="Y220"/>
  <c r="I220"/>
  <c r="AD188"/>
  <c r="N188"/>
  <c r="AA188"/>
  <c r="K188"/>
  <c r="AB188"/>
  <c r="L188"/>
  <c r="AC188"/>
  <c r="M188"/>
  <c r="R188"/>
  <c r="AE188"/>
  <c r="O188"/>
  <c r="AF188"/>
  <c r="P188"/>
  <c r="AG188"/>
  <c r="Q188"/>
  <c r="V188"/>
  <c r="F188"/>
  <c r="S188"/>
  <c r="C188"/>
  <c r="T188"/>
  <c r="D188"/>
  <c r="U188"/>
  <c r="E188"/>
  <c r="Z188"/>
  <c r="J188"/>
  <c r="W188"/>
  <c r="G188"/>
  <c r="X188"/>
  <c r="H188"/>
  <c r="Y188"/>
  <c r="I188"/>
  <c r="AG150"/>
  <c r="Q150"/>
  <c r="AD150"/>
  <c r="N150"/>
  <c r="AA150"/>
  <c r="K150"/>
  <c r="AB150"/>
  <c r="L150"/>
  <c r="U150"/>
  <c r="E150"/>
  <c r="R150"/>
  <c r="AE150"/>
  <c r="O150"/>
  <c r="AF150"/>
  <c r="P150"/>
  <c r="Y150"/>
  <c r="I150"/>
  <c r="V150"/>
  <c r="F150"/>
  <c r="S150"/>
  <c r="C150"/>
  <c r="T150"/>
  <c r="D150"/>
  <c r="AC150"/>
  <c r="M150"/>
  <c r="Z150"/>
  <c r="J150"/>
  <c r="W150"/>
  <c r="G150"/>
  <c r="X150"/>
  <c r="H150"/>
  <c r="AE116"/>
  <c r="O116"/>
  <c r="AF116"/>
  <c r="P116"/>
  <c r="AG116"/>
  <c r="Q116"/>
  <c r="AD116"/>
  <c r="N116"/>
  <c r="S116"/>
  <c r="C116"/>
  <c r="T116"/>
  <c r="D116"/>
  <c r="U116"/>
  <c r="E116"/>
  <c r="R116"/>
  <c r="W116"/>
  <c r="G116"/>
  <c r="X116"/>
  <c r="H116"/>
  <c r="Y116"/>
  <c r="I116"/>
  <c r="V116"/>
  <c r="F116"/>
  <c r="AA116"/>
  <c r="K116"/>
  <c r="AB116"/>
  <c r="L116"/>
  <c r="AC116"/>
  <c r="M116"/>
  <c r="Z116"/>
  <c r="J116"/>
  <c r="AG84"/>
  <c r="Q84"/>
  <c r="AD84"/>
  <c r="N84"/>
  <c r="AA84"/>
  <c r="K84"/>
  <c r="AB84"/>
  <c r="L84"/>
  <c r="U84"/>
  <c r="E84"/>
  <c r="R84"/>
  <c r="AE84"/>
  <c r="O84"/>
  <c r="AF84"/>
  <c r="P84"/>
  <c r="Y84"/>
  <c r="I84"/>
  <c r="V84"/>
  <c r="F84"/>
  <c r="S84"/>
  <c r="C84"/>
  <c r="T84"/>
  <c r="D84"/>
  <c r="AC84"/>
  <c r="M84"/>
  <c r="Z84"/>
  <c r="J84"/>
  <c r="W84"/>
  <c r="G84"/>
  <c r="X84"/>
  <c r="H84"/>
  <c r="AG52"/>
  <c r="Q52"/>
  <c r="AD52"/>
  <c r="N52"/>
  <c r="W52"/>
  <c r="H52"/>
  <c r="D52"/>
  <c r="T52"/>
  <c r="U52"/>
  <c r="E52"/>
  <c r="R52"/>
  <c r="AE52"/>
  <c r="C52"/>
  <c r="G52"/>
  <c r="X52"/>
  <c r="Y52"/>
  <c r="I52"/>
  <c r="V52"/>
  <c r="F52"/>
  <c r="K52"/>
  <c r="S52"/>
  <c r="AB52"/>
  <c r="L52"/>
  <c r="AC52"/>
  <c r="M52"/>
  <c r="Z52"/>
  <c r="J52"/>
  <c r="O52"/>
  <c r="AA52"/>
  <c r="AF52"/>
  <c r="P52"/>
  <c r="AD20"/>
  <c r="N20"/>
  <c r="S20"/>
  <c r="AA20"/>
  <c r="P20"/>
  <c r="Y20"/>
  <c r="I20"/>
  <c r="AF20"/>
  <c r="R20"/>
  <c r="W20"/>
  <c r="L20"/>
  <c r="AB20"/>
  <c r="AC20"/>
  <c r="M20"/>
  <c r="O20"/>
  <c r="V20"/>
  <c r="F20"/>
  <c r="X20"/>
  <c r="C20"/>
  <c r="AG20"/>
  <c r="Q20"/>
  <c r="AE20"/>
  <c r="H20"/>
  <c r="Z20"/>
  <c r="J20"/>
  <c r="G20"/>
  <c r="K20"/>
  <c r="D20"/>
  <c r="U20"/>
  <c r="E20"/>
  <c r="T20"/>
  <c r="AG225"/>
  <c r="Q225"/>
  <c r="AD225"/>
  <c r="N225"/>
  <c r="AA225"/>
  <c r="K225"/>
  <c r="AB225"/>
  <c r="L225"/>
  <c r="U225"/>
  <c r="E225"/>
  <c r="R225"/>
  <c r="AE225"/>
  <c r="O225"/>
  <c r="AF225"/>
  <c r="P225"/>
  <c r="Y225"/>
  <c r="I225"/>
  <c r="V225"/>
  <c r="F225"/>
  <c r="S225"/>
  <c r="C225"/>
  <c r="T225"/>
  <c r="D225"/>
  <c r="AC225"/>
  <c r="M225"/>
  <c r="Z225"/>
  <c r="J225"/>
  <c r="W225"/>
  <c r="G225"/>
  <c r="X225"/>
  <c r="H225"/>
  <c r="AG193"/>
  <c r="Q193"/>
  <c r="AD193"/>
  <c r="N193"/>
  <c r="AA193"/>
  <c r="K193"/>
  <c r="AB193"/>
  <c r="L193"/>
  <c r="U193"/>
  <c r="E193"/>
  <c r="R193"/>
  <c r="AE193"/>
  <c r="O193"/>
  <c r="AF193"/>
  <c r="P193"/>
  <c r="Y193"/>
  <c r="I193"/>
  <c r="V193"/>
  <c r="F193"/>
  <c r="S193"/>
  <c r="C193"/>
  <c r="T193"/>
  <c r="D193"/>
  <c r="AC193"/>
  <c r="M193"/>
  <c r="Z193"/>
  <c r="J193"/>
  <c r="W193"/>
  <c r="G193"/>
  <c r="X193"/>
  <c r="H193"/>
  <c r="AG155"/>
  <c r="Q155"/>
  <c r="AD155"/>
  <c r="N155"/>
  <c r="AA155"/>
  <c r="K155"/>
  <c r="AB155"/>
  <c r="L155"/>
  <c r="U155"/>
  <c r="E155"/>
  <c r="R155"/>
  <c r="AE155"/>
  <c r="O155"/>
  <c r="AF155"/>
  <c r="P155"/>
  <c r="Y155"/>
  <c r="I155"/>
  <c r="V155"/>
  <c r="F155"/>
  <c r="S155"/>
  <c r="C155"/>
  <c r="T155"/>
  <c r="D155"/>
  <c r="AC155"/>
  <c r="M155"/>
  <c r="Z155"/>
  <c r="J155"/>
  <c r="W155"/>
  <c r="G155"/>
  <c r="X155"/>
  <c r="H155"/>
  <c r="AD121"/>
  <c r="N121"/>
  <c r="AA121"/>
  <c r="K121"/>
  <c r="AB121"/>
  <c r="L121"/>
  <c r="AC121"/>
  <c r="M121"/>
  <c r="R121"/>
  <c r="AE121"/>
  <c r="O121"/>
  <c r="AF121"/>
  <c r="P121"/>
  <c r="AG121"/>
  <c r="Q121"/>
  <c r="V121"/>
  <c r="F121"/>
  <c r="S121"/>
  <c r="C121"/>
  <c r="T121"/>
  <c r="D121"/>
  <c r="U121"/>
  <c r="E121"/>
  <c r="Z121"/>
  <c r="J121"/>
  <c r="W121"/>
  <c r="G121"/>
  <c r="X121"/>
  <c r="H121"/>
  <c r="Y121"/>
  <c r="I121"/>
  <c r="AF89"/>
  <c r="P89"/>
  <c r="AG89"/>
  <c r="Q89"/>
  <c r="AD89"/>
  <c r="N89"/>
  <c r="AA89"/>
  <c r="K89"/>
  <c r="T89"/>
  <c r="D89"/>
  <c r="U89"/>
  <c r="E89"/>
  <c r="R89"/>
  <c r="AE89"/>
  <c r="O89"/>
  <c r="X89"/>
  <c r="H89"/>
  <c r="Y89"/>
  <c r="I89"/>
  <c r="V89"/>
  <c r="F89"/>
  <c r="S89"/>
  <c r="C89"/>
  <c r="AB89"/>
  <c r="L89"/>
  <c r="AC89"/>
  <c r="M89"/>
  <c r="Z89"/>
  <c r="J89"/>
  <c r="W89"/>
  <c r="G89"/>
  <c r="AF57"/>
  <c r="P57"/>
  <c r="AG57"/>
  <c r="Q57"/>
  <c r="AD57"/>
  <c r="N57"/>
  <c r="AA57"/>
  <c r="K57"/>
  <c r="T57"/>
  <c r="D57"/>
  <c r="U57"/>
  <c r="E57"/>
  <c r="R57"/>
  <c r="AE57"/>
  <c r="O57"/>
  <c r="X57"/>
  <c r="H57"/>
  <c r="Y57"/>
  <c r="I57"/>
  <c r="V57"/>
  <c r="F57"/>
  <c r="S57"/>
  <c r="C57"/>
  <c r="AB57"/>
  <c r="L57"/>
  <c r="AC57"/>
  <c r="M57"/>
  <c r="Z57"/>
  <c r="J57"/>
  <c r="W57"/>
  <c r="G57"/>
  <c r="AG25"/>
  <c r="Q25"/>
  <c r="Z25"/>
  <c r="G25"/>
  <c r="AA25"/>
  <c r="AB25"/>
  <c r="L25"/>
  <c r="J25"/>
  <c r="U25"/>
  <c r="E25"/>
  <c r="S25"/>
  <c r="F25"/>
  <c r="AF25"/>
  <c r="P25"/>
  <c r="V25"/>
  <c r="Y25"/>
  <c r="I25"/>
  <c r="AE25"/>
  <c r="R25"/>
  <c r="C25"/>
  <c r="T25"/>
  <c r="D25"/>
  <c r="K25"/>
  <c r="AC25"/>
  <c r="M25"/>
  <c r="N25"/>
  <c r="AD25"/>
  <c r="O25"/>
  <c r="X25"/>
  <c r="H25"/>
  <c r="W25"/>
  <c r="AF230"/>
  <c r="P230"/>
  <c r="AG230"/>
  <c r="Q230"/>
  <c r="AD230"/>
  <c r="N230"/>
  <c r="AA230"/>
  <c r="K230"/>
  <c r="T230"/>
  <c r="D230"/>
  <c r="U230"/>
  <c r="E230"/>
  <c r="R230"/>
  <c r="AE230"/>
  <c r="O230"/>
  <c r="X230"/>
  <c r="H230"/>
  <c r="Y230"/>
  <c r="I230"/>
  <c r="V230"/>
  <c r="F230"/>
  <c r="S230"/>
  <c r="C230"/>
  <c r="AB230"/>
  <c r="L230"/>
  <c r="AC230"/>
  <c r="M230"/>
  <c r="Z230"/>
  <c r="J230"/>
  <c r="W230"/>
  <c r="G230"/>
  <c r="AF198"/>
  <c r="P198"/>
  <c r="AG198"/>
  <c r="Q198"/>
  <c r="AD198"/>
  <c r="N198"/>
  <c r="AA198"/>
  <c r="K198"/>
  <c r="T198"/>
  <c r="D198"/>
  <c r="U198"/>
  <c r="E198"/>
  <c r="R198"/>
  <c r="AE198"/>
  <c r="O198"/>
  <c r="X198"/>
  <c r="H198"/>
  <c r="Y198"/>
  <c r="I198"/>
  <c r="V198"/>
  <c r="F198"/>
  <c r="S198"/>
  <c r="C198"/>
  <c r="AB198"/>
  <c r="L198"/>
  <c r="AC198"/>
  <c r="M198"/>
  <c r="Z198"/>
  <c r="J198"/>
  <c r="W198"/>
  <c r="G198"/>
  <c r="AG160"/>
  <c r="Q160"/>
  <c r="AD160"/>
  <c r="N160"/>
  <c r="AA160"/>
  <c r="K160"/>
  <c r="AB160"/>
  <c r="L160"/>
  <c r="U160"/>
  <c r="E160"/>
  <c r="R160"/>
  <c r="AE160"/>
  <c r="O160"/>
  <c r="AF160"/>
  <c r="P160"/>
  <c r="Y160"/>
  <c r="I160"/>
  <c r="V160"/>
  <c r="F160"/>
  <c r="S160"/>
  <c r="C160"/>
  <c r="T160"/>
  <c r="D160"/>
  <c r="AC160"/>
  <c r="M160"/>
  <c r="Z160"/>
  <c r="J160"/>
  <c r="W160"/>
  <c r="G160"/>
  <c r="X160"/>
  <c r="H160"/>
  <c r="AG126"/>
  <c r="Q126"/>
  <c r="AD126"/>
  <c r="N126"/>
  <c r="AA126"/>
  <c r="K126"/>
  <c r="AB126"/>
  <c r="L126"/>
  <c r="U126"/>
  <c r="E126"/>
  <c r="R126"/>
  <c r="AE126"/>
  <c r="O126"/>
  <c r="AF126"/>
  <c r="P126"/>
  <c r="Y126"/>
  <c r="I126"/>
  <c r="V126"/>
  <c r="F126"/>
  <c r="S126"/>
  <c r="C126"/>
  <c r="T126"/>
  <c r="D126"/>
  <c r="AC126"/>
  <c r="M126"/>
  <c r="Z126"/>
  <c r="J126"/>
  <c r="W126"/>
  <c r="G126"/>
  <c r="X126"/>
  <c r="H126"/>
  <c r="AE94"/>
  <c r="O94"/>
  <c r="AF94"/>
  <c r="P94"/>
  <c r="AG94"/>
  <c r="Q94"/>
  <c r="AD94"/>
  <c r="N94"/>
  <c r="S94"/>
  <c r="C94"/>
  <c r="T94"/>
  <c r="D94"/>
  <c r="U94"/>
  <c r="E94"/>
  <c r="R94"/>
  <c r="W94"/>
  <c r="G94"/>
  <c r="X94"/>
  <c r="H94"/>
  <c r="Y94"/>
  <c r="I94"/>
  <c r="V94"/>
  <c r="F94"/>
  <c r="AA94"/>
  <c r="K94"/>
  <c r="AB94"/>
  <c r="L94"/>
  <c r="AC94"/>
  <c r="M94"/>
  <c r="Z94"/>
  <c r="J94"/>
  <c r="AE62"/>
  <c r="O62"/>
  <c r="AF62"/>
  <c r="P62"/>
  <c r="AG62"/>
  <c r="Q62"/>
  <c r="AD62"/>
  <c r="N62"/>
  <c r="S62"/>
  <c r="C62"/>
  <c r="T62"/>
  <c r="D62"/>
  <c r="U62"/>
  <c r="E62"/>
  <c r="R62"/>
  <c r="W62"/>
  <c r="G62"/>
  <c r="X62"/>
  <c r="H62"/>
  <c r="Y62"/>
  <c r="I62"/>
  <c r="V62"/>
  <c r="F62"/>
  <c r="AA62"/>
  <c r="K62"/>
  <c r="AB62"/>
  <c r="L62"/>
  <c r="AC62"/>
  <c r="M62"/>
  <c r="Z62"/>
  <c r="J62"/>
  <c r="AF30"/>
  <c r="P30"/>
  <c r="Y30"/>
  <c r="N30"/>
  <c r="J30"/>
  <c r="S30"/>
  <c r="C30"/>
  <c r="AD30"/>
  <c r="T30"/>
  <c r="D30"/>
  <c r="V30"/>
  <c r="Z30"/>
  <c r="W30"/>
  <c r="G30"/>
  <c r="I30"/>
  <c r="X30"/>
  <c r="H30"/>
  <c r="E30"/>
  <c r="M30"/>
  <c r="AA30"/>
  <c r="K30"/>
  <c r="U30"/>
  <c r="F30"/>
  <c r="AB30"/>
  <c r="L30"/>
  <c r="Q30"/>
  <c r="AC30"/>
  <c r="AE30"/>
  <c r="O30"/>
  <c r="AG30"/>
  <c r="R30"/>
  <c r="W239"/>
  <c r="G239"/>
  <c r="X239"/>
  <c r="H239"/>
  <c r="Y239"/>
  <c r="I239"/>
  <c r="V239"/>
  <c r="F239"/>
  <c r="AA239"/>
  <c r="K239"/>
  <c r="AB239"/>
  <c r="L239"/>
  <c r="AC239"/>
  <c r="M239"/>
  <c r="Z239"/>
  <c r="J239"/>
  <c r="AE239"/>
  <c r="O239"/>
  <c r="AF239"/>
  <c r="P239"/>
  <c r="AG239"/>
  <c r="Q239"/>
  <c r="AD239"/>
  <c r="N239"/>
  <c r="S239"/>
  <c r="C239"/>
  <c r="T239"/>
  <c r="D239"/>
  <c r="U239"/>
  <c r="E239"/>
  <c r="R239"/>
  <c r="W207"/>
  <c r="G207"/>
  <c r="X207"/>
  <c r="H207"/>
  <c r="Y207"/>
  <c r="I207"/>
  <c r="V207"/>
  <c r="F207"/>
  <c r="AA207"/>
  <c r="K207"/>
  <c r="AB207"/>
  <c r="L207"/>
  <c r="AC207"/>
  <c r="M207"/>
  <c r="Z207"/>
  <c r="J207"/>
  <c r="AE207"/>
  <c r="O207"/>
  <c r="AF207"/>
  <c r="P207"/>
  <c r="AG207"/>
  <c r="Q207"/>
  <c r="AD207"/>
  <c r="N207"/>
  <c r="S207"/>
  <c r="C207"/>
  <c r="T207"/>
  <c r="D207"/>
  <c r="U207"/>
  <c r="E207"/>
  <c r="R207"/>
  <c r="V171"/>
  <c r="F171"/>
  <c r="P171"/>
  <c r="AB171"/>
  <c r="G171"/>
  <c r="M171"/>
  <c r="Y171"/>
  <c r="D171"/>
  <c r="Z171"/>
  <c r="J171"/>
  <c r="U171"/>
  <c r="AG171"/>
  <c r="L171"/>
  <c r="S171"/>
  <c r="AE171"/>
  <c r="I171"/>
  <c r="AD171"/>
  <c r="N171"/>
  <c r="AA171"/>
  <c r="E171"/>
  <c r="Q171"/>
  <c r="X171"/>
  <c r="C171"/>
  <c r="O171"/>
  <c r="R171"/>
  <c r="AF171"/>
  <c r="K171"/>
  <c r="W171"/>
  <c r="AC171"/>
  <c r="H171"/>
  <c r="T171"/>
  <c r="AG135"/>
  <c r="Z135"/>
  <c r="T135"/>
  <c r="D135"/>
  <c r="I135"/>
  <c r="N135"/>
  <c r="S135"/>
  <c r="C135"/>
  <c r="AB135"/>
  <c r="AD135"/>
  <c r="W135"/>
  <c r="H135"/>
  <c r="M135"/>
  <c r="R135"/>
  <c r="X135"/>
  <c r="G135"/>
  <c r="AF135"/>
  <c r="Y135"/>
  <c r="AA135"/>
  <c r="L135"/>
  <c r="Q135"/>
  <c r="V135"/>
  <c r="F135"/>
  <c r="K135"/>
  <c r="AC135"/>
  <c r="AE135"/>
  <c r="P135"/>
  <c r="U135"/>
  <c r="E135"/>
  <c r="J135"/>
  <c r="O135"/>
  <c r="AB103"/>
  <c r="L103"/>
  <c r="AC103"/>
  <c r="M103"/>
  <c r="Z103"/>
  <c r="J103"/>
  <c r="W103"/>
  <c r="G103"/>
  <c r="AF103"/>
  <c r="P103"/>
  <c r="AG103"/>
  <c r="Q103"/>
  <c r="AD103"/>
  <c r="N103"/>
  <c r="AA103"/>
  <c r="K103"/>
  <c r="T103"/>
  <c r="D103"/>
  <c r="U103"/>
  <c r="E103"/>
  <c r="R103"/>
  <c r="AE103"/>
  <c r="O103"/>
  <c r="X103"/>
  <c r="H103"/>
  <c r="Y103"/>
  <c r="I103"/>
  <c r="V103"/>
  <c r="F103"/>
  <c r="S103"/>
  <c r="C103"/>
  <c r="Z71"/>
  <c r="J71"/>
  <c r="W71"/>
  <c r="G71"/>
  <c r="X71"/>
  <c r="H71"/>
  <c r="Y71"/>
  <c r="I71"/>
  <c r="AD71"/>
  <c r="N71"/>
  <c r="AA71"/>
  <c r="K71"/>
  <c r="AB71"/>
  <c r="L71"/>
  <c r="AC71"/>
  <c r="M71"/>
  <c r="R71"/>
  <c r="AE71"/>
  <c r="O71"/>
  <c r="AF71"/>
  <c r="P71"/>
  <c r="AG71"/>
  <c r="Q71"/>
  <c r="V71"/>
  <c r="F71"/>
  <c r="S71"/>
  <c r="C71"/>
  <c r="T71"/>
  <c r="D71"/>
  <c r="U71"/>
  <c r="E71"/>
  <c r="AA39"/>
  <c r="K39"/>
  <c r="D39"/>
  <c r="AF39"/>
  <c r="L39"/>
  <c r="AD39"/>
  <c r="N39"/>
  <c r="Q39"/>
  <c r="AE39"/>
  <c r="O39"/>
  <c r="P39"/>
  <c r="I39"/>
  <c r="T39"/>
  <c r="M39"/>
  <c r="R39"/>
  <c r="AC39"/>
  <c r="S39"/>
  <c r="C39"/>
  <c r="U39"/>
  <c r="X39"/>
  <c r="Y39"/>
  <c r="V39"/>
  <c r="F39"/>
  <c r="W39"/>
  <c r="G39"/>
  <c r="AG39"/>
  <c r="AB39"/>
  <c r="H39"/>
  <c r="Z39"/>
  <c r="J39"/>
  <c r="E39"/>
  <c r="AB7"/>
  <c r="L7"/>
  <c r="R7"/>
  <c r="U7"/>
  <c r="E7"/>
  <c r="AE7"/>
  <c r="O7"/>
  <c r="V7"/>
  <c r="AF7"/>
  <c r="P7"/>
  <c r="Z7"/>
  <c r="Y7"/>
  <c r="I7"/>
  <c r="F7"/>
  <c r="S7"/>
  <c r="C7"/>
  <c r="T7"/>
  <c r="D7"/>
  <c r="AC7"/>
  <c r="M7"/>
  <c r="N7"/>
  <c r="W7"/>
  <c r="G7"/>
  <c r="X7"/>
  <c r="H7"/>
  <c r="AG7"/>
  <c r="Q7"/>
  <c r="AD7"/>
  <c r="AA7"/>
  <c r="K7"/>
  <c r="J7"/>
  <c r="AD192"/>
  <c r="N192"/>
  <c r="AA192"/>
  <c r="K192"/>
  <c r="AB192"/>
  <c r="L192"/>
  <c r="AC192"/>
  <c r="M192"/>
  <c r="R192"/>
  <c r="AE192"/>
  <c r="O192"/>
  <c r="AF192"/>
  <c r="P192"/>
  <c r="AG192"/>
  <c r="Q192"/>
  <c r="V192"/>
  <c r="F192"/>
  <c r="S192"/>
  <c r="C192"/>
  <c r="T192"/>
  <c r="D192"/>
  <c r="U192"/>
  <c r="E192"/>
  <c r="Z192"/>
  <c r="J192"/>
  <c r="W192"/>
  <c r="G192"/>
  <c r="X192"/>
  <c r="H192"/>
  <c r="Y192"/>
  <c r="I192"/>
  <c r="AE120"/>
  <c r="O120"/>
  <c r="AF120"/>
  <c r="P120"/>
  <c r="AG120"/>
  <c r="Q120"/>
  <c r="AD120"/>
  <c r="N120"/>
  <c r="S120"/>
  <c r="C120"/>
  <c r="T120"/>
  <c r="D120"/>
  <c r="U120"/>
  <c r="E120"/>
  <c r="R120"/>
  <c r="W120"/>
  <c r="G120"/>
  <c r="X120"/>
  <c r="H120"/>
  <c r="Y120"/>
  <c r="I120"/>
  <c r="V120"/>
  <c r="F120"/>
  <c r="AA120"/>
  <c r="K120"/>
  <c r="AB120"/>
  <c r="L120"/>
  <c r="AC120"/>
  <c r="M120"/>
  <c r="Z120"/>
  <c r="J120"/>
  <c r="AG88"/>
  <c r="Q88"/>
  <c r="AD88"/>
  <c r="N88"/>
  <c r="AA88"/>
  <c r="K88"/>
  <c r="AB88"/>
  <c r="L88"/>
  <c r="U88"/>
  <c r="E88"/>
  <c r="R88"/>
  <c r="AE88"/>
  <c r="O88"/>
  <c r="AF88"/>
  <c r="P88"/>
  <c r="Y88"/>
  <c r="I88"/>
  <c r="V88"/>
  <c r="F88"/>
  <c r="S88"/>
  <c r="C88"/>
  <c r="T88"/>
  <c r="D88"/>
  <c r="AC88"/>
  <c r="M88"/>
  <c r="Z88"/>
  <c r="J88"/>
  <c r="W88"/>
  <c r="G88"/>
  <c r="X88"/>
  <c r="H88"/>
  <c r="AG56"/>
  <c r="Q56"/>
  <c r="AD56"/>
  <c r="N56"/>
  <c r="C56"/>
  <c r="O56"/>
  <c r="AB56"/>
  <c r="L56"/>
  <c r="U56"/>
  <c r="E56"/>
  <c r="R56"/>
  <c r="AA56"/>
  <c r="S56"/>
  <c r="AF56"/>
  <c r="P56"/>
  <c r="Y56"/>
  <c r="I56"/>
  <c r="V56"/>
  <c r="F56"/>
  <c r="W56"/>
  <c r="G56"/>
  <c r="T56"/>
  <c r="D56"/>
  <c r="AC56"/>
  <c r="M56"/>
  <c r="Z56"/>
  <c r="J56"/>
  <c r="AE56"/>
  <c r="K56"/>
  <c r="X56"/>
  <c r="H56"/>
  <c r="AD24"/>
  <c r="N24"/>
  <c r="O24"/>
  <c r="D24"/>
  <c r="L24"/>
  <c r="U24"/>
  <c r="E24"/>
  <c r="AF24"/>
  <c r="R24"/>
  <c r="AA24"/>
  <c r="P24"/>
  <c r="X24"/>
  <c r="Y24"/>
  <c r="I24"/>
  <c r="C24"/>
  <c r="V24"/>
  <c r="F24"/>
  <c r="AB24"/>
  <c r="K24"/>
  <c r="AC24"/>
  <c r="M24"/>
  <c r="S24"/>
  <c r="H24"/>
  <c r="Z24"/>
  <c r="J24"/>
  <c r="G24"/>
  <c r="W24"/>
  <c r="AG24"/>
  <c r="Q24"/>
  <c r="AE24"/>
  <c r="T24"/>
  <c r="Y229"/>
  <c r="I229"/>
  <c r="V229"/>
  <c r="F229"/>
  <c r="S229"/>
  <c r="C229"/>
  <c r="T229"/>
  <c r="D229"/>
  <c r="AC229"/>
  <c r="M229"/>
  <c r="Z229"/>
  <c r="J229"/>
  <c r="W229"/>
  <c r="G229"/>
  <c r="X229"/>
  <c r="H229"/>
  <c r="AG229"/>
  <c r="Q229"/>
  <c r="AD229"/>
  <c r="N229"/>
  <c r="AA229"/>
  <c r="K229"/>
  <c r="AB229"/>
  <c r="L229"/>
  <c r="U229"/>
  <c r="E229"/>
  <c r="R229"/>
  <c r="AE229"/>
  <c r="O229"/>
  <c r="AF229"/>
  <c r="P229"/>
  <c r="Y197"/>
  <c r="I197"/>
  <c r="V197"/>
  <c r="F197"/>
  <c r="S197"/>
  <c r="C197"/>
  <c r="T197"/>
  <c r="D197"/>
  <c r="AC197"/>
  <c r="M197"/>
  <c r="Z197"/>
  <c r="J197"/>
  <c r="W197"/>
  <c r="G197"/>
  <c r="X197"/>
  <c r="H197"/>
  <c r="AG197"/>
  <c r="Q197"/>
  <c r="AD197"/>
  <c r="N197"/>
  <c r="AA197"/>
  <c r="K197"/>
  <c r="AB197"/>
  <c r="L197"/>
  <c r="U197"/>
  <c r="E197"/>
  <c r="R197"/>
  <c r="AE197"/>
  <c r="O197"/>
  <c r="AF197"/>
  <c r="P197"/>
  <c r="Y159"/>
  <c r="I159"/>
  <c r="V159"/>
  <c r="F159"/>
  <c r="S159"/>
  <c r="C159"/>
  <c r="T159"/>
  <c r="D159"/>
  <c r="AC159"/>
  <c r="M159"/>
  <c r="Z159"/>
  <c r="J159"/>
  <c r="W159"/>
  <c r="G159"/>
  <c r="X159"/>
  <c r="H159"/>
  <c r="AG159"/>
  <c r="Q159"/>
  <c r="AD159"/>
  <c r="N159"/>
  <c r="AA159"/>
  <c r="K159"/>
  <c r="AB159"/>
  <c r="L159"/>
  <c r="U159"/>
  <c r="E159"/>
  <c r="R159"/>
  <c r="AE159"/>
  <c r="O159"/>
  <c r="AF159"/>
  <c r="P159"/>
  <c r="V125"/>
  <c r="F125"/>
  <c r="S125"/>
  <c r="C125"/>
  <c r="T125"/>
  <c r="D125"/>
  <c r="U125"/>
  <c r="E125"/>
  <c r="Z125"/>
  <c r="J125"/>
  <c r="W125"/>
  <c r="G125"/>
  <c r="X125"/>
  <c r="H125"/>
  <c r="Y125"/>
  <c r="I125"/>
  <c r="AD125"/>
  <c r="N125"/>
  <c r="AA125"/>
  <c r="K125"/>
  <c r="AB125"/>
  <c r="L125"/>
  <c r="AC125"/>
  <c r="M125"/>
  <c r="R125"/>
  <c r="AE125"/>
  <c r="O125"/>
  <c r="AF125"/>
  <c r="P125"/>
  <c r="AG125"/>
  <c r="Q125"/>
  <c r="X93"/>
  <c r="H93"/>
  <c r="Y93"/>
  <c r="I93"/>
  <c r="V93"/>
  <c r="F93"/>
  <c r="S93"/>
  <c r="C93"/>
  <c r="AB93"/>
  <c r="L93"/>
  <c r="AC93"/>
  <c r="M93"/>
  <c r="Z93"/>
  <c r="J93"/>
  <c r="W93"/>
  <c r="G93"/>
  <c r="AF93"/>
  <c r="P93"/>
  <c r="AG93"/>
  <c r="Q93"/>
  <c r="AD93"/>
  <c r="N93"/>
  <c r="AA93"/>
  <c r="K93"/>
  <c r="T93"/>
  <c r="D93"/>
  <c r="U93"/>
  <c r="E93"/>
  <c r="R93"/>
  <c r="AE93"/>
  <c r="O93"/>
  <c r="X61"/>
  <c r="H61"/>
  <c r="Y61"/>
  <c r="I61"/>
  <c r="V61"/>
  <c r="F61"/>
  <c r="S61"/>
  <c r="C61"/>
  <c r="AB61"/>
  <c r="L61"/>
  <c r="AC61"/>
  <c r="M61"/>
  <c r="Z61"/>
  <c r="J61"/>
  <c r="W61"/>
  <c r="G61"/>
  <c r="AF61"/>
  <c r="P61"/>
  <c r="AG61"/>
  <c r="Q61"/>
  <c r="AD61"/>
  <c r="N61"/>
  <c r="AA61"/>
  <c r="K61"/>
  <c r="T61"/>
  <c r="D61"/>
  <c r="U61"/>
  <c r="E61"/>
  <c r="R61"/>
  <c r="AE61"/>
  <c r="O61"/>
  <c r="Y29"/>
  <c r="I29"/>
  <c r="AA29"/>
  <c r="N29"/>
  <c r="AF29"/>
  <c r="P29"/>
  <c r="Z29"/>
  <c r="K29"/>
  <c r="AC29"/>
  <c r="M29"/>
  <c r="J29"/>
  <c r="AD29"/>
  <c r="C29"/>
  <c r="T29"/>
  <c r="D29"/>
  <c r="W29"/>
  <c r="AG29"/>
  <c r="Q29"/>
  <c r="V29"/>
  <c r="G29"/>
  <c r="S29"/>
  <c r="X29"/>
  <c r="H29"/>
  <c r="F29"/>
  <c r="U29"/>
  <c r="E29"/>
  <c r="O29"/>
  <c r="AE29"/>
  <c r="AB29"/>
  <c r="L29"/>
  <c r="R29"/>
  <c r="AF226"/>
  <c r="P226"/>
  <c r="AG226"/>
  <c r="Q226"/>
  <c r="AD226"/>
  <c r="N226"/>
  <c r="AA226"/>
  <c r="K226"/>
  <c r="T226"/>
  <c r="D226"/>
  <c r="U226"/>
  <c r="E226"/>
  <c r="R226"/>
  <c r="AE226"/>
  <c r="O226"/>
  <c r="X226"/>
  <c r="H226"/>
  <c r="Y226"/>
  <c r="I226"/>
  <c r="V226"/>
  <c r="F226"/>
  <c r="S226"/>
  <c r="C226"/>
  <c r="AB226"/>
  <c r="L226"/>
  <c r="AC226"/>
  <c r="M226"/>
  <c r="Z226"/>
  <c r="J226"/>
  <c r="W226"/>
  <c r="G226"/>
  <c r="AF194"/>
  <c r="P194"/>
  <c r="AG194"/>
  <c r="Q194"/>
  <c r="AD194"/>
  <c r="N194"/>
  <c r="AA194"/>
  <c r="K194"/>
  <c r="T194"/>
  <c r="D194"/>
  <c r="U194"/>
  <c r="E194"/>
  <c r="R194"/>
  <c r="AE194"/>
  <c r="O194"/>
  <c r="X194"/>
  <c r="H194"/>
  <c r="Y194"/>
  <c r="I194"/>
  <c r="V194"/>
  <c r="F194"/>
  <c r="S194"/>
  <c r="C194"/>
  <c r="AB194"/>
  <c r="L194"/>
  <c r="AC194"/>
  <c r="M194"/>
  <c r="Z194"/>
  <c r="J194"/>
  <c r="W194"/>
  <c r="G194"/>
  <c r="AG156"/>
  <c r="Q156"/>
  <c r="AD156"/>
  <c r="N156"/>
  <c r="AA156"/>
  <c r="K156"/>
  <c r="AB156"/>
  <c r="L156"/>
  <c r="U156"/>
  <c r="E156"/>
  <c r="R156"/>
  <c r="AE156"/>
  <c r="O156"/>
  <c r="AF156"/>
  <c r="P156"/>
  <c r="Y156"/>
  <c r="I156"/>
  <c r="V156"/>
  <c r="F156"/>
  <c r="S156"/>
  <c r="C156"/>
  <c r="T156"/>
  <c r="D156"/>
  <c r="AC156"/>
  <c r="M156"/>
  <c r="Z156"/>
  <c r="J156"/>
  <c r="W156"/>
  <c r="G156"/>
  <c r="X156"/>
  <c r="H156"/>
  <c r="AG122"/>
  <c r="Q122"/>
  <c r="AD122"/>
  <c r="N122"/>
  <c r="AA122"/>
  <c r="K122"/>
  <c r="AB122"/>
  <c r="L122"/>
  <c r="U122"/>
  <c r="E122"/>
  <c r="R122"/>
  <c r="AE122"/>
  <c r="O122"/>
  <c r="AF122"/>
  <c r="P122"/>
  <c r="Y122"/>
  <c r="I122"/>
  <c r="V122"/>
  <c r="F122"/>
  <c r="S122"/>
  <c r="C122"/>
  <c r="T122"/>
  <c r="D122"/>
  <c r="AC122"/>
  <c r="M122"/>
  <c r="Z122"/>
  <c r="J122"/>
  <c r="W122"/>
  <c r="G122"/>
  <c r="X122"/>
  <c r="H122"/>
  <c r="AE90"/>
  <c r="O90"/>
  <c r="AF90"/>
  <c r="P90"/>
  <c r="AG90"/>
  <c r="Q90"/>
  <c r="AD90"/>
  <c r="N90"/>
  <c r="S90"/>
  <c r="C90"/>
  <c r="T90"/>
  <c r="D90"/>
  <c r="U90"/>
  <c r="E90"/>
  <c r="R90"/>
  <c r="W90"/>
  <c r="G90"/>
  <c r="X90"/>
  <c r="H90"/>
  <c r="Y90"/>
  <c r="I90"/>
  <c r="V90"/>
  <c r="F90"/>
  <c r="AA90"/>
  <c r="K90"/>
  <c r="AB90"/>
  <c r="L90"/>
  <c r="AC90"/>
  <c r="M90"/>
  <c r="Z90"/>
  <c r="J90"/>
  <c r="AE58"/>
  <c r="O58"/>
  <c r="AF58"/>
  <c r="P58"/>
  <c r="AG58"/>
  <c r="Q58"/>
  <c r="AD58"/>
  <c r="N58"/>
  <c r="S58"/>
  <c r="C58"/>
  <c r="T58"/>
  <c r="D58"/>
  <c r="U58"/>
  <c r="E58"/>
  <c r="R58"/>
  <c r="W58"/>
  <c r="G58"/>
  <c r="X58"/>
  <c r="H58"/>
  <c r="Y58"/>
  <c r="I58"/>
  <c r="V58"/>
  <c r="F58"/>
  <c r="AA58"/>
  <c r="K58"/>
  <c r="AB58"/>
  <c r="L58"/>
  <c r="AC58"/>
  <c r="M58"/>
  <c r="Z58"/>
  <c r="J58"/>
  <c r="AB26"/>
  <c r="L26"/>
  <c r="Q26"/>
  <c r="M26"/>
  <c r="AE26"/>
  <c r="O26"/>
  <c r="AG26"/>
  <c r="V26"/>
  <c r="AF26"/>
  <c r="P26"/>
  <c r="Y26"/>
  <c r="AC26"/>
  <c r="F26"/>
  <c r="S26"/>
  <c r="C26"/>
  <c r="E26"/>
  <c r="T26"/>
  <c r="D26"/>
  <c r="N26"/>
  <c r="R26"/>
  <c r="W26"/>
  <c r="G26"/>
  <c r="I26"/>
  <c r="X26"/>
  <c r="H26"/>
  <c r="Z26"/>
  <c r="AD26"/>
  <c r="AA26"/>
  <c r="K26"/>
  <c r="U26"/>
  <c r="J26"/>
  <c r="AA227"/>
  <c r="K227"/>
  <c r="AB227"/>
  <c r="L227"/>
  <c r="AC227"/>
  <c r="M227"/>
  <c r="Z227"/>
  <c r="J227"/>
  <c r="AE227"/>
  <c r="O227"/>
  <c r="AF227"/>
  <c r="P227"/>
  <c r="AG227"/>
  <c r="Q227"/>
  <c r="AD227"/>
  <c r="N227"/>
  <c r="S227"/>
  <c r="C227"/>
  <c r="T227"/>
  <c r="D227"/>
  <c r="U227"/>
  <c r="E227"/>
  <c r="R227"/>
  <c r="W227"/>
  <c r="G227"/>
  <c r="X227"/>
  <c r="H227"/>
  <c r="Y227"/>
  <c r="I227"/>
  <c r="V227"/>
  <c r="F227"/>
  <c r="AA195"/>
  <c r="K195"/>
  <c r="AB195"/>
  <c r="L195"/>
  <c r="AC195"/>
  <c r="M195"/>
  <c r="Z195"/>
  <c r="J195"/>
  <c r="AE195"/>
  <c r="O195"/>
  <c r="AF195"/>
  <c r="P195"/>
  <c r="AG195"/>
  <c r="Q195"/>
  <c r="AD195"/>
  <c r="N195"/>
  <c r="S195"/>
  <c r="C195"/>
  <c r="T195"/>
  <c r="D195"/>
  <c r="U195"/>
  <c r="E195"/>
  <c r="R195"/>
  <c r="W195"/>
  <c r="G195"/>
  <c r="X195"/>
  <c r="H195"/>
  <c r="Y195"/>
  <c r="I195"/>
  <c r="V195"/>
  <c r="F195"/>
  <c r="AC157"/>
  <c r="M157"/>
  <c r="Z157"/>
  <c r="J157"/>
  <c r="W157"/>
  <c r="G157"/>
  <c r="X157"/>
  <c r="H157"/>
  <c r="AG157"/>
  <c r="Q157"/>
  <c r="AD157"/>
  <c r="N157"/>
  <c r="AA157"/>
  <c r="K157"/>
  <c r="AB157"/>
  <c r="L157"/>
  <c r="U157"/>
  <c r="E157"/>
  <c r="R157"/>
  <c r="AE157"/>
  <c r="O157"/>
  <c r="AF157"/>
  <c r="P157"/>
  <c r="Y157"/>
  <c r="I157"/>
  <c r="V157"/>
  <c r="F157"/>
  <c r="S157"/>
  <c r="C157"/>
  <c r="T157"/>
  <c r="D157"/>
  <c r="AB123"/>
  <c r="L123"/>
  <c r="AC123"/>
  <c r="M123"/>
  <c r="Z123"/>
  <c r="J123"/>
  <c r="W123"/>
  <c r="G123"/>
  <c r="AF123"/>
  <c r="P123"/>
  <c r="AG123"/>
  <c r="Q123"/>
  <c r="AD123"/>
  <c r="N123"/>
  <c r="AA123"/>
  <c r="K123"/>
  <c r="T123"/>
  <c r="D123"/>
  <c r="U123"/>
  <c r="E123"/>
  <c r="R123"/>
  <c r="AE123"/>
  <c r="O123"/>
  <c r="X123"/>
  <c r="H123"/>
  <c r="Y123"/>
  <c r="I123"/>
  <c r="V123"/>
  <c r="F123"/>
  <c r="S123"/>
  <c r="C123"/>
  <c r="Z91"/>
  <c r="J91"/>
  <c r="W91"/>
  <c r="G91"/>
  <c r="X91"/>
  <c r="H91"/>
  <c r="Y91"/>
  <c r="I91"/>
  <c r="AD91"/>
  <c r="N91"/>
  <c r="AA91"/>
  <c r="K91"/>
  <c r="AB91"/>
  <c r="L91"/>
  <c r="AC91"/>
  <c r="M91"/>
  <c r="R91"/>
  <c r="AE91"/>
  <c r="O91"/>
  <c r="AF91"/>
  <c r="P91"/>
  <c r="AG91"/>
  <c r="Q91"/>
  <c r="V91"/>
  <c r="F91"/>
  <c r="S91"/>
  <c r="C91"/>
  <c r="T91"/>
  <c r="D91"/>
  <c r="U91"/>
  <c r="E91"/>
  <c r="Z59"/>
  <c r="J59"/>
  <c r="W59"/>
  <c r="G59"/>
  <c r="X59"/>
  <c r="H59"/>
  <c r="Y59"/>
  <c r="I59"/>
  <c r="AD59"/>
  <c r="N59"/>
  <c r="AA59"/>
  <c r="K59"/>
  <c r="AB59"/>
  <c r="L59"/>
  <c r="AC59"/>
  <c r="M59"/>
  <c r="R59"/>
  <c r="AE59"/>
  <c r="O59"/>
  <c r="AF59"/>
  <c r="P59"/>
  <c r="AG59"/>
  <c r="Q59"/>
  <c r="V59"/>
  <c r="F59"/>
  <c r="S59"/>
  <c r="C59"/>
  <c r="T59"/>
  <c r="D59"/>
  <c r="U59"/>
  <c r="E59"/>
  <c r="AA27"/>
  <c r="K27"/>
  <c r="X27"/>
  <c r="Q27"/>
  <c r="AG27"/>
  <c r="Z27"/>
  <c r="J27"/>
  <c r="Y27"/>
  <c r="AE27"/>
  <c r="O27"/>
  <c r="AF27"/>
  <c r="AC27"/>
  <c r="L27"/>
  <c r="AD27"/>
  <c r="N27"/>
  <c r="H27"/>
  <c r="S27"/>
  <c r="C27"/>
  <c r="D27"/>
  <c r="AB27"/>
  <c r="I27"/>
  <c r="R27"/>
  <c r="T27"/>
  <c r="W27"/>
  <c r="G27"/>
  <c r="P27"/>
  <c r="E27"/>
  <c r="U27"/>
  <c r="V27"/>
  <c r="F27"/>
  <c r="M27"/>
  <c r="R228"/>
  <c r="AE228"/>
  <c r="O228"/>
  <c r="AF228"/>
  <c r="P228"/>
  <c r="AG228"/>
  <c r="Q228"/>
  <c r="V228"/>
  <c r="F228"/>
  <c r="S228"/>
  <c r="C228"/>
  <c r="T228"/>
  <c r="D228"/>
  <c r="U228"/>
  <c r="E228"/>
  <c r="Z228"/>
  <c r="J228"/>
  <c r="W228"/>
  <c r="G228"/>
  <c r="X228"/>
  <c r="H228"/>
  <c r="Y228"/>
  <c r="I228"/>
  <c r="AD228"/>
  <c r="N228"/>
  <c r="AA228"/>
  <c r="K228"/>
  <c r="AB228"/>
  <c r="L228"/>
  <c r="AC228"/>
  <c r="M228"/>
  <c r="R196"/>
  <c r="AE196"/>
  <c r="O196"/>
  <c r="AF196"/>
  <c r="P196"/>
  <c r="AG196"/>
  <c r="Q196"/>
  <c r="V196"/>
  <c r="F196"/>
  <c r="S196"/>
  <c r="C196"/>
  <c r="T196"/>
  <c r="D196"/>
  <c r="U196"/>
  <c r="E196"/>
  <c r="Z196"/>
  <c r="J196"/>
  <c r="W196"/>
  <c r="G196"/>
  <c r="X196"/>
  <c r="H196"/>
  <c r="Y196"/>
  <c r="I196"/>
  <c r="AD196"/>
  <c r="N196"/>
  <c r="AA196"/>
  <c r="K196"/>
  <c r="AB196"/>
  <c r="L196"/>
  <c r="AC196"/>
  <c r="M196"/>
  <c r="U158"/>
  <c r="E158"/>
  <c r="R158"/>
  <c r="AE158"/>
  <c r="O158"/>
  <c r="AF158"/>
  <c r="P158"/>
  <c r="Y158"/>
  <c r="I158"/>
  <c r="V158"/>
  <c r="F158"/>
  <c r="S158"/>
  <c r="C158"/>
  <c r="T158"/>
  <c r="D158"/>
  <c r="AC158"/>
  <c r="M158"/>
  <c r="Z158"/>
  <c r="J158"/>
  <c r="W158"/>
  <c r="G158"/>
  <c r="X158"/>
  <c r="H158"/>
  <c r="AG158"/>
  <c r="Q158"/>
  <c r="AD158"/>
  <c r="N158"/>
  <c r="AA158"/>
  <c r="K158"/>
  <c r="AB158"/>
  <c r="L158"/>
  <c r="S124"/>
  <c r="C124"/>
  <c r="T124"/>
  <c r="D124"/>
  <c r="U124"/>
  <c r="E124"/>
  <c r="R124"/>
  <c r="W124"/>
  <c r="G124"/>
  <c r="X124"/>
  <c r="H124"/>
  <c r="Y124"/>
  <c r="I124"/>
  <c r="V124"/>
  <c r="F124"/>
  <c r="AA124"/>
  <c r="K124"/>
  <c r="AB124"/>
  <c r="L124"/>
  <c r="AC124"/>
  <c r="M124"/>
  <c r="Z124"/>
  <c r="J124"/>
  <c r="AE124"/>
  <c r="O124"/>
  <c r="AF124"/>
  <c r="P124"/>
  <c r="AG124"/>
  <c r="Q124"/>
  <c r="AD124"/>
  <c r="N124"/>
  <c r="U92"/>
  <c r="E92"/>
  <c r="R92"/>
  <c r="AE92"/>
  <c r="O92"/>
  <c r="AF92"/>
  <c r="P92"/>
  <c r="Y92"/>
  <c r="I92"/>
  <c r="V92"/>
  <c r="F92"/>
  <c r="S92"/>
  <c r="C92"/>
  <c r="T92"/>
  <c r="D92"/>
  <c r="AC92"/>
  <c r="M92"/>
  <c r="Z92"/>
  <c r="J92"/>
  <c r="W92"/>
  <c r="G92"/>
  <c r="X92"/>
  <c r="H92"/>
  <c r="AG92"/>
  <c r="Q92"/>
  <c r="AD92"/>
  <c r="N92"/>
  <c r="AA92"/>
  <c r="K92"/>
  <c r="AB92"/>
  <c r="L92"/>
  <c r="U60"/>
  <c r="E60"/>
  <c r="R60"/>
  <c r="AE60"/>
  <c r="O60"/>
  <c r="AF60"/>
  <c r="P60"/>
  <c r="Y60"/>
  <c r="I60"/>
  <c r="V60"/>
  <c r="F60"/>
  <c r="S60"/>
  <c r="C60"/>
  <c r="T60"/>
  <c r="D60"/>
  <c r="AC60"/>
  <c r="M60"/>
  <c r="Z60"/>
  <c r="J60"/>
  <c r="W60"/>
  <c r="G60"/>
  <c r="X60"/>
  <c r="H60"/>
  <c r="AG60"/>
  <c r="Q60"/>
  <c r="AD60"/>
  <c r="N60"/>
  <c r="AA60"/>
  <c r="K60"/>
  <c r="AB60"/>
  <c r="L60"/>
  <c r="R28"/>
  <c r="AA28"/>
  <c r="H28"/>
  <c r="X28"/>
  <c r="Y28"/>
  <c r="I28"/>
  <c r="C28"/>
  <c r="V28"/>
  <c r="F28"/>
  <c r="T28"/>
  <c r="G28"/>
  <c r="AC28"/>
  <c r="M28"/>
  <c r="O28"/>
  <c r="D28"/>
  <c r="Z28"/>
  <c r="J28"/>
  <c r="AF28"/>
  <c r="S28"/>
  <c r="AG28"/>
  <c r="Q28"/>
  <c r="W28"/>
  <c r="P28"/>
  <c r="AD28"/>
  <c r="N28"/>
  <c r="K28"/>
  <c r="AE28"/>
  <c r="L28"/>
  <c r="U28"/>
  <c r="E28"/>
  <c r="AB28"/>
  <c r="U233"/>
  <c r="E233"/>
  <c r="R233"/>
  <c r="AE233"/>
  <c r="O233"/>
  <c r="AF233"/>
  <c r="P233"/>
  <c r="Y233"/>
  <c r="I233"/>
  <c r="V233"/>
  <c r="F233"/>
  <c r="S233"/>
  <c r="C233"/>
  <c r="T233"/>
  <c r="D233"/>
  <c r="AC233"/>
  <c r="M233"/>
  <c r="Z233"/>
  <c r="J233"/>
  <c r="W233"/>
  <c r="G233"/>
  <c r="X233"/>
  <c r="H233"/>
  <c r="AG233"/>
  <c r="Q233"/>
  <c r="AD233"/>
  <c r="N233"/>
  <c r="AA233"/>
  <c r="K233"/>
  <c r="AB233"/>
  <c r="L233"/>
  <c r="U201"/>
  <c r="E201"/>
  <c r="R201"/>
  <c r="AE201"/>
  <c r="O201"/>
  <c r="AF201"/>
  <c r="P201"/>
  <c r="Y201"/>
  <c r="I201"/>
  <c r="V201"/>
  <c r="F201"/>
  <c r="S201"/>
  <c r="C201"/>
  <c r="T201"/>
  <c r="D201"/>
  <c r="AC201"/>
  <c r="M201"/>
  <c r="Z201"/>
  <c r="J201"/>
  <c r="W201"/>
  <c r="G201"/>
  <c r="X201"/>
  <c r="H201"/>
  <c r="AG201"/>
  <c r="Q201"/>
  <c r="AD201"/>
  <c r="N201"/>
  <c r="AA201"/>
  <c r="K201"/>
  <c r="AB201"/>
  <c r="L201"/>
  <c r="U163"/>
  <c r="E163"/>
  <c r="R163"/>
  <c r="AE163"/>
  <c r="O163"/>
  <c r="AF163"/>
  <c r="P163"/>
  <c r="Y163"/>
  <c r="I163"/>
  <c r="V163"/>
  <c r="F163"/>
  <c r="S163"/>
  <c r="C163"/>
  <c r="T163"/>
  <c r="D163"/>
  <c r="AC163"/>
  <c r="M163"/>
  <c r="Z163"/>
  <c r="J163"/>
  <c r="W163"/>
  <c r="G163"/>
  <c r="X163"/>
  <c r="H163"/>
  <c r="AG163"/>
  <c r="Q163"/>
  <c r="AD163"/>
  <c r="N163"/>
  <c r="AA163"/>
  <c r="K163"/>
  <c r="AB163"/>
  <c r="L163"/>
  <c r="R129"/>
  <c r="AE129"/>
  <c r="O129"/>
  <c r="AF129"/>
  <c r="P129"/>
  <c r="AG129"/>
  <c r="Q129"/>
  <c r="V129"/>
  <c r="F129"/>
  <c r="S129"/>
  <c r="C129"/>
  <c r="T129"/>
  <c r="D129"/>
  <c r="U129"/>
  <c r="E129"/>
  <c r="Z129"/>
  <c r="J129"/>
  <c r="W129"/>
  <c r="G129"/>
  <c r="X129"/>
  <c r="H129"/>
  <c r="Y129"/>
  <c r="I129"/>
  <c r="AD129"/>
  <c r="N129"/>
  <c r="AA129"/>
  <c r="K129"/>
  <c r="AB129"/>
  <c r="L129"/>
  <c r="AC129"/>
  <c r="M129"/>
  <c r="T97"/>
  <c r="D97"/>
  <c r="U97"/>
  <c r="E97"/>
  <c r="R97"/>
  <c r="AE97"/>
  <c r="O97"/>
  <c r="X97"/>
  <c r="H97"/>
  <c r="Y97"/>
  <c r="I97"/>
  <c r="V97"/>
  <c r="F97"/>
  <c r="S97"/>
  <c r="C97"/>
  <c r="AB97"/>
  <c r="L97"/>
  <c r="AC97"/>
  <c r="M97"/>
  <c r="Z97"/>
  <c r="J97"/>
  <c r="W97"/>
  <c r="G97"/>
  <c r="AF97"/>
  <c r="P97"/>
  <c r="AG97"/>
  <c r="Q97"/>
  <c r="AD97"/>
  <c r="N97"/>
  <c r="AA97"/>
  <c r="K97"/>
  <c r="T65"/>
  <c r="D65"/>
  <c r="U65"/>
  <c r="E65"/>
  <c r="R65"/>
  <c r="AE65"/>
  <c r="O65"/>
  <c r="X65"/>
  <c r="H65"/>
  <c r="Y65"/>
  <c r="I65"/>
  <c r="V65"/>
  <c r="F65"/>
  <c r="S65"/>
  <c r="C65"/>
  <c r="AB65"/>
  <c r="L65"/>
  <c r="AC65"/>
  <c r="M65"/>
  <c r="Z65"/>
  <c r="J65"/>
  <c r="W65"/>
  <c r="G65"/>
  <c r="AF65"/>
  <c r="P65"/>
  <c r="AG65"/>
  <c r="Q65"/>
  <c r="AD65"/>
  <c r="N65"/>
  <c r="AA65"/>
  <c r="K65"/>
  <c r="U33"/>
  <c r="E33"/>
  <c r="AA33"/>
  <c r="J33"/>
  <c r="AB33"/>
  <c r="L33"/>
  <c r="N33"/>
  <c r="Y33"/>
  <c r="I33"/>
  <c r="F33"/>
  <c r="Z33"/>
  <c r="AF33"/>
  <c r="P33"/>
  <c r="V33"/>
  <c r="G33"/>
  <c r="AC33"/>
  <c r="M33"/>
  <c r="R33"/>
  <c r="C33"/>
  <c r="K33"/>
  <c r="T33"/>
  <c r="D33"/>
  <c r="S33"/>
  <c r="AG33"/>
  <c r="Q33"/>
  <c r="AD33"/>
  <c r="O33"/>
  <c r="W33"/>
  <c r="X33"/>
  <c r="H33"/>
  <c r="AE33"/>
  <c r="T238"/>
  <c r="D238"/>
  <c r="U238"/>
  <c r="E238"/>
  <c r="R238"/>
  <c r="AE238"/>
  <c r="O238"/>
  <c r="X238"/>
  <c r="H238"/>
  <c r="Y238"/>
  <c r="I238"/>
  <c r="V238"/>
  <c r="F238"/>
  <c r="S238"/>
  <c r="C238"/>
  <c r="AB238"/>
  <c r="L238"/>
  <c r="AC238"/>
  <c r="M238"/>
  <c r="Z238"/>
  <c r="J238"/>
  <c r="W238"/>
  <c r="G238"/>
  <c r="AF238"/>
  <c r="P238"/>
  <c r="AG238"/>
  <c r="Q238"/>
  <c r="AD238"/>
  <c r="N238"/>
  <c r="AA238"/>
  <c r="K238"/>
  <c r="T206"/>
  <c r="AG206"/>
  <c r="Q206"/>
  <c r="AD206"/>
  <c r="O206"/>
  <c r="F206"/>
  <c r="W206"/>
  <c r="X206"/>
  <c r="H206"/>
  <c r="U206"/>
  <c r="E206"/>
  <c r="J206"/>
  <c r="R206"/>
  <c r="AA206"/>
  <c r="D206"/>
  <c r="AB206"/>
  <c r="L206"/>
  <c r="Y206"/>
  <c r="I206"/>
  <c r="N206"/>
  <c r="Z206"/>
  <c r="AE206"/>
  <c r="K206"/>
  <c r="AF206"/>
  <c r="P206"/>
  <c r="AC206"/>
  <c r="M206"/>
  <c r="V206"/>
  <c r="G206"/>
  <c r="C206"/>
  <c r="S206"/>
  <c r="S168"/>
  <c r="R168"/>
  <c r="AD168"/>
  <c r="J168"/>
  <c r="U168"/>
  <c r="C168"/>
  <c r="Q168"/>
  <c r="W168"/>
  <c r="X168"/>
  <c r="E168"/>
  <c r="N168"/>
  <c r="Z168"/>
  <c r="G168"/>
  <c r="V168"/>
  <c r="D168"/>
  <c r="AA168"/>
  <c r="AC168"/>
  <c r="I168"/>
  <c r="T168"/>
  <c r="AF168"/>
  <c r="K168"/>
  <c r="AB168"/>
  <c r="H168"/>
  <c r="AE168"/>
  <c r="O168"/>
  <c r="M168"/>
  <c r="Y168"/>
  <c r="F168"/>
  <c r="P168"/>
  <c r="AG168"/>
  <c r="L168"/>
  <c r="U134"/>
  <c r="E134"/>
  <c r="R134"/>
  <c r="AE134"/>
  <c r="O134"/>
  <c r="AF134"/>
  <c r="P134"/>
  <c r="Y134"/>
  <c r="I134"/>
  <c r="V134"/>
  <c r="F134"/>
  <c r="S134"/>
  <c r="C134"/>
  <c r="T134"/>
  <c r="D134"/>
  <c r="AC134"/>
  <c r="M134"/>
  <c r="Z134"/>
  <c r="J134"/>
  <c r="W134"/>
  <c r="G134"/>
  <c r="X134"/>
  <c r="H134"/>
  <c r="AG134"/>
  <c r="Q134"/>
  <c r="AD134"/>
  <c r="N134"/>
  <c r="AA134"/>
  <c r="K134"/>
  <c r="AB134"/>
  <c r="L134"/>
  <c r="U102"/>
  <c r="E102"/>
  <c r="R102"/>
  <c r="AE102"/>
  <c r="O102"/>
  <c r="AF102"/>
  <c r="P102"/>
  <c r="Y102"/>
  <c r="I102"/>
  <c r="V102"/>
  <c r="F102"/>
  <c r="S102"/>
  <c r="C102"/>
  <c r="T102"/>
  <c r="D102"/>
  <c r="AC102"/>
  <c r="M102"/>
  <c r="Z102"/>
  <c r="J102"/>
  <c r="W102"/>
  <c r="G102"/>
  <c r="X102"/>
  <c r="H102"/>
  <c r="AG102"/>
  <c r="Q102"/>
  <c r="AD102"/>
  <c r="N102"/>
  <c r="AA102"/>
  <c r="K102"/>
  <c r="AB102"/>
  <c r="L102"/>
  <c r="S70"/>
  <c r="C70"/>
  <c r="T70"/>
  <c r="D70"/>
  <c r="U70"/>
  <c r="E70"/>
  <c r="R70"/>
  <c r="W70"/>
  <c r="G70"/>
  <c r="X70"/>
  <c r="H70"/>
  <c r="Y70"/>
  <c r="I70"/>
  <c r="V70"/>
  <c r="F70"/>
  <c r="AA70"/>
  <c r="K70"/>
  <c r="AB70"/>
  <c r="L70"/>
  <c r="AC70"/>
  <c r="M70"/>
  <c r="Z70"/>
  <c r="J70"/>
  <c r="AE70"/>
  <c r="O70"/>
  <c r="AF70"/>
  <c r="P70"/>
  <c r="AG70"/>
  <c r="Q70"/>
  <c r="AD70"/>
  <c r="N70"/>
  <c r="T38"/>
  <c r="D38"/>
  <c r="E38"/>
  <c r="Y38"/>
  <c r="J38"/>
  <c r="S38"/>
  <c r="C38"/>
  <c r="X38"/>
  <c r="H38"/>
  <c r="M38"/>
  <c r="AG38"/>
  <c r="V38"/>
  <c r="W38"/>
  <c r="G38"/>
  <c r="F38"/>
  <c r="AB38"/>
  <c r="L38"/>
  <c r="U38"/>
  <c r="N38"/>
  <c r="I38"/>
  <c r="AA38"/>
  <c r="K38"/>
  <c r="R38"/>
  <c r="AF38"/>
  <c r="P38"/>
  <c r="AC38"/>
  <c r="AD38"/>
  <c r="Q38"/>
  <c r="AE38"/>
  <c r="O38"/>
  <c r="Z38"/>
  <c r="U6"/>
  <c r="E6"/>
  <c r="V6"/>
  <c r="F6"/>
  <c r="AF6"/>
  <c r="P6"/>
  <c r="AE6"/>
  <c r="Y6"/>
  <c r="I6"/>
  <c r="Z6"/>
  <c r="J6"/>
  <c r="G6"/>
  <c r="T6"/>
  <c r="D6"/>
  <c r="C6"/>
  <c r="AC6"/>
  <c r="M6"/>
  <c r="AD6"/>
  <c r="N6"/>
  <c r="O6"/>
  <c r="X6"/>
  <c r="H6"/>
  <c r="K6"/>
  <c r="AG6"/>
  <c r="Q6"/>
  <c r="AA6"/>
  <c r="R6"/>
  <c r="W6"/>
  <c r="AB6"/>
  <c r="L6"/>
  <c r="S6"/>
  <c r="AA215"/>
  <c r="K215"/>
  <c r="AB215"/>
  <c r="L215"/>
  <c r="Y215"/>
  <c r="R215"/>
  <c r="M215"/>
  <c r="N215"/>
  <c r="AE215"/>
  <c r="O215"/>
  <c r="AF215"/>
  <c r="P215"/>
  <c r="AG215"/>
  <c r="Z215"/>
  <c r="U215"/>
  <c r="V215"/>
  <c r="S215"/>
  <c r="C215"/>
  <c r="T215"/>
  <c r="D215"/>
  <c r="I215"/>
  <c r="AC215"/>
  <c r="AD215"/>
  <c r="W215"/>
  <c r="G215"/>
  <c r="X215"/>
  <c r="H215"/>
  <c r="Q215"/>
  <c r="J215"/>
  <c r="E215"/>
  <c r="F215"/>
  <c r="AA183"/>
  <c r="K183"/>
  <c r="AB183"/>
  <c r="L183"/>
  <c r="AC183"/>
  <c r="M183"/>
  <c r="Z183"/>
  <c r="J183"/>
  <c r="AE183"/>
  <c r="O183"/>
  <c r="AF183"/>
  <c r="P183"/>
  <c r="AG183"/>
  <c r="Q183"/>
  <c r="AD183"/>
  <c r="N183"/>
  <c r="S183"/>
  <c r="C183"/>
  <c r="T183"/>
  <c r="D183"/>
  <c r="U183"/>
  <c r="E183"/>
  <c r="R183"/>
  <c r="W183"/>
  <c r="G183"/>
  <c r="X183"/>
  <c r="H183"/>
  <c r="Y183"/>
  <c r="I183"/>
  <c r="V183"/>
  <c r="F183"/>
  <c r="AC145"/>
  <c r="M145"/>
  <c r="Z145"/>
  <c r="J145"/>
  <c r="W145"/>
  <c r="G145"/>
  <c r="X145"/>
  <c r="H145"/>
  <c r="AG145"/>
  <c r="Q145"/>
  <c r="AD145"/>
  <c r="N145"/>
  <c r="AA145"/>
  <c r="K145"/>
  <c r="AB145"/>
  <c r="L145"/>
  <c r="U145"/>
  <c r="E145"/>
  <c r="R145"/>
  <c r="AE145"/>
  <c r="O145"/>
  <c r="AF145"/>
  <c r="P145"/>
  <c r="Y145"/>
  <c r="I145"/>
  <c r="V145"/>
  <c r="F145"/>
  <c r="S145"/>
  <c r="C145"/>
  <c r="T145"/>
  <c r="D145"/>
  <c r="AF111"/>
  <c r="P111"/>
  <c r="AG111"/>
  <c r="Q111"/>
  <c r="AD111"/>
  <c r="N111"/>
  <c r="AA111"/>
  <c r="K111"/>
  <c r="T111"/>
  <c r="D111"/>
  <c r="U111"/>
  <c r="E111"/>
  <c r="R111"/>
  <c r="AE111"/>
  <c r="O111"/>
  <c r="X111"/>
  <c r="H111"/>
  <c r="Y111"/>
  <c r="I111"/>
  <c r="V111"/>
  <c r="F111"/>
  <c r="S111"/>
  <c r="C111"/>
  <c r="AB111"/>
  <c r="L111"/>
  <c r="AC111"/>
  <c r="M111"/>
  <c r="Z111"/>
  <c r="J111"/>
  <c r="W111"/>
  <c r="G111"/>
  <c r="AD79"/>
  <c r="N79"/>
  <c r="AA79"/>
  <c r="K79"/>
  <c r="AB79"/>
  <c r="L79"/>
  <c r="AC79"/>
  <c r="M79"/>
  <c r="R79"/>
  <c r="AE79"/>
  <c r="O79"/>
  <c r="AF79"/>
  <c r="P79"/>
  <c r="AG79"/>
  <c r="Q79"/>
  <c r="V79"/>
  <c r="F79"/>
  <c r="S79"/>
  <c r="C79"/>
  <c r="T79"/>
  <c r="D79"/>
  <c r="U79"/>
  <c r="E79"/>
  <c r="Z79"/>
  <c r="J79"/>
  <c r="W79"/>
  <c r="G79"/>
  <c r="X79"/>
  <c r="H79"/>
  <c r="Y79"/>
  <c r="I79"/>
  <c r="AE47"/>
  <c r="O47"/>
  <c r="AC47"/>
  <c r="AB47"/>
  <c r="L47"/>
  <c r="U47"/>
  <c r="V47"/>
  <c r="F47"/>
  <c r="S47"/>
  <c r="C47"/>
  <c r="AF47"/>
  <c r="P47"/>
  <c r="AG47"/>
  <c r="Z47"/>
  <c r="J47"/>
  <c r="W47"/>
  <c r="G47"/>
  <c r="E47"/>
  <c r="T47"/>
  <c r="D47"/>
  <c r="AD47"/>
  <c r="N47"/>
  <c r="M47"/>
  <c r="AA47"/>
  <c r="K47"/>
  <c r="Q47"/>
  <c r="X47"/>
  <c r="H47"/>
  <c r="I47"/>
  <c r="R47"/>
  <c r="Y47"/>
  <c r="AF15"/>
  <c r="P15"/>
  <c r="AD15"/>
  <c r="AC15"/>
  <c r="M15"/>
  <c r="J15"/>
  <c r="S15"/>
  <c r="C15"/>
  <c r="T15"/>
  <c r="D15"/>
  <c r="AG15"/>
  <c r="Q15"/>
  <c r="Z15"/>
  <c r="W15"/>
  <c r="G15"/>
  <c r="X15"/>
  <c r="H15"/>
  <c r="N15"/>
  <c r="U15"/>
  <c r="E15"/>
  <c r="AA15"/>
  <c r="K15"/>
  <c r="F15"/>
  <c r="AB15"/>
  <c r="L15"/>
  <c r="V15"/>
  <c r="Y15"/>
  <c r="I15"/>
  <c r="AE15"/>
  <c r="O15"/>
  <c r="R15"/>
  <c r="Z184"/>
  <c r="J184"/>
  <c r="W184"/>
  <c r="G184"/>
  <c r="X184"/>
  <c r="H184"/>
  <c r="Y184"/>
  <c r="I184"/>
  <c r="AD184"/>
  <c r="N184"/>
  <c r="AA184"/>
  <c r="K184"/>
  <c r="AB184"/>
  <c r="L184"/>
  <c r="AC184"/>
  <c r="M184"/>
  <c r="R184"/>
  <c r="AE184"/>
  <c r="O184"/>
  <c r="AF184"/>
  <c r="P184"/>
  <c r="AG184"/>
  <c r="Q184"/>
  <c r="V184"/>
  <c r="F184"/>
  <c r="S184"/>
  <c r="C184"/>
  <c r="T184"/>
  <c r="D184"/>
  <c r="U184"/>
  <c r="E184"/>
  <c r="AD224"/>
  <c r="N224"/>
  <c r="AA224"/>
  <c r="K224"/>
  <c r="AB224"/>
  <c r="L224"/>
  <c r="AC224"/>
  <c r="M224"/>
  <c r="R224"/>
  <c r="AE224"/>
  <c r="O224"/>
  <c r="AF224"/>
  <c r="P224"/>
  <c r="AG224"/>
  <c r="Q224"/>
  <c r="V224"/>
  <c r="F224"/>
  <c r="S224"/>
  <c r="C224"/>
  <c r="T224"/>
  <c r="D224"/>
  <c r="U224"/>
  <c r="E224"/>
  <c r="Z224"/>
  <c r="J224"/>
  <c r="W224"/>
  <c r="G224"/>
  <c r="X224"/>
  <c r="H224"/>
  <c r="Y224"/>
  <c r="I224"/>
  <c r="AG154"/>
  <c r="Q154"/>
  <c r="AD154"/>
  <c r="N154"/>
  <c r="AA154"/>
  <c r="K154"/>
  <c r="AB154"/>
  <c r="L154"/>
  <c r="U154"/>
  <c r="E154"/>
  <c r="R154"/>
  <c r="AE154"/>
  <c r="O154"/>
  <c r="AF154"/>
  <c r="P154"/>
  <c r="Y154"/>
  <c r="I154"/>
  <c r="V154"/>
  <c r="F154"/>
  <c r="S154"/>
  <c r="C154"/>
  <c r="T154"/>
  <c r="D154"/>
  <c r="AC154"/>
  <c r="M154"/>
  <c r="Z154"/>
  <c r="J154"/>
  <c r="W154"/>
  <c r="G154"/>
  <c r="X154"/>
  <c r="H154"/>
  <c r="R232"/>
  <c r="AE232"/>
  <c r="O232"/>
  <c r="AF232"/>
  <c r="P232"/>
  <c r="AG232"/>
  <c r="Q232"/>
  <c r="V232"/>
  <c r="F232"/>
  <c r="S232"/>
  <c r="C232"/>
  <c r="T232"/>
  <c r="D232"/>
  <c r="U232"/>
  <c r="E232"/>
  <c r="Z232"/>
  <c r="J232"/>
  <c r="W232"/>
  <c r="G232"/>
  <c r="X232"/>
  <c r="H232"/>
  <c r="Y232"/>
  <c r="I232"/>
  <c r="AD232"/>
  <c r="N232"/>
  <c r="AA232"/>
  <c r="K232"/>
  <c r="AB232"/>
  <c r="L232"/>
  <c r="AC232"/>
  <c r="M232"/>
  <c r="R200"/>
  <c r="AE200"/>
  <c r="O200"/>
  <c r="AF200"/>
  <c r="P200"/>
  <c r="AG200"/>
  <c r="Q200"/>
  <c r="V200"/>
  <c r="F200"/>
  <c r="S200"/>
  <c r="C200"/>
  <c r="T200"/>
  <c r="D200"/>
  <c r="U200"/>
  <c r="E200"/>
  <c r="Z200"/>
  <c r="J200"/>
  <c r="W200"/>
  <c r="G200"/>
  <c r="X200"/>
  <c r="H200"/>
  <c r="Y200"/>
  <c r="I200"/>
  <c r="AD200"/>
  <c r="N200"/>
  <c r="AA200"/>
  <c r="K200"/>
  <c r="AB200"/>
  <c r="L200"/>
  <c r="AC200"/>
  <c r="M200"/>
  <c r="U162"/>
  <c r="E162"/>
  <c r="R162"/>
  <c r="AE162"/>
  <c r="O162"/>
  <c r="AF162"/>
  <c r="P162"/>
  <c r="Y162"/>
  <c r="I162"/>
  <c r="V162"/>
  <c r="F162"/>
  <c r="S162"/>
  <c r="C162"/>
  <c r="T162"/>
  <c r="D162"/>
  <c r="AC162"/>
  <c r="M162"/>
  <c r="Z162"/>
  <c r="J162"/>
  <c r="W162"/>
  <c r="G162"/>
  <c r="X162"/>
  <c r="H162"/>
  <c r="AG162"/>
  <c r="Q162"/>
  <c r="AD162"/>
  <c r="N162"/>
  <c r="AA162"/>
  <c r="K162"/>
  <c r="AB162"/>
  <c r="L162"/>
  <c r="S128"/>
  <c r="C128"/>
  <c r="T128"/>
  <c r="D128"/>
  <c r="U128"/>
  <c r="E128"/>
  <c r="R128"/>
  <c r="W128"/>
  <c r="G128"/>
  <c r="X128"/>
  <c r="H128"/>
  <c r="Y128"/>
  <c r="I128"/>
  <c r="V128"/>
  <c r="F128"/>
  <c r="AA128"/>
  <c r="K128"/>
  <c r="AB128"/>
  <c r="L128"/>
  <c r="AC128"/>
  <c r="M128"/>
  <c r="Z128"/>
  <c r="J128"/>
  <c r="AE128"/>
  <c r="O128"/>
  <c r="AF128"/>
  <c r="P128"/>
  <c r="AG128"/>
  <c r="Q128"/>
  <c r="AD128"/>
  <c r="N128"/>
  <c r="U96"/>
  <c r="E96"/>
  <c r="R96"/>
  <c r="AE96"/>
  <c r="O96"/>
  <c r="AF96"/>
  <c r="P96"/>
  <c r="Y96"/>
  <c r="I96"/>
  <c r="V96"/>
  <c r="F96"/>
  <c r="S96"/>
  <c r="C96"/>
  <c r="T96"/>
  <c r="D96"/>
  <c r="AC96"/>
  <c r="M96"/>
  <c r="Z96"/>
  <c r="J96"/>
  <c r="W96"/>
  <c r="G96"/>
  <c r="X96"/>
  <c r="H96"/>
  <c r="AG96"/>
  <c r="Q96"/>
  <c r="AD96"/>
  <c r="N96"/>
  <c r="AA96"/>
  <c r="K96"/>
  <c r="AB96"/>
  <c r="L96"/>
  <c r="U64"/>
  <c r="E64"/>
  <c r="R64"/>
  <c r="AE64"/>
  <c r="O64"/>
  <c r="AF64"/>
  <c r="P64"/>
  <c r="Y64"/>
  <c r="I64"/>
  <c r="V64"/>
  <c r="F64"/>
  <c r="S64"/>
  <c r="C64"/>
  <c r="T64"/>
  <c r="D64"/>
  <c r="AC64"/>
  <c r="M64"/>
  <c r="Z64"/>
  <c r="J64"/>
  <c r="W64"/>
  <c r="G64"/>
  <c r="X64"/>
  <c r="H64"/>
  <c r="AG64"/>
  <c r="Q64"/>
  <c r="AD64"/>
  <c r="N64"/>
  <c r="AA64"/>
  <c r="K64"/>
  <c r="AB64"/>
  <c r="L64"/>
  <c r="R32"/>
  <c r="AA32"/>
  <c r="L32"/>
  <c r="AF32"/>
  <c r="AC32"/>
  <c r="M32"/>
  <c r="S32"/>
  <c r="V32"/>
  <c r="F32"/>
  <c r="X32"/>
  <c r="G32"/>
  <c r="AG32"/>
  <c r="Q32"/>
  <c r="AE32"/>
  <c r="P32"/>
  <c r="Z32"/>
  <c r="J32"/>
  <c r="C32"/>
  <c r="W32"/>
  <c r="H32"/>
  <c r="U32"/>
  <c r="E32"/>
  <c r="AB32"/>
  <c r="AD32"/>
  <c r="N32"/>
  <c r="O32"/>
  <c r="D32"/>
  <c r="T32"/>
  <c r="Y32"/>
  <c r="I32"/>
  <c r="K32"/>
  <c r="AC237"/>
  <c r="M237"/>
  <c r="Z237"/>
  <c r="J237"/>
  <c r="W237"/>
  <c r="G237"/>
  <c r="X237"/>
  <c r="H237"/>
  <c r="AG237"/>
  <c r="Q237"/>
  <c r="AD237"/>
  <c r="N237"/>
  <c r="AA237"/>
  <c r="K237"/>
  <c r="AB237"/>
  <c r="L237"/>
  <c r="U237"/>
  <c r="E237"/>
  <c r="R237"/>
  <c r="AE237"/>
  <c r="O237"/>
  <c r="AF237"/>
  <c r="P237"/>
  <c r="Y237"/>
  <c r="I237"/>
  <c r="V237"/>
  <c r="F237"/>
  <c r="S237"/>
  <c r="C237"/>
  <c r="T237"/>
  <c r="D237"/>
  <c r="AC205"/>
  <c r="M205"/>
  <c r="Z205"/>
  <c r="J205"/>
  <c r="W205"/>
  <c r="G205"/>
  <c r="X205"/>
  <c r="H205"/>
  <c r="AG205"/>
  <c r="Q205"/>
  <c r="AD205"/>
  <c r="N205"/>
  <c r="AA205"/>
  <c r="K205"/>
  <c r="AB205"/>
  <c r="L205"/>
  <c r="U205"/>
  <c r="E205"/>
  <c r="R205"/>
  <c r="AE205"/>
  <c r="O205"/>
  <c r="AF205"/>
  <c r="P205"/>
  <c r="Y205"/>
  <c r="I205"/>
  <c r="V205"/>
  <c r="F205"/>
  <c r="S205"/>
  <c r="C205"/>
  <c r="T205"/>
  <c r="D205"/>
  <c r="AC167"/>
  <c r="M167"/>
  <c r="Z167"/>
  <c r="J167"/>
  <c r="W167"/>
  <c r="G167"/>
  <c r="X167"/>
  <c r="H167"/>
  <c r="AG167"/>
  <c r="Q167"/>
  <c r="AD167"/>
  <c r="N167"/>
  <c r="AA167"/>
  <c r="K167"/>
  <c r="AB167"/>
  <c r="L167"/>
  <c r="U167"/>
  <c r="E167"/>
  <c r="R167"/>
  <c r="AE167"/>
  <c r="O167"/>
  <c r="AF167"/>
  <c r="P167"/>
  <c r="Y167"/>
  <c r="I167"/>
  <c r="V167"/>
  <c r="F167"/>
  <c r="S167"/>
  <c r="C167"/>
  <c r="T167"/>
  <c r="D167"/>
  <c r="Z133"/>
  <c r="J133"/>
  <c r="W133"/>
  <c r="G133"/>
  <c r="X133"/>
  <c r="H133"/>
  <c r="Y133"/>
  <c r="I133"/>
  <c r="AD133"/>
  <c r="N133"/>
  <c r="AA133"/>
  <c r="K133"/>
  <c r="AB133"/>
  <c r="L133"/>
  <c r="AC133"/>
  <c r="M133"/>
  <c r="R133"/>
  <c r="AE133"/>
  <c r="O133"/>
  <c r="AF133"/>
  <c r="P133"/>
  <c r="AG133"/>
  <c r="Q133"/>
  <c r="V133"/>
  <c r="F133"/>
  <c r="S133"/>
  <c r="C133"/>
  <c r="T133"/>
  <c r="D133"/>
  <c r="U133"/>
  <c r="E133"/>
  <c r="Z101"/>
  <c r="J101"/>
  <c r="W101"/>
  <c r="G101"/>
  <c r="X101"/>
  <c r="H101"/>
  <c r="Y101"/>
  <c r="I101"/>
  <c r="AD101"/>
  <c r="N101"/>
  <c r="AA101"/>
  <c r="K101"/>
  <c r="AB101"/>
  <c r="L101"/>
  <c r="AC101"/>
  <c r="M101"/>
  <c r="R101"/>
  <c r="AE101"/>
  <c r="O101"/>
  <c r="AF101"/>
  <c r="P101"/>
  <c r="AG101"/>
  <c r="Q101"/>
  <c r="V101"/>
  <c r="F101"/>
  <c r="S101"/>
  <c r="C101"/>
  <c r="T101"/>
  <c r="D101"/>
  <c r="U101"/>
  <c r="E101"/>
  <c r="AB69"/>
  <c r="L69"/>
  <c r="AC69"/>
  <c r="M69"/>
  <c r="Z69"/>
  <c r="J69"/>
  <c r="W69"/>
  <c r="G69"/>
  <c r="AF69"/>
  <c r="P69"/>
  <c r="AG69"/>
  <c r="Q69"/>
  <c r="AD69"/>
  <c r="N69"/>
  <c r="AA69"/>
  <c r="K69"/>
  <c r="T69"/>
  <c r="D69"/>
  <c r="U69"/>
  <c r="E69"/>
  <c r="R69"/>
  <c r="AE69"/>
  <c r="O69"/>
  <c r="X69"/>
  <c r="H69"/>
  <c r="Y69"/>
  <c r="I69"/>
  <c r="V69"/>
  <c r="F69"/>
  <c r="S69"/>
  <c r="C69"/>
  <c r="AC37"/>
  <c r="M37"/>
  <c r="V37"/>
  <c r="O37"/>
  <c r="J37"/>
  <c r="AF37"/>
  <c r="P37"/>
  <c r="W37"/>
  <c r="AG37"/>
  <c r="Q37"/>
  <c r="AD37"/>
  <c r="AA37"/>
  <c r="R37"/>
  <c r="C37"/>
  <c r="T37"/>
  <c r="D37"/>
  <c r="U37"/>
  <c r="E37"/>
  <c r="F37"/>
  <c r="Z37"/>
  <c r="S37"/>
  <c r="X37"/>
  <c r="H37"/>
  <c r="Y37"/>
  <c r="I37"/>
  <c r="N37"/>
  <c r="G37"/>
  <c r="AE37"/>
  <c r="AB37"/>
  <c r="L37"/>
  <c r="K37"/>
  <c r="T234"/>
  <c r="D234"/>
  <c r="U234"/>
  <c r="E234"/>
  <c r="R234"/>
  <c r="AE234"/>
  <c r="O234"/>
  <c r="X234"/>
  <c r="H234"/>
  <c r="Y234"/>
  <c r="I234"/>
  <c r="V234"/>
  <c r="F234"/>
  <c r="S234"/>
  <c r="C234"/>
  <c r="AB234"/>
  <c r="L234"/>
  <c r="AC234"/>
  <c r="M234"/>
  <c r="Z234"/>
  <c r="J234"/>
  <c r="W234"/>
  <c r="G234"/>
  <c r="AF234"/>
  <c r="P234"/>
  <c r="AG234"/>
  <c r="Q234"/>
  <c r="AD234"/>
  <c r="N234"/>
  <c r="AA234"/>
  <c r="K234"/>
  <c r="T202"/>
  <c r="D202"/>
  <c r="U202"/>
  <c r="E202"/>
  <c r="R202"/>
  <c r="AE202"/>
  <c r="O202"/>
  <c r="X202"/>
  <c r="H202"/>
  <c r="Y202"/>
  <c r="I202"/>
  <c r="V202"/>
  <c r="F202"/>
  <c r="S202"/>
  <c r="C202"/>
  <c r="AB202"/>
  <c r="L202"/>
  <c r="AC202"/>
  <c r="M202"/>
  <c r="Z202"/>
  <c r="J202"/>
  <c r="W202"/>
  <c r="G202"/>
  <c r="AF202"/>
  <c r="P202"/>
  <c r="AG202"/>
  <c r="Q202"/>
  <c r="AD202"/>
  <c r="N202"/>
  <c r="AA202"/>
  <c r="K202"/>
  <c r="U164"/>
  <c r="E164"/>
  <c r="R164"/>
  <c r="AE164"/>
  <c r="O164"/>
  <c r="AF164"/>
  <c r="P164"/>
  <c r="Y164"/>
  <c r="I164"/>
  <c r="V164"/>
  <c r="F164"/>
  <c r="S164"/>
  <c r="C164"/>
  <c r="T164"/>
  <c r="D164"/>
  <c r="AC164"/>
  <c r="M164"/>
  <c r="Z164"/>
  <c r="J164"/>
  <c r="W164"/>
  <c r="G164"/>
  <c r="X164"/>
  <c r="H164"/>
  <c r="AG164"/>
  <c r="Q164"/>
  <c r="AD164"/>
  <c r="N164"/>
  <c r="AA164"/>
  <c r="K164"/>
  <c r="AB164"/>
  <c r="L164"/>
  <c r="U130"/>
  <c r="E130"/>
  <c r="R130"/>
  <c r="AE130"/>
  <c r="O130"/>
  <c r="AF130"/>
  <c r="P130"/>
  <c r="Y130"/>
  <c r="I130"/>
  <c r="V130"/>
  <c r="F130"/>
  <c r="S130"/>
  <c r="C130"/>
  <c r="T130"/>
  <c r="D130"/>
  <c r="AC130"/>
  <c r="M130"/>
  <c r="Z130"/>
  <c r="J130"/>
  <c r="W130"/>
  <c r="G130"/>
  <c r="X130"/>
  <c r="H130"/>
  <c r="AG130"/>
  <c r="Q130"/>
  <c r="AD130"/>
  <c r="N130"/>
  <c r="AA130"/>
  <c r="K130"/>
  <c r="AB130"/>
  <c r="L130"/>
  <c r="U98"/>
  <c r="E98"/>
  <c r="R98"/>
  <c r="AE98"/>
  <c r="O98"/>
  <c r="AF98"/>
  <c r="P98"/>
  <c r="Y98"/>
  <c r="I98"/>
  <c r="V98"/>
  <c r="F98"/>
  <c r="S98"/>
  <c r="C98"/>
  <c r="T98"/>
  <c r="D98"/>
  <c r="AC98"/>
  <c r="M98"/>
  <c r="Z98"/>
  <c r="J98"/>
  <c r="W98"/>
  <c r="G98"/>
  <c r="X98"/>
  <c r="H98"/>
  <c r="AG98"/>
  <c r="Q98"/>
  <c r="AD98"/>
  <c r="N98"/>
  <c r="AA98"/>
  <c r="K98"/>
  <c r="AB98"/>
  <c r="L98"/>
  <c r="S66"/>
  <c r="C66"/>
  <c r="T66"/>
  <c r="D66"/>
  <c r="U66"/>
  <c r="E66"/>
  <c r="R66"/>
  <c r="W66"/>
  <c r="G66"/>
  <c r="X66"/>
  <c r="H66"/>
  <c r="Y66"/>
  <c r="I66"/>
  <c r="V66"/>
  <c r="F66"/>
  <c r="AA66"/>
  <c r="K66"/>
  <c r="AB66"/>
  <c r="L66"/>
  <c r="AC66"/>
  <c r="M66"/>
  <c r="Z66"/>
  <c r="J66"/>
  <c r="AE66"/>
  <c r="O66"/>
  <c r="AF66"/>
  <c r="P66"/>
  <c r="AG66"/>
  <c r="Q66"/>
  <c r="AD66"/>
  <c r="N66"/>
  <c r="AF34"/>
  <c r="P34"/>
  <c r="AC34"/>
  <c r="J34"/>
  <c r="AD34"/>
  <c r="AA34"/>
  <c r="K34"/>
  <c r="M34"/>
  <c r="T34"/>
  <c r="D34"/>
  <c r="V34"/>
  <c r="E34"/>
  <c r="AE34"/>
  <c r="O34"/>
  <c r="Y34"/>
  <c r="X34"/>
  <c r="H34"/>
  <c r="I34"/>
  <c r="U34"/>
  <c r="F34"/>
  <c r="S34"/>
  <c r="C34"/>
  <c r="N34"/>
  <c r="AB34"/>
  <c r="L34"/>
  <c r="Q34"/>
  <c r="AG34"/>
  <c r="R34"/>
  <c r="W34"/>
  <c r="G34"/>
  <c r="Z34"/>
  <c r="AE235"/>
  <c r="O235"/>
  <c r="AF235"/>
  <c r="P235"/>
  <c r="AG235"/>
  <c r="Q235"/>
  <c r="AD235"/>
  <c r="N235"/>
  <c r="S235"/>
  <c r="C235"/>
  <c r="T235"/>
  <c r="D235"/>
  <c r="U235"/>
  <c r="E235"/>
  <c r="R235"/>
  <c r="W235"/>
  <c r="G235"/>
  <c r="X235"/>
  <c r="H235"/>
  <c r="Y235"/>
  <c r="I235"/>
  <c r="V235"/>
  <c r="F235"/>
  <c r="AA235"/>
  <c r="K235"/>
  <c r="AB235"/>
  <c r="L235"/>
  <c r="AC235"/>
  <c r="M235"/>
  <c r="Z235"/>
  <c r="J235"/>
  <c r="AE203"/>
  <c r="O203"/>
  <c r="AF203"/>
  <c r="P203"/>
  <c r="AG203"/>
  <c r="Q203"/>
  <c r="AD203"/>
  <c r="N203"/>
  <c r="S203"/>
  <c r="C203"/>
  <c r="T203"/>
  <c r="D203"/>
  <c r="U203"/>
  <c r="E203"/>
  <c r="R203"/>
  <c r="W203"/>
  <c r="G203"/>
  <c r="X203"/>
  <c r="H203"/>
  <c r="Y203"/>
  <c r="I203"/>
  <c r="V203"/>
  <c r="F203"/>
  <c r="AA203"/>
  <c r="K203"/>
  <c r="AB203"/>
  <c r="L203"/>
  <c r="AC203"/>
  <c r="M203"/>
  <c r="Z203"/>
  <c r="J203"/>
  <c r="AG165"/>
  <c r="Q165"/>
  <c r="AD165"/>
  <c r="N165"/>
  <c r="AA165"/>
  <c r="K165"/>
  <c r="AB165"/>
  <c r="L165"/>
  <c r="U165"/>
  <c r="E165"/>
  <c r="R165"/>
  <c r="AE165"/>
  <c r="O165"/>
  <c r="AF165"/>
  <c r="P165"/>
  <c r="Y165"/>
  <c r="I165"/>
  <c r="V165"/>
  <c r="F165"/>
  <c r="S165"/>
  <c r="C165"/>
  <c r="T165"/>
  <c r="D165"/>
  <c r="AC165"/>
  <c r="M165"/>
  <c r="Z165"/>
  <c r="J165"/>
  <c r="W165"/>
  <c r="G165"/>
  <c r="X165"/>
  <c r="H165"/>
  <c r="AF131"/>
  <c r="P131"/>
  <c r="AG131"/>
  <c r="Q131"/>
  <c r="AD131"/>
  <c r="N131"/>
  <c r="AA131"/>
  <c r="K131"/>
  <c r="T131"/>
  <c r="D131"/>
  <c r="U131"/>
  <c r="E131"/>
  <c r="R131"/>
  <c r="AE131"/>
  <c r="O131"/>
  <c r="X131"/>
  <c r="H131"/>
  <c r="Y131"/>
  <c r="I131"/>
  <c r="V131"/>
  <c r="F131"/>
  <c r="S131"/>
  <c r="C131"/>
  <c r="AB131"/>
  <c r="L131"/>
  <c r="AC131"/>
  <c r="M131"/>
  <c r="Z131"/>
  <c r="J131"/>
  <c r="W131"/>
  <c r="G131"/>
  <c r="AF99"/>
  <c r="P99"/>
  <c r="AG99"/>
  <c r="Q99"/>
  <c r="AD99"/>
  <c r="N99"/>
  <c r="AA99"/>
  <c r="K99"/>
  <c r="T99"/>
  <c r="D99"/>
  <c r="U99"/>
  <c r="E99"/>
  <c r="R99"/>
  <c r="AE99"/>
  <c r="O99"/>
  <c r="X99"/>
  <c r="H99"/>
  <c r="Y99"/>
  <c r="I99"/>
  <c r="V99"/>
  <c r="F99"/>
  <c r="S99"/>
  <c r="C99"/>
  <c r="AB99"/>
  <c r="L99"/>
  <c r="AC99"/>
  <c r="M99"/>
  <c r="Z99"/>
  <c r="J99"/>
  <c r="W99"/>
  <c r="G99"/>
  <c r="AD67"/>
  <c r="N67"/>
  <c r="AA67"/>
  <c r="K67"/>
  <c r="AB67"/>
  <c r="L67"/>
  <c r="AC67"/>
  <c r="M67"/>
  <c r="R67"/>
  <c r="AE67"/>
  <c r="O67"/>
  <c r="AF67"/>
  <c r="P67"/>
  <c r="AG67"/>
  <c r="Q67"/>
  <c r="V67"/>
  <c r="F67"/>
  <c r="S67"/>
  <c r="C67"/>
  <c r="T67"/>
  <c r="D67"/>
  <c r="U67"/>
  <c r="E67"/>
  <c r="Z67"/>
  <c r="J67"/>
  <c r="W67"/>
  <c r="G67"/>
  <c r="X67"/>
  <c r="H67"/>
  <c r="Y67"/>
  <c r="I67"/>
  <c r="AE35"/>
  <c r="O35"/>
  <c r="AB35"/>
  <c r="M35"/>
  <c r="AC35"/>
  <c r="Z35"/>
  <c r="J35"/>
  <c r="AG35"/>
  <c r="S35"/>
  <c r="C35"/>
  <c r="Y35"/>
  <c r="L35"/>
  <c r="AD35"/>
  <c r="N35"/>
  <c r="D35"/>
  <c r="W35"/>
  <c r="G35"/>
  <c r="H35"/>
  <c r="X35"/>
  <c r="I35"/>
  <c r="R35"/>
  <c r="T35"/>
  <c r="E35"/>
  <c r="AA35"/>
  <c r="K35"/>
  <c r="P35"/>
  <c r="AF35"/>
  <c r="Q35"/>
  <c r="V35"/>
  <c r="F35"/>
  <c r="U35"/>
  <c r="V236"/>
  <c r="F236"/>
  <c r="S236"/>
  <c r="C236"/>
  <c r="T236"/>
  <c r="D236"/>
  <c r="U236"/>
  <c r="E236"/>
  <c r="Z236"/>
  <c r="J236"/>
  <c r="W236"/>
  <c r="G236"/>
  <c r="X236"/>
  <c r="H236"/>
  <c r="Y236"/>
  <c r="I236"/>
  <c r="AD236"/>
  <c r="N236"/>
  <c r="AA236"/>
  <c r="K236"/>
  <c r="AB236"/>
  <c r="L236"/>
  <c r="AC236"/>
  <c r="M236"/>
  <c r="R236"/>
  <c r="AE236"/>
  <c r="O236"/>
  <c r="AF236"/>
  <c r="P236"/>
  <c r="AG236"/>
  <c r="Q236"/>
  <c r="V204"/>
  <c r="F204"/>
  <c r="S204"/>
  <c r="C204"/>
  <c r="T204"/>
  <c r="D204"/>
  <c r="U204"/>
  <c r="E204"/>
  <c r="Z204"/>
  <c r="J204"/>
  <c r="W204"/>
  <c r="G204"/>
  <c r="X204"/>
  <c r="H204"/>
  <c r="Y204"/>
  <c r="I204"/>
  <c r="AD204"/>
  <c r="N204"/>
  <c r="AA204"/>
  <c r="K204"/>
  <c r="AB204"/>
  <c r="L204"/>
  <c r="AC204"/>
  <c r="M204"/>
  <c r="R204"/>
  <c r="AE204"/>
  <c r="O204"/>
  <c r="AF204"/>
  <c r="P204"/>
  <c r="AG204"/>
  <c r="Q204"/>
  <c r="Y166"/>
  <c r="I166"/>
  <c r="V166"/>
  <c r="F166"/>
  <c r="S166"/>
  <c r="C166"/>
  <c r="T166"/>
  <c r="D166"/>
  <c r="AC166"/>
  <c r="M166"/>
  <c r="Z166"/>
  <c r="J166"/>
  <c r="W166"/>
  <c r="G166"/>
  <c r="X166"/>
  <c r="H166"/>
  <c r="AG166"/>
  <c r="Q166"/>
  <c r="AD166"/>
  <c r="N166"/>
  <c r="AA166"/>
  <c r="K166"/>
  <c r="AB166"/>
  <c r="L166"/>
  <c r="U166"/>
  <c r="E166"/>
  <c r="R166"/>
  <c r="AE166"/>
  <c r="O166"/>
  <c r="AF166"/>
  <c r="P166"/>
  <c r="W132"/>
  <c r="G132"/>
  <c r="X132"/>
  <c r="H132"/>
  <c r="Y132"/>
  <c r="I132"/>
  <c r="V132"/>
  <c r="F132"/>
  <c r="AA132"/>
  <c r="K132"/>
  <c r="AB132"/>
  <c r="L132"/>
  <c r="AC132"/>
  <c r="M132"/>
  <c r="Z132"/>
  <c r="J132"/>
  <c r="AE132"/>
  <c r="O132"/>
  <c r="AF132"/>
  <c r="P132"/>
  <c r="AG132"/>
  <c r="Q132"/>
  <c r="AD132"/>
  <c r="N132"/>
  <c r="S132"/>
  <c r="C132"/>
  <c r="T132"/>
  <c r="D132"/>
  <c r="U132"/>
  <c r="E132"/>
  <c r="R132"/>
  <c r="W100"/>
  <c r="G100"/>
  <c r="X100"/>
  <c r="H100"/>
  <c r="Y100"/>
  <c r="I100"/>
  <c r="V100"/>
  <c r="F100"/>
  <c r="AA100"/>
  <c r="K100"/>
  <c r="AB100"/>
  <c r="L100"/>
  <c r="AC100"/>
  <c r="M100"/>
  <c r="Z100"/>
  <c r="J100"/>
  <c r="AE100"/>
  <c r="O100"/>
  <c r="AF100"/>
  <c r="P100"/>
  <c r="AG100"/>
  <c r="Q100"/>
  <c r="AD100"/>
  <c r="N100"/>
  <c r="S100"/>
  <c r="C100"/>
  <c r="T100"/>
  <c r="D100"/>
  <c r="U100"/>
  <c r="E100"/>
  <c r="R100"/>
  <c r="Y68"/>
  <c r="I68"/>
  <c r="V68"/>
  <c r="F68"/>
  <c r="S68"/>
  <c r="C68"/>
  <c r="T68"/>
  <c r="D68"/>
  <c r="AC68"/>
  <c r="M68"/>
  <c r="Z68"/>
  <c r="J68"/>
  <c r="W68"/>
  <c r="G68"/>
  <c r="X68"/>
  <c r="H68"/>
  <c r="AG68"/>
  <c r="Q68"/>
  <c r="AD68"/>
  <c r="N68"/>
  <c r="AA68"/>
  <c r="K68"/>
  <c r="AB68"/>
  <c r="L68"/>
  <c r="U68"/>
  <c r="E68"/>
  <c r="R68"/>
  <c r="AE68"/>
  <c r="O68"/>
  <c r="AF68"/>
  <c r="P68"/>
  <c r="V36"/>
  <c r="F36"/>
  <c r="C36"/>
  <c r="AE36"/>
  <c r="T36"/>
  <c r="Y36"/>
  <c r="I36"/>
  <c r="P36"/>
  <c r="Z36"/>
  <c r="J36"/>
  <c r="K36"/>
  <c r="D36"/>
  <c r="AB36"/>
  <c r="AC36"/>
  <c r="M36"/>
  <c r="AF36"/>
  <c r="AD36"/>
  <c r="N36"/>
  <c r="W36"/>
  <c r="L36"/>
  <c r="G36"/>
  <c r="AG36"/>
  <c r="Q36"/>
  <c r="O36"/>
  <c r="R36"/>
  <c r="AA36"/>
  <c r="X36"/>
  <c r="S36"/>
  <c r="H36"/>
  <c r="U36"/>
  <c r="E36"/>
  <c r="Y241"/>
  <c r="I241"/>
  <c r="V241"/>
  <c r="F241"/>
  <c r="S241"/>
  <c r="C241"/>
  <c r="T241"/>
  <c r="D241"/>
  <c r="AC241"/>
  <c r="M241"/>
  <c r="Z241"/>
  <c r="J241"/>
  <c r="W241"/>
  <c r="G241"/>
  <c r="X241"/>
  <c r="H241"/>
  <c r="AG241"/>
  <c r="Q241"/>
  <c r="AD241"/>
  <c r="N241"/>
  <c r="AA241"/>
  <c r="K241"/>
  <c r="AB241"/>
  <c r="L241"/>
  <c r="U241"/>
  <c r="E241"/>
  <c r="R241"/>
  <c r="AE241"/>
  <c r="O241"/>
  <c r="AF241"/>
  <c r="P241"/>
  <c r="Y209"/>
  <c r="I209"/>
  <c r="V209"/>
  <c r="F209"/>
  <c r="S209"/>
  <c r="C209"/>
  <c r="T209"/>
  <c r="D209"/>
  <c r="AC209"/>
  <c r="M209"/>
  <c r="Z209"/>
  <c r="J209"/>
  <c r="W209"/>
  <c r="G209"/>
  <c r="X209"/>
  <c r="H209"/>
  <c r="AG209"/>
  <c r="Q209"/>
  <c r="AD209"/>
  <c r="N209"/>
  <c r="AA209"/>
  <c r="K209"/>
  <c r="AB209"/>
  <c r="L209"/>
  <c r="U209"/>
  <c r="E209"/>
  <c r="R209"/>
  <c r="AE209"/>
  <c r="O209"/>
  <c r="AF209"/>
  <c r="P209"/>
  <c r="Y173"/>
  <c r="I173"/>
  <c r="V173"/>
  <c r="F173"/>
  <c r="S173"/>
  <c r="C173"/>
  <c r="T173"/>
  <c r="D173"/>
  <c r="AC173"/>
  <c r="M173"/>
  <c r="Z173"/>
  <c r="J173"/>
  <c r="W173"/>
  <c r="G173"/>
  <c r="X173"/>
  <c r="H173"/>
  <c r="AG173"/>
  <c r="Q173"/>
  <c r="AD173"/>
  <c r="N173"/>
  <c r="AA173"/>
  <c r="K173"/>
  <c r="AB173"/>
  <c r="L173"/>
  <c r="U173"/>
  <c r="E173"/>
  <c r="R173"/>
  <c r="AE173"/>
  <c r="O173"/>
  <c r="AF173"/>
  <c r="P173"/>
  <c r="V137"/>
  <c r="F137"/>
  <c r="S137"/>
  <c r="C137"/>
  <c r="T137"/>
  <c r="D137"/>
  <c r="U137"/>
  <c r="E137"/>
  <c r="Z137"/>
  <c r="J137"/>
  <c r="W137"/>
  <c r="G137"/>
  <c r="X137"/>
  <c r="H137"/>
  <c r="Y137"/>
  <c r="I137"/>
  <c r="AD137"/>
  <c r="N137"/>
  <c r="AA137"/>
  <c r="K137"/>
  <c r="AB137"/>
  <c r="L137"/>
  <c r="AC137"/>
  <c r="M137"/>
  <c r="R137"/>
  <c r="AE137"/>
  <c r="O137"/>
  <c r="AF137"/>
  <c r="P137"/>
  <c r="AG137"/>
  <c r="Q137"/>
  <c r="V105"/>
  <c r="F105"/>
  <c r="S105"/>
  <c r="C105"/>
  <c r="T105"/>
  <c r="D105"/>
  <c r="U105"/>
  <c r="E105"/>
  <c r="Z105"/>
  <c r="J105"/>
  <c r="W105"/>
  <c r="G105"/>
  <c r="X105"/>
  <c r="H105"/>
  <c r="Y105"/>
  <c r="I105"/>
  <c r="AD105"/>
  <c r="N105"/>
  <c r="AA105"/>
  <c r="K105"/>
  <c r="AB105"/>
  <c r="L105"/>
  <c r="AC105"/>
  <c r="M105"/>
  <c r="R105"/>
  <c r="AE105"/>
  <c r="O105"/>
  <c r="AF105"/>
  <c r="P105"/>
  <c r="AG105"/>
  <c r="Q105"/>
  <c r="X73"/>
  <c r="H73"/>
  <c r="Y73"/>
  <c r="I73"/>
  <c r="V73"/>
  <c r="F73"/>
  <c r="S73"/>
  <c r="C73"/>
  <c r="AB73"/>
  <c r="L73"/>
  <c r="AC73"/>
  <c r="M73"/>
  <c r="Z73"/>
  <c r="J73"/>
  <c r="W73"/>
  <c r="G73"/>
  <c r="AF73"/>
  <c r="P73"/>
  <c r="AG73"/>
  <c r="Q73"/>
  <c r="AD73"/>
  <c r="N73"/>
  <c r="AA73"/>
  <c r="K73"/>
  <c r="T73"/>
  <c r="D73"/>
  <c r="U73"/>
  <c r="E73"/>
  <c r="R73"/>
  <c r="AE73"/>
  <c r="O73"/>
  <c r="Y41"/>
  <c r="I41"/>
  <c r="O41"/>
  <c r="R41"/>
  <c r="AA41"/>
  <c r="X41"/>
  <c r="H41"/>
  <c r="G41"/>
  <c r="AC41"/>
  <c r="M41"/>
  <c r="W41"/>
  <c r="V41"/>
  <c r="F41"/>
  <c r="AB41"/>
  <c r="L41"/>
  <c r="S41"/>
  <c r="AG41"/>
  <c r="Q41"/>
  <c r="AD41"/>
  <c r="Z41"/>
  <c r="J41"/>
  <c r="AF41"/>
  <c r="P41"/>
  <c r="AE41"/>
  <c r="U41"/>
  <c r="E41"/>
  <c r="C41"/>
  <c r="N41"/>
  <c r="K41"/>
  <c r="T41"/>
  <c r="D41"/>
  <c r="V9"/>
  <c r="F9"/>
  <c r="AE9"/>
  <c r="O9"/>
  <c r="AB9"/>
  <c r="AC9"/>
  <c r="M9"/>
  <c r="L9"/>
  <c r="Z9"/>
  <c r="J9"/>
  <c r="H9"/>
  <c r="S9"/>
  <c r="C9"/>
  <c r="AG9"/>
  <c r="Q9"/>
  <c r="X9"/>
  <c r="AD9"/>
  <c r="N9"/>
  <c r="T9"/>
  <c r="W9"/>
  <c r="G9"/>
  <c r="D9"/>
  <c r="U9"/>
  <c r="E9"/>
  <c r="R9"/>
  <c r="AF9"/>
  <c r="AA9"/>
  <c r="K9"/>
  <c r="P9"/>
  <c r="Y9"/>
  <c r="I9"/>
  <c r="X214"/>
  <c r="H214"/>
  <c r="Y214"/>
  <c r="I214"/>
  <c r="J214"/>
  <c r="C214"/>
  <c r="F214"/>
  <c r="G214"/>
  <c r="AB214"/>
  <c r="L214"/>
  <c r="AC214"/>
  <c r="M214"/>
  <c r="R214"/>
  <c r="K214"/>
  <c r="N214"/>
  <c r="O214"/>
  <c r="AF214"/>
  <c r="P214"/>
  <c r="AG214"/>
  <c r="Q214"/>
  <c r="Z214"/>
  <c r="S214"/>
  <c r="V214"/>
  <c r="W214"/>
  <c r="T214"/>
  <c r="D214"/>
  <c r="U214"/>
  <c r="E214"/>
  <c r="AA214"/>
  <c r="AD214"/>
  <c r="AE214"/>
  <c r="X180"/>
  <c r="H180"/>
  <c r="Y180"/>
  <c r="I180"/>
  <c r="V180"/>
  <c r="F180"/>
  <c r="S180"/>
  <c r="C180"/>
  <c r="AB180"/>
  <c r="L180"/>
  <c r="AC180"/>
  <c r="M180"/>
  <c r="Z180"/>
  <c r="J180"/>
  <c r="W180"/>
  <c r="G180"/>
  <c r="AF180"/>
  <c r="P180"/>
  <c r="AG180"/>
  <c r="Q180"/>
  <c r="AD180"/>
  <c r="N180"/>
  <c r="AA180"/>
  <c r="K180"/>
  <c r="T180"/>
  <c r="D180"/>
  <c r="U180"/>
  <c r="E180"/>
  <c r="R180"/>
  <c r="AE180"/>
  <c r="O180"/>
  <c r="Y144"/>
  <c r="I144"/>
  <c r="V144"/>
  <c r="F144"/>
  <c r="S144"/>
  <c r="C144"/>
  <c r="T144"/>
  <c r="D144"/>
  <c r="AC144"/>
  <c r="M144"/>
  <c r="Z144"/>
  <c r="J144"/>
  <c r="W144"/>
  <c r="G144"/>
  <c r="X144"/>
  <c r="H144"/>
  <c r="AG144"/>
  <c r="Q144"/>
  <c r="AD144"/>
  <c r="N144"/>
  <c r="AA144"/>
  <c r="K144"/>
  <c r="AB144"/>
  <c r="L144"/>
  <c r="U144"/>
  <c r="E144"/>
  <c r="R144"/>
  <c r="AE144"/>
  <c r="O144"/>
  <c r="AF144"/>
  <c r="P144"/>
  <c r="Y110"/>
  <c r="I110"/>
  <c r="V110"/>
  <c r="F110"/>
  <c r="S110"/>
  <c r="C110"/>
  <c r="T110"/>
  <c r="D110"/>
  <c r="AC110"/>
  <c r="M110"/>
  <c r="Z110"/>
  <c r="J110"/>
  <c r="W110"/>
  <c r="G110"/>
  <c r="X110"/>
  <c r="H110"/>
  <c r="AG110"/>
  <c r="Q110"/>
  <c r="AD110"/>
  <c r="N110"/>
  <c r="AA110"/>
  <c r="K110"/>
  <c r="AB110"/>
  <c r="L110"/>
  <c r="U110"/>
  <c r="E110"/>
  <c r="R110"/>
  <c r="AE110"/>
  <c r="O110"/>
  <c r="AF110"/>
  <c r="P110"/>
  <c r="W78"/>
  <c r="G78"/>
  <c r="X78"/>
  <c r="H78"/>
  <c r="Y78"/>
  <c r="I78"/>
  <c r="V78"/>
  <c r="F78"/>
  <c r="AA78"/>
  <c r="K78"/>
  <c r="AB78"/>
  <c r="L78"/>
  <c r="AC78"/>
  <c r="M78"/>
  <c r="Z78"/>
  <c r="J78"/>
  <c r="AE78"/>
  <c r="O78"/>
  <c r="AF78"/>
  <c r="P78"/>
  <c r="AG78"/>
  <c r="Q78"/>
  <c r="AD78"/>
  <c r="N78"/>
  <c r="S78"/>
  <c r="C78"/>
  <c r="T78"/>
  <c r="D78"/>
  <c r="U78"/>
  <c r="E78"/>
  <c r="R78"/>
  <c r="X46"/>
  <c r="H46"/>
  <c r="F46"/>
  <c r="U46"/>
  <c r="E46"/>
  <c r="AA46"/>
  <c r="K46"/>
  <c r="N46"/>
  <c r="AB46"/>
  <c r="L46"/>
  <c r="R46"/>
  <c r="Y46"/>
  <c r="I46"/>
  <c r="AE46"/>
  <c r="O46"/>
  <c r="V46"/>
  <c r="AF46"/>
  <c r="P46"/>
  <c r="AD46"/>
  <c r="AC46"/>
  <c r="M46"/>
  <c r="J46"/>
  <c r="S46"/>
  <c r="C46"/>
  <c r="T46"/>
  <c r="D46"/>
  <c r="AG46"/>
  <c r="Q46"/>
  <c r="Z46"/>
  <c r="W46"/>
  <c r="G46"/>
  <c r="Y14"/>
  <c r="I14"/>
  <c r="K14"/>
  <c r="R14"/>
  <c r="AA14"/>
  <c r="AB14"/>
  <c r="L14"/>
  <c r="G14"/>
  <c r="AC14"/>
  <c r="M14"/>
  <c r="S14"/>
  <c r="V14"/>
  <c r="F14"/>
  <c r="AF14"/>
  <c r="P14"/>
  <c r="W14"/>
  <c r="AG14"/>
  <c r="Q14"/>
  <c r="AE14"/>
  <c r="Z14"/>
  <c r="J14"/>
  <c r="C14"/>
  <c r="T14"/>
  <c r="D14"/>
  <c r="U14"/>
  <c r="E14"/>
  <c r="AD14"/>
  <c r="N14"/>
  <c r="O14"/>
  <c r="X14"/>
  <c r="H14"/>
  <c r="AE223"/>
  <c r="O223"/>
  <c r="AF223"/>
  <c r="P223"/>
  <c r="AG223"/>
  <c r="Q223"/>
  <c r="AD223"/>
  <c r="N223"/>
  <c r="S223"/>
  <c r="C223"/>
  <c r="T223"/>
  <c r="D223"/>
  <c r="U223"/>
  <c r="E223"/>
  <c r="R223"/>
  <c r="W223"/>
  <c r="G223"/>
  <c r="X223"/>
  <c r="H223"/>
  <c r="Y223"/>
  <c r="I223"/>
  <c r="V223"/>
  <c r="F223"/>
  <c r="AA223"/>
  <c r="K223"/>
  <c r="AB223"/>
  <c r="L223"/>
  <c r="AC223"/>
  <c r="M223"/>
  <c r="Z223"/>
  <c r="J223"/>
  <c r="AE191"/>
  <c r="O191"/>
  <c r="AF191"/>
  <c r="P191"/>
  <c r="AG191"/>
  <c r="Q191"/>
  <c r="AD191"/>
  <c r="N191"/>
  <c r="S191"/>
  <c r="C191"/>
  <c r="T191"/>
  <c r="D191"/>
  <c r="U191"/>
  <c r="E191"/>
  <c r="R191"/>
  <c r="W191"/>
  <c r="G191"/>
  <c r="X191"/>
  <c r="H191"/>
  <c r="Y191"/>
  <c r="I191"/>
  <c r="V191"/>
  <c r="F191"/>
  <c r="AA191"/>
  <c r="K191"/>
  <c r="AB191"/>
  <c r="L191"/>
  <c r="AC191"/>
  <c r="M191"/>
  <c r="Z191"/>
  <c r="J191"/>
  <c r="AG153"/>
  <c r="Q153"/>
  <c r="AD153"/>
  <c r="N153"/>
  <c r="AA153"/>
  <c r="K153"/>
  <c r="AB153"/>
  <c r="L153"/>
  <c r="U153"/>
  <c r="E153"/>
  <c r="R153"/>
  <c r="AE153"/>
  <c r="O153"/>
  <c r="AF153"/>
  <c r="P153"/>
  <c r="Y153"/>
  <c r="I153"/>
  <c r="V153"/>
  <c r="F153"/>
  <c r="S153"/>
  <c r="C153"/>
  <c r="T153"/>
  <c r="D153"/>
  <c r="AC153"/>
  <c r="M153"/>
  <c r="Z153"/>
  <c r="J153"/>
  <c r="W153"/>
  <c r="G153"/>
  <c r="X153"/>
  <c r="H153"/>
  <c r="AF119"/>
  <c r="AB119"/>
  <c r="T119"/>
  <c r="D119"/>
  <c r="U119"/>
  <c r="E119"/>
  <c r="R119"/>
  <c r="AE119"/>
  <c r="O119"/>
  <c r="X119"/>
  <c r="H119"/>
  <c r="Y119"/>
  <c r="I119"/>
  <c r="V119"/>
  <c r="F119"/>
  <c r="S119"/>
  <c r="C119"/>
  <c r="L119"/>
  <c r="AC119"/>
  <c r="M119"/>
  <c r="Z119"/>
  <c r="J119"/>
  <c r="W119"/>
  <c r="G119"/>
  <c r="P119"/>
  <c r="AG119"/>
  <c r="Q119"/>
  <c r="AD119"/>
  <c r="N119"/>
  <c r="AA119"/>
  <c r="K119"/>
  <c r="R87"/>
  <c r="AE87"/>
  <c r="O87"/>
  <c r="AF87"/>
  <c r="P87"/>
  <c r="AG87"/>
  <c r="Q87"/>
  <c r="V87"/>
  <c r="F87"/>
  <c r="S87"/>
  <c r="C87"/>
  <c r="T87"/>
  <c r="D87"/>
  <c r="U87"/>
  <c r="E87"/>
  <c r="Z87"/>
  <c r="J87"/>
  <c r="W87"/>
  <c r="G87"/>
  <c r="X87"/>
  <c r="H87"/>
  <c r="Y87"/>
  <c r="I87"/>
  <c r="AD87"/>
  <c r="N87"/>
  <c r="AA87"/>
  <c r="K87"/>
  <c r="AB87"/>
  <c r="L87"/>
  <c r="AC87"/>
  <c r="M87"/>
  <c r="R55"/>
  <c r="AE55"/>
  <c r="O55"/>
  <c r="AB55"/>
  <c r="AF55"/>
  <c r="AG55"/>
  <c r="Q55"/>
  <c r="V55"/>
  <c r="F55"/>
  <c r="S55"/>
  <c r="C55"/>
  <c r="D55"/>
  <c r="H55"/>
  <c r="U55"/>
  <c r="E55"/>
  <c r="Z55"/>
  <c r="J55"/>
  <c r="W55"/>
  <c r="G55"/>
  <c r="L55"/>
  <c r="P55"/>
  <c r="Y55"/>
  <c r="I55"/>
  <c r="AD55"/>
  <c r="N55"/>
  <c r="AA55"/>
  <c r="K55"/>
  <c r="T55"/>
  <c r="X55"/>
  <c r="AC55"/>
  <c r="M55"/>
  <c r="S23"/>
  <c r="C23"/>
  <c r="Q23"/>
  <c r="H23"/>
  <c r="AD23"/>
  <c r="N23"/>
  <c r="L23"/>
  <c r="W23"/>
  <c r="G23"/>
  <c r="AC23"/>
  <c r="T23"/>
  <c r="I23"/>
  <c r="R23"/>
  <c r="X23"/>
  <c r="M23"/>
  <c r="AA23"/>
  <c r="K23"/>
  <c r="P23"/>
  <c r="AF23"/>
  <c r="U23"/>
  <c r="V23"/>
  <c r="F23"/>
  <c r="Y23"/>
  <c r="AE23"/>
  <c r="O23"/>
  <c r="AB23"/>
  <c r="E23"/>
  <c r="AG23"/>
  <c r="Z23"/>
  <c r="J23"/>
  <c r="D23"/>
  <c r="V240"/>
  <c r="F240"/>
  <c r="S240"/>
  <c r="C240"/>
  <c r="T240"/>
  <c r="D240"/>
  <c r="U240"/>
  <c r="E240"/>
  <c r="Z240"/>
  <c r="J240"/>
  <c r="W240"/>
  <c r="G240"/>
  <c r="X240"/>
  <c r="H240"/>
  <c r="Y240"/>
  <c r="I240"/>
  <c r="AD240"/>
  <c r="N240"/>
  <c r="AA240"/>
  <c r="K240"/>
  <c r="AB240"/>
  <c r="L240"/>
  <c r="AC240"/>
  <c r="M240"/>
  <c r="R240"/>
  <c r="AE240"/>
  <c r="O240"/>
  <c r="AF240"/>
  <c r="P240"/>
  <c r="AG240"/>
  <c r="Q240"/>
  <c r="V208"/>
  <c r="F208"/>
  <c r="S208"/>
  <c r="C208"/>
  <c r="T208"/>
  <c r="D208"/>
  <c r="U208"/>
  <c r="E208"/>
  <c r="Z208"/>
  <c r="J208"/>
  <c r="W208"/>
  <c r="G208"/>
  <c r="X208"/>
  <c r="H208"/>
  <c r="Y208"/>
  <c r="I208"/>
  <c r="AD208"/>
  <c r="N208"/>
  <c r="AA208"/>
  <c r="K208"/>
  <c r="AB208"/>
  <c r="L208"/>
  <c r="AC208"/>
  <c r="M208"/>
  <c r="R208"/>
  <c r="AE208"/>
  <c r="O208"/>
  <c r="AF208"/>
  <c r="P208"/>
  <c r="AG208"/>
  <c r="Q208"/>
  <c r="V172"/>
  <c r="F172"/>
  <c r="S172"/>
  <c r="AF172"/>
  <c r="P172"/>
  <c r="AC172"/>
  <c r="M172"/>
  <c r="C172"/>
  <c r="Z172"/>
  <c r="J172"/>
  <c r="W172"/>
  <c r="G172"/>
  <c r="T172"/>
  <c r="AG172"/>
  <c r="Q172"/>
  <c r="D172"/>
  <c r="AD172"/>
  <c r="N172"/>
  <c r="AA172"/>
  <c r="K172"/>
  <c r="X172"/>
  <c r="H172"/>
  <c r="U172"/>
  <c r="E172"/>
  <c r="R172"/>
  <c r="AE172"/>
  <c r="O172"/>
  <c r="AB172"/>
  <c r="L172"/>
  <c r="Y172"/>
  <c r="I172"/>
  <c r="W136"/>
  <c r="G136"/>
  <c r="X136"/>
  <c r="H136"/>
  <c r="Y136"/>
  <c r="I136"/>
  <c r="V136"/>
  <c r="F136"/>
  <c r="AA136"/>
  <c r="K136"/>
  <c r="AB136"/>
  <c r="L136"/>
  <c r="AC136"/>
  <c r="M136"/>
  <c r="Z136"/>
  <c r="J136"/>
  <c r="AE136"/>
  <c r="O136"/>
  <c r="AF136"/>
  <c r="P136"/>
  <c r="AG136"/>
  <c r="Q136"/>
  <c r="AD136"/>
  <c r="N136"/>
  <c r="S136"/>
  <c r="C136"/>
  <c r="T136"/>
  <c r="D136"/>
  <c r="U136"/>
  <c r="E136"/>
  <c r="R136"/>
  <c r="W104"/>
  <c r="G104"/>
  <c r="X104"/>
  <c r="H104"/>
  <c r="Y104"/>
  <c r="I104"/>
  <c r="V104"/>
  <c r="F104"/>
  <c r="AA104"/>
  <c r="K104"/>
  <c r="AB104"/>
  <c r="L104"/>
  <c r="AC104"/>
  <c r="M104"/>
  <c r="Z104"/>
  <c r="J104"/>
  <c r="AE104"/>
  <c r="O104"/>
  <c r="AF104"/>
  <c r="P104"/>
  <c r="AG104"/>
  <c r="Q104"/>
  <c r="AD104"/>
  <c r="N104"/>
  <c r="S104"/>
  <c r="C104"/>
  <c r="T104"/>
  <c r="D104"/>
  <c r="U104"/>
  <c r="E104"/>
  <c r="R104"/>
  <c r="Y72"/>
  <c r="I72"/>
  <c r="V72"/>
  <c r="F72"/>
  <c r="S72"/>
  <c r="C72"/>
  <c r="T72"/>
  <c r="D72"/>
  <c r="AC72"/>
  <c r="M72"/>
  <c r="Z72"/>
  <c r="J72"/>
  <c r="W72"/>
  <c r="G72"/>
  <c r="X72"/>
  <c r="H72"/>
  <c r="AG72"/>
  <c r="Q72"/>
  <c r="AD72"/>
  <c r="N72"/>
  <c r="AA72"/>
  <c r="K72"/>
  <c r="AB72"/>
  <c r="L72"/>
  <c r="U72"/>
  <c r="E72"/>
  <c r="R72"/>
  <c r="AE72"/>
  <c r="O72"/>
  <c r="AF72"/>
  <c r="P72"/>
  <c r="V40"/>
  <c r="F40"/>
  <c r="AA40"/>
  <c r="K40"/>
  <c r="P40"/>
  <c r="Y40"/>
  <c r="I40"/>
  <c r="H40"/>
  <c r="Z40"/>
  <c r="J40"/>
  <c r="AE40"/>
  <c r="O40"/>
  <c r="AB40"/>
  <c r="AC40"/>
  <c r="M40"/>
  <c r="T40"/>
  <c r="AD40"/>
  <c r="N40"/>
  <c r="L40"/>
  <c r="S40"/>
  <c r="C40"/>
  <c r="AG40"/>
  <c r="Q40"/>
  <c r="AF40"/>
  <c r="R40"/>
  <c r="X40"/>
  <c r="W40"/>
  <c r="G40"/>
  <c r="D40"/>
  <c r="U40"/>
  <c r="E40"/>
  <c r="W8"/>
  <c r="G8"/>
  <c r="E8"/>
  <c r="T8"/>
  <c r="D8"/>
  <c r="Z8"/>
  <c r="J8"/>
  <c r="M8"/>
  <c r="AA8"/>
  <c r="K8"/>
  <c r="Q8"/>
  <c r="X8"/>
  <c r="H8"/>
  <c r="AD8"/>
  <c r="N8"/>
  <c r="U8"/>
  <c r="AE8"/>
  <c r="O8"/>
  <c r="AC8"/>
  <c r="AB8"/>
  <c r="L8"/>
  <c r="I8"/>
  <c r="R8"/>
  <c r="AG8"/>
  <c r="S8"/>
  <c r="C8"/>
  <c r="AF8"/>
  <c r="P8"/>
  <c r="Y8"/>
  <c r="V8"/>
  <c r="F8"/>
  <c r="AG213"/>
  <c r="AD213"/>
  <c r="N213"/>
  <c r="S213"/>
  <c r="AB213"/>
  <c r="D213"/>
  <c r="K213"/>
  <c r="Q213"/>
  <c r="U213"/>
  <c r="R213"/>
  <c r="AA213"/>
  <c r="C213"/>
  <c r="I213"/>
  <c r="P213"/>
  <c r="X213"/>
  <c r="Y213"/>
  <c r="V213"/>
  <c r="F213"/>
  <c r="H213"/>
  <c r="O213"/>
  <c r="W213"/>
  <c r="AF213"/>
  <c r="G213"/>
  <c r="AC213"/>
  <c r="Z213"/>
  <c r="J213"/>
  <c r="M213"/>
  <c r="T213"/>
  <c r="AE213"/>
  <c r="E213"/>
  <c r="L213"/>
  <c r="AG179"/>
  <c r="Q179"/>
  <c r="AD179"/>
  <c r="N179"/>
  <c r="AA179"/>
  <c r="K179"/>
  <c r="AB179"/>
  <c r="L179"/>
  <c r="U179"/>
  <c r="E179"/>
  <c r="R179"/>
  <c r="AE179"/>
  <c r="O179"/>
  <c r="AF179"/>
  <c r="P179"/>
  <c r="Y179"/>
  <c r="I179"/>
  <c r="V179"/>
  <c r="F179"/>
  <c r="S179"/>
  <c r="C179"/>
  <c r="T179"/>
  <c r="D179"/>
  <c r="AC179"/>
  <c r="M179"/>
  <c r="Z179"/>
  <c r="J179"/>
  <c r="W179"/>
  <c r="G179"/>
  <c r="X179"/>
  <c r="H179"/>
  <c r="AG143"/>
  <c r="Q143"/>
  <c r="AD143"/>
  <c r="N143"/>
  <c r="AA143"/>
  <c r="K143"/>
  <c r="AB143"/>
  <c r="L143"/>
  <c r="U143"/>
  <c r="E143"/>
  <c r="R143"/>
  <c r="AE143"/>
  <c r="O143"/>
  <c r="AF143"/>
  <c r="P143"/>
  <c r="Y143"/>
  <c r="I143"/>
  <c r="V143"/>
  <c r="F143"/>
  <c r="S143"/>
  <c r="C143"/>
  <c r="T143"/>
  <c r="D143"/>
  <c r="AC143"/>
  <c r="M143"/>
  <c r="Z143"/>
  <c r="J143"/>
  <c r="W143"/>
  <c r="G143"/>
  <c r="X143"/>
  <c r="H143"/>
  <c r="AD109"/>
  <c r="N109"/>
  <c r="AA109"/>
  <c r="K109"/>
  <c r="AB109"/>
  <c r="L109"/>
  <c r="AC109"/>
  <c r="M109"/>
  <c r="R109"/>
  <c r="AE109"/>
  <c r="O109"/>
  <c r="AF109"/>
  <c r="P109"/>
  <c r="AG109"/>
  <c r="Q109"/>
  <c r="V109"/>
  <c r="F109"/>
  <c r="S109"/>
  <c r="C109"/>
  <c r="T109"/>
  <c r="D109"/>
  <c r="U109"/>
  <c r="E109"/>
  <c r="Z109"/>
  <c r="J109"/>
  <c r="W109"/>
  <c r="G109"/>
  <c r="X109"/>
  <c r="H109"/>
  <c r="Y109"/>
  <c r="I109"/>
  <c r="AF77"/>
  <c r="P77"/>
  <c r="AG77"/>
  <c r="Q77"/>
  <c r="AD77"/>
  <c r="N77"/>
  <c r="AA77"/>
  <c r="K77"/>
  <c r="T77"/>
  <c r="D77"/>
  <c r="U77"/>
  <c r="E77"/>
  <c r="R77"/>
  <c r="AE77"/>
  <c r="O77"/>
  <c r="X77"/>
  <c r="H77"/>
  <c r="Y77"/>
  <c r="I77"/>
  <c r="V77"/>
  <c r="F77"/>
  <c r="S77"/>
  <c r="C77"/>
  <c r="AB77"/>
  <c r="L77"/>
  <c r="AC77"/>
  <c r="M77"/>
  <c r="Z77"/>
  <c r="J77"/>
  <c r="W77"/>
  <c r="G77"/>
  <c r="AG45"/>
  <c r="Q45"/>
  <c r="W45"/>
  <c r="Z45"/>
  <c r="J45"/>
  <c r="G45"/>
  <c r="T45"/>
  <c r="D45"/>
  <c r="U45"/>
  <c r="E45"/>
  <c r="AD45"/>
  <c r="N45"/>
  <c r="S45"/>
  <c r="X45"/>
  <c r="H45"/>
  <c r="Y45"/>
  <c r="I45"/>
  <c r="C45"/>
  <c r="R45"/>
  <c r="AE45"/>
  <c r="AB45"/>
  <c r="L45"/>
  <c r="K45"/>
  <c r="AC45"/>
  <c r="M45"/>
  <c r="O45"/>
  <c r="V45"/>
  <c r="F45"/>
  <c r="AF45"/>
  <c r="P45"/>
  <c r="AA45"/>
  <c r="AD13"/>
  <c r="N13"/>
  <c r="T13"/>
  <c r="W13"/>
  <c r="G13"/>
  <c r="AG13"/>
  <c r="Q13"/>
  <c r="AB13"/>
  <c r="R13"/>
  <c r="AF13"/>
  <c r="AA13"/>
  <c r="K13"/>
  <c r="L13"/>
  <c r="U13"/>
  <c r="E13"/>
  <c r="V13"/>
  <c r="F13"/>
  <c r="AE13"/>
  <c r="O13"/>
  <c r="X13"/>
  <c r="Y13"/>
  <c r="I13"/>
  <c r="D13"/>
  <c r="Z13"/>
  <c r="J13"/>
  <c r="H13"/>
  <c r="S13"/>
  <c r="C13"/>
  <c r="AC13"/>
  <c r="M13"/>
  <c r="P13"/>
  <c r="Y210"/>
  <c r="AB210"/>
  <c r="H210"/>
  <c r="S210"/>
  <c r="AE210"/>
  <c r="J210"/>
  <c r="V210"/>
  <c r="C210"/>
  <c r="AC210"/>
  <c r="M210"/>
  <c r="L210"/>
  <c r="X210"/>
  <c r="E210"/>
  <c r="O210"/>
  <c r="AA210"/>
  <c r="G210"/>
  <c r="AG210"/>
  <c r="Q210"/>
  <c r="R210"/>
  <c r="AD210"/>
  <c r="I210"/>
  <c r="T210"/>
  <c r="AF210"/>
  <c r="K210"/>
  <c r="U210"/>
  <c r="W210"/>
  <c r="D210"/>
  <c r="N210"/>
  <c r="Z210"/>
  <c r="F210"/>
  <c r="P210"/>
  <c r="X176"/>
  <c r="H176"/>
  <c r="Y176"/>
  <c r="I176"/>
  <c r="V176"/>
  <c r="F176"/>
  <c r="S176"/>
  <c r="C176"/>
  <c r="AB176"/>
  <c r="L176"/>
  <c r="AC176"/>
  <c r="M176"/>
  <c r="Z176"/>
  <c r="J176"/>
  <c r="W176"/>
  <c r="G176"/>
  <c r="AF176"/>
  <c r="P176"/>
  <c r="AG176"/>
  <c r="Q176"/>
  <c r="AD176"/>
  <c r="N176"/>
  <c r="AA176"/>
  <c r="K176"/>
  <c r="T176"/>
  <c r="D176"/>
  <c r="U176"/>
  <c r="E176"/>
  <c r="R176"/>
  <c r="AE176"/>
  <c r="O176"/>
  <c r="Y140"/>
  <c r="I140"/>
  <c r="V140"/>
  <c r="F140"/>
  <c r="S140"/>
  <c r="C140"/>
  <c r="T140"/>
  <c r="D140"/>
  <c r="AC140"/>
  <c r="M140"/>
  <c r="Z140"/>
  <c r="J140"/>
  <c r="W140"/>
  <c r="G140"/>
  <c r="X140"/>
  <c r="H140"/>
  <c r="AG140"/>
  <c r="Q140"/>
  <c r="AD140"/>
  <c r="N140"/>
  <c r="AA140"/>
  <c r="K140"/>
  <c r="AB140"/>
  <c r="L140"/>
  <c r="U140"/>
  <c r="E140"/>
  <c r="R140"/>
  <c r="AE140"/>
  <c r="O140"/>
  <c r="AF140"/>
  <c r="P140"/>
  <c r="Y106"/>
  <c r="I106"/>
  <c r="V106"/>
  <c r="F106"/>
  <c r="S106"/>
  <c r="C106"/>
  <c r="T106"/>
  <c r="D106"/>
  <c r="AC106"/>
  <c r="M106"/>
  <c r="Z106"/>
  <c r="J106"/>
  <c r="W106"/>
  <c r="G106"/>
  <c r="X106"/>
  <c r="H106"/>
  <c r="AG106"/>
  <c r="Q106"/>
  <c r="AD106"/>
  <c r="N106"/>
  <c r="AA106"/>
  <c r="K106"/>
  <c r="AB106"/>
  <c r="L106"/>
  <c r="U106"/>
  <c r="E106"/>
  <c r="R106"/>
  <c r="AE106"/>
  <c r="O106"/>
  <c r="AF106"/>
  <c r="P106"/>
  <c r="W74"/>
  <c r="G74"/>
  <c r="X74"/>
  <c r="H74"/>
  <c r="Y74"/>
  <c r="I74"/>
  <c r="V74"/>
  <c r="F74"/>
  <c r="AA74"/>
  <c r="K74"/>
  <c r="AB74"/>
  <c r="L74"/>
  <c r="AC74"/>
  <c r="M74"/>
  <c r="Z74"/>
  <c r="J74"/>
  <c r="AE74"/>
  <c r="O74"/>
  <c r="AF74"/>
  <c r="P74"/>
  <c r="AG74"/>
  <c r="Q74"/>
  <c r="AD74"/>
  <c r="N74"/>
  <c r="S74"/>
  <c r="C74"/>
  <c r="T74"/>
  <c r="D74"/>
  <c r="U74"/>
  <c r="E74"/>
  <c r="R74"/>
  <c r="T42"/>
  <c r="D42"/>
  <c r="AG42"/>
  <c r="Q42"/>
  <c r="N42"/>
  <c r="S42"/>
  <c r="C42"/>
  <c r="X42"/>
  <c r="H42"/>
  <c r="F42"/>
  <c r="U42"/>
  <c r="Z42"/>
  <c r="W42"/>
  <c r="G42"/>
  <c r="J42"/>
  <c r="AB42"/>
  <c r="L42"/>
  <c r="R42"/>
  <c r="Y42"/>
  <c r="I42"/>
  <c r="AA42"/>
  <c r="K42"/>
  <c r="V42"/>
  <c r="AF42"/>
  <c r="P42"/>
  <c r="AD42"/>
  <c r="AC42"/>
  <c r="M42"/>
  <c r="AE42"/>
  <c r="O42"/>
  <c r="E42"/>
  <c r="U10"/>
  <c r="E10"/>
  <c r="AD10"/>
  <c r="N10"/>
  <c r="K10"/>
  <c r="T10"/>
  <c r="D10"/>
  <c r="Y10"/>
  <c r="I10"/>
  <c r="G10"/>
  <c r="R10"/>
  <c r="W10"/>
  <c r="X10"/>
  <c r="H10"/>
  <c r="C10"/>
  <c r="AC10"/>
  <c r="M10"/>
  <c r="S10"/>
  <c r="V10"/>
  <c r="F10"/>
  <c r="AB10"/>
  <c r="L10"/>
  <c r="O10"/>
  <c r="AG10"/>
  <c r="Q10"/>
  <c r="AA10"/>
  <c r="Z10"/>
  <c r="J10"/>
  <c r="AF10"/>
  <c r="P10"/>
  <c r="AE10"/>
  <c r="T211"/>
  <c r="D211"/>
  <c r="Q211"/>
  <c r="W211"/>
  <c r="AD211"/>
  <c r="I211"/>
  <c r="U211"/>
  <c r="X211"/>
  <c r="H211"/>
  <c r="V211"/>
  <c r="AC211"/>
  <c r="G211"/>
  <c r="N211"/>
  <c r="Z211"/>
  <c r="E211"/>
  <c r="AB211"/>
  <c r="L211"/>
  <c r="AA211"/>
  <c r="F211"/>
  <c r="M211"/>
  <c r="S211"/>
  <c r="AE211"/>
  <c r="J211"/>
  <c r="AF211"/>
  <c r="P211"/>
  <c r="AG211"/>
  <c r="K211"/>
  <c r="R211"/>
  <c r="Y211"/>
  <c r="C211"/>
  <c r="O211"/>
  <c r="S177"/>
  <c r="C177"/>
  <c r="T177"/>
  <c r="D177"/>
  <c r="U177"/>
  <c r="E177"/>
  <c r="R177"/>
  <c r="W177"/>
  <c r="G177"/>
  <c r="X177"/>
  <c r="H177"/>
  <c r="Y177"/>
  <c r="I177"/>
  <c r="V177"/>
  <c r="F177"/>
  <c r="AA177"/>
  <c r="K177"/>
  <c r="AB177"/>
  <c r="L177"/>
  <c r="AC177"/>
  <c r="M177"/>
  <c r="Z177"/>
  <c r="J177"/>
  <c r="AE177"/>
  <c r="O177"/>
  <c r="AF177"/>
  <c r="P177"/>
  <c r="AG177"/>
  <c r="Q177"/>
  <c r="AD177"/>
  <c r="N177"/>
  <c r="U141"/>
  <c r="E141"/>
  <c r="R141"/>
  <c r="AE141"/>
  <c r="O141"/>
  <c r="AF141"/>
  <c r="P141"/>
  <c r="Y141"/>
  <c r="I141"/>
  <c r="V141"/>
  <c r="F141"/>
  <c r="S141"/>
  <c r="C141"/>
  <c r="T141"/>
  <c r="D141"/>
  <c r="AC141"/>
  <c r="M141"/>
  <c r="Z141"/>
  <c r="J141"/>
  <c r="W141"/>
  <c r="G141"/>
  <c r="X141"/>
  <c r="H141"/>
  <c r="AG141"/>
  <c r="Q141"/>
  <c r="AD141"/>
  <c r="N141"/>
  <c r="AA141"/>
  <c r="K141"/>
  <c r="AB141"/>
  <c r="L141"/>
  <c r="T107"/>
  <c r="D107"/>
  <c r="U107"/>
  <c r="E107"/>
  <c r="R107"/>
  <c r="AE107"/>
  <c r="O107"/>
  <c r="X107"/>
  <c r="H107"/>
  <c r="Y107"/>
  <c r="I107"/>
  <c r="V107"/>
  <c r="F107"/>
  <c r="S107"/>
  <c r="C107"/>
  <c r="AB107"/>
  <c r="L107"/>
  <c r="AC107"/>
  <c r="M107"/>
  <c r="Z107"/>
  <c r="J107"/>
  <c r="W107"/>
  <c r="G107"/>
  <c r="AF107"/>
  <c r="P107"/>
  <c r="AG107"/>
  <c r="Q107"/>
  <c r="AD107"/>
  <c r="N107"/>
  <c r="AA107"/>
  <c r="K107"/>
  <c r="R75"/>
  <c r="AE75"/>
  <c r="O75"/>
  <c r="AF75"/>
  <c r="P75"/>
  <c r="AG75"/>
  <c r="Q75"/>
  <c r="V75"/>
  <c r="F75"/>
  <c r="S75"/>
  <c r="C75"/>
  <c r="T75"/>
  <c r="D75"/>
  <c r="U75"/>
  <c r="E75"/>
  <c r="Z75"/>
  <c r="J75"/>
  <c r="W75"/>
  <c r="G75"/>
  <c r="X75"/>
  <c r="H75"/>
  <c r="Y75"/>
  <c r="I75"/>
  <c r="AD75"/>
  <c r="N75"/>
  <c r="AA75"/>
  <c r="K75"/>
  <c r="AB75"/>
  <c r="L75"/>
  <c r="AC75"/>
  <c r="M75"/>
  <c r="S43"/>
  <c r="C43"/>
  <c r="AF43"/>
  <c r="P43"/>
  <c r="AC43"/>
  <c r="Z43"/>
  <c r="J43"/>
  <c r="W43"/>
  <c r="G43"/>
  <c r="I43"/>
  <c r="T43"/>
  <c r="D43"/>
  <c r="AD43"/>
  <c r="N43"/>
  <c r="M43"/>
  <c r="AA43"/>
  <c r="K43"/>
  <c r="U43"/>
  <c r="X43"/>
  <c r="H43"/>
  <c r="E43"/>
  <c r="R43"/>
  <c r="Y43"/>
  <c r="AE43"/>
  <c r="O43"/>
  <c r="AG43"/>
  <c r="AB43"/>
  <c r="L43"/>
  <c r="Q43"/>
  <c r="V43"/>
  <c r="F43"/>
  <c r="T11"/>
  <c r="D11"/>
  <c r="AC11"/>
  <c r="M11"/>
  <c r="R11"/>
  <c r="W11"/>
  <c r="G11"/>
  <c r="X11"/>
  <c r="H11"/>
  <c r="AG11"/>
  <c r="Q11"/>
  <c r="AD11"/>
  <c r="AA11"/>
  <c r="K11"/>
  <c r="J11"/>
  <c r="AB11"/>
  <c r="L11"/>
  <c r="N11"/>
  <c r="U11"/>
  <c r="E11"/>
  <c r="AE11"/>
  <c r="O11"/>
  <c r="V11"/>
  <c r="AF11"/>
  <c r="P11"/>
  <c r="Z11"/>
  <c r="Y11"/>
  <c r="I11"/>
  <c r="F11"/>
  <c r="S11"/>
  <c r="C11"/>
  <c r="AA212"/>
  <c r="K212"/>
  <c r="Z212"/>
  <c r="E212"/>
  <c r="Q212"/>
  <c r="X212"/>
  <c r="AD212"/>
  <c r="I212"/>
  <c r="AE212"/>
  <c r="O212"/>
  <c r="AF212"/>
  <c r="J212"/>
  <c r="V212"/>
  <c r="AC212"/>
  <c r="H212"/>
  <c r="N212"/>
  <c r="S212"/>
  <c r="C212"/>
  <c r="P212"/>
  <c r="AB212"/>
  <c r="F212"/>
  <c r="M212"/>
  <c r="T212"/>
  <c r="W212"/>
  <c r="G212"/>
  <c r="U212"/>
  <c r="AG212"/>
  <c r="L212"/>
  <c r="R212"/>
  <c r="Y212"/>
  <c r="D212"/>
  <c r="Z178"/>
  <c r="J178"/>
  <c r="W178"/>
  <c r="G178"/>
  <c r="X178"/>
  <c r="H178"/>
  <c r="Y178"/>
  <c r="I178"/>
  <c r="AD178"/>
  <c r="N178"/>
  <c r="AA178"/>
  <c r="K178"/>
  <c r="AB178"/>
  <c r="L178"/>
  <c r="AC178"/>
  <c r="M178"/>
  <c r="R178"/>
  <c r="AE178"/>
  <c r="O178"/>
  <c r="AF178"/>
  <c r="P178"/>
  <c r="AG178"/>
  <c r="Q178"/>
  <c r="V178"/>
  <c r="F178"/>
  <c r="S178"/>
  <c r="C178"/>
  <c r="T178"/>
  <c r="D178"/>
  <c r="U178"/>
  <c r="E178"/>
  <c r="AC142"/>
  <c r="M142"/>
  <c r="Z142"/>
  <c r="J142"/>
  <c r="W142"/>
  <c r="G142"/>
  <c r="X142"/>
  <c r="H142"/>
  <c r="AG142"/>
  <c r="Q142"/>
  <c r="AD142"/>
  <c r="N142"/>
  <c r="AA142"/>
  <c r="K142"/>
  <c r="AB142"/>
  <c r="L142"/>
  <c r="U142"/>
  <c r="E142"/>
  <c r="R142"/>
  <c r="AE142"/>
  <c r="O142"/>
  <c r="AF142"/>
  <c r="P142"/>
  <c r="Y142"/>
  <c r="I142"/>
  <c r="V142"/>
  <c r="F142"/>
  <c r="S142"/>
  <c r="C142"/>
  <c r="T142"/>
  <c r="D142"/>
  <c r="AA108"/>
  <c r="K108"/>
  <c r="AB108"/>
  <c r="L108"/>
  <c r="AC108"/>
  <c r="M108"/>
  <c r="Z108"/>
  <c r="J108"/>
  <c r="AE108"/>
  <c r="O108"/>
  <c r="AF108"/>
  <c r="P108"/>
  <c r="AG108"/>
  <c r="Q108"/>
  <c r="AD108"/>
  <c r="N108"/>
  <c r="S108"/>
  <c r="C108"/>
  <c r="T108"/>
  <c r="D108"/>
  <c r="U108"/>
  <c r="E108"/>
  <c r="R108"/>
  <c r="W108"/>
  <c r="G108"/>
  <c r="X108"/>
  <c r="H108"/>
  <c r="Y108"/>
  <c r="I108"/>
  <c r="V108"/>
  <c r="F108"/>
  <c r="AC76"/>
  <c r="M76"/>
  <c r="Z76"/>
  <c r="J76"/>
  <c r="W76"/>
  <c r="G76"/>
  <c r="X76"/>
  <c r="H76"/>
  <c r="AG76"/>
  <c r="Q76"/>
  <c r="AD76"/>
  <c r="N76"/>
  <c r="AA76"/>
  <c r="K76"/>
  <c r="AB76"/>
  <c r="L76"/>
  <c r="U76"/>
  <c r="E76"/>
  <c r="R76"/>
  <c r="AE76"/>
  <c r="O76"/>
  <c r="AF76"/>
  <c r="P76"/>
  <c r="Y76"/>
  <c r="I76"/>
  <c r="V76"/>
  <c r="F76"/>
  <c r="S76"/>
  <c r="C76"/>
  <c r="T76"/>
  <c r="D76"/>
  <c r="Z44"/>
  <c r="J44"/>
  <c r="AE44"/>
  <c r="O44"/>
  <c r="AF44"/>
  <c r="AC44"/>
  <c r="M44"/>
  <c r="P44"/>
  <c r="AD44"/>
  <c r="N44"/>
  <c r="L44"/>
  <c r="S44"/>
  <c r="C44"/>
  <c r="AG44"/>
  <c r="Q44"/>
  <c r="AB44"/>
  <c r="R44"/>
  <c r="X44"/>
  <c r="W44"/>
  <c r="G44"/>
  <c r="H44"/>
  <c r="U44"/>
  <c r="E44"/>
  <c r="V44"/>
  <c r="F44"/>
  <c r="AA44"/>
  <c r="K44"/>
  <c r="T44"/>
  <c r="Y44"/>
  <c r="I44"/>
  <c r="D44"/>
  <c r="AA12"/>
  <c r="K12"/>
  <c r="Q12"/>
  <c r="X12"/>
  <c r="H12"/>
  <c r="I12"/>
  <c r="R12"/>
  <c r="Y12"/>
  <c r="AE12"/>
  <c r="O12"/>
  <c r="AC12"/>
  <c r="AB12"/>
  <c r="L12"/>
  <c r="U12"/>
  <c r="V12"/>
  <c r="F12"/>
  <c r="S12"/>
  <c r="C12"/>
  <c r="AF12"/>
  <c r="P12"/>
  <c r="AG12"/>
  <c r="Z12"/>
  <c r="J12"/>
  <c r="W12"/>
  <c r="G12"/>
  <c r="E12"/>
  <c r="T12"/>
  <c r="D12"/>
  <c r="AD12"/>
  <c r="N12"/>
  <c r="M12"/>
  <c r="AC217"/>
  <c r="M217"/>
  <c r="Z217"/>
  <c r="J217"/>
  <c r="W217"/>
  <c r="G217"/>
  <c r="X217"/>
  <c r="H217"/>
  <c r="AG217"/>
  <c r="Q217"/>
  <c r="AD217"/>
  <c r="N217"/>
  <c r="AA217"/>
  <c r="K217"/>
  <c r="AB217"/>
  <c r="L217"/>
  <c r="U217"/>
  <c r="E217"/>
  <c r="R217"/>
  <c r="AE217"/>
  <c r="O217"/>
  <c r="AF217"/>
  <c r="P217"/>
  <c r="Y217"/>
  <c r="I217"/>
  <c r="V217"/>
  <c r="F217"/>
  <c r="S217"/>
  <c r="C217"/>
  <c r="T217"/>
  <c r="D217"/>
  <c r="AC185"/>
  <c r="M185"/>
  <c r="Z185"/>
  <c r="J185"/>
  <c r="W185"/>
  <c r="G185"/>
  <c r="X185"/>
  <c r="H185"/>
  <c r="AG185"/>
  <c r="Q185"/>
  <c r="AD185"/>
  <c r="N185"/>
  <c r="AA185"/>
  <c r="K185"/>
  <c r="AB185"/>
  <c r="L185"/>
  <c r="U185"/>
  <c r="E185"/>
  <c r="R185"/>
  <c r="AE185"/>
  <c r="O185"/>
  <c r="AF185"/>
  <c r="P185"/>
  <c r="Y185"/>
  <c r="I185"/>
  <c r="V185"/>
  <c r="F185"/>
  <c r="S185"/>
  <c r="C185"/>
  <c r="T185"/>
  <c r="D185"/>
  <c r="AC147"/>
  <c r="M147"/>
  <c r="Z147"/>
  <c r="J147"/>
  <c r="W147"/>
  <c r="G147"/>
  <c r="X147"/>
  <c r="H147"/>
  <c r="AG147"/>
  <c r="Q147"/>
  <c r="AD147"/>
  <c r="N147"/>
  <c r="AA147"/>
  <c r="K147"/>
  <c r="AB147"/>
  <c r="L147"/>
  <c r="U147"/>
  <c r="E147"/>
  <c r="R147"/>
  <c r="AE147"/>
  <c r="O147"/>
  <c r="AF147"/>
  <c r="P147"/>
  <c r="Y147"/>
  <c r="I147"/>
  <c r="V147"/>
  <c r="F147"/>
  <c r="S147"/>
  <c r="C147"/>
  <c r="T147"/>
  <c r="D147"/>
  <c r="Z113"/>
  <c r="J113"/>
  <c r="W113"/>
  <c r="G113"/>
  <c r="X113"/>
  <c r="H113"/>
  <c r="Y113"/>
  <c r="I113"/>
  <c r="AD113"/>
  <c r="N113"/>
  <c r="AA113"/>
  <c r="K113"/>
  <c r="AB113"/>
  <c r="L113"/>
  <c r="AC113"/>
  <c r="M113"/>
  <c r="R113"/>
  <c r="AE113"/>
  <c r="O113"/>
  <c r="AF113"/>
  <c r="P113"/>
  <c r="AG113"/>
  <c r="Q113"/>
  <c r="V113"/>
  <c r="F113"/>
  <c r="S113"/>
  <c r="C113"/>
  <c r="T113"/>
  <c r="D113"/>
  <c r="U113"/>
  <c r="E113"/>
  <c r="AB81"/>
  <c r="L81"/>
  <c r="AC81"/>
  <c r="M81"/>
  <c r="Z81"/>
  <c r="J81"/>
  <c r="W81"/>
  <c r="G81"/>
  <c r="AF81"/>
  <c r="P81"/>
  <c r="AG81"/>
  <c r="Q81"/>
  <c r="AD81"/>
  <c r="N81"/>
  <c r="AA81"/>
  <c r="K81"/>
  <c r="T81"/>
  <c r="D81"/>
  <c r="U81"/>
  <c r="E81"/>
  <c r="R81"/>
  <c r="AE81"/>
  <c r="O81"/>
  <c r="X81"/>
  <c r="H81"/>
  <c r="Y81"/>
  <c r="I81"/>
  <c r="V81"/>
  <c r="F81"/>
  <c r="S81"/>
  <c r="C81"/>
  <c r="AG49"/>
  <c r="Q49"/>
  <c r="S49"/>
  <c r="R49"/>
  <c r="T49"/>
  <c r="O49"/>
  <c r="F49"/>
  <c r="H49"/>
  <c r="X49"/>
  <c r="U49"/>
  <c r="AE49"/>
  <c r="Z49"/>
  <c r="AA49"/>
  <c r="E49"/>
  <c r="J49"/>
  <c r="L49"/>
  <c r="Y49"/>
  <c r="V49"/>
  <c r="P49"/>
  <c r="AB49"/>
  <c r="I49"/>
  <c r="N49"/>
  <c r="C49"/>
  <c r="AC49"/>
  <c r="AD49"/>
  <c r="AF49"/>
  <c r="W49"/>
  <c r="M49"/>
  <c r="G49"/>
  <c r="K49"/>
  <c r="D49"/>
  <c r="Z17"/>
  <c r="J17"/>
  <c r="X17"/>
  <c r="H17"/>
  <c r="W17"/>
  <c r="G17"/>
  <c r="Y17"/>
  <c r="I17"/>
  <c r="AD17"/>
  <c r="N17"/>
  <c r="AB17"/>
  <c r="L17"/>
  <c r="AA17"/>
  <c r="K17"/>
  <c r="AC17"/>
  <c r="M17"/>
  <c r="R17"/>
  <c r="AF17"/>
  <c r="P17"/>
  <c r="AE17"/>
  <c r="O17"/>
  <c r="AG17"/>
  <c r="Q17"/>
  <c r="V17"/>
  <c r="F17"/>
  <c r="T17"/>
  <c r="D17"/>
  <c r="S17"/>
  <c r="C17"/>
  <c r="U17"/>
  <c r="E17"/>
  <c r="AB222"/>
  <c r="L222"/>
  <c r="AC222"/>
  <c r="M222"/>
  <c r="Z222"/>
  <c r="J222"/>
  <c r="W222"/>
  <c r="G222"/>
  <c r="AF222"/>
  <c r="P222"/>
  <c r="AG222"/>
  <c r="Q222"/>
  <c r="AD222"/>
  <c r="N222"/>
  <c r="AA222"/>
  <c r="K222"/>
  <c r="T222"/>
  <c r="D222"/>
  <c r="U222"/>
  <c r="E222"/>
  <c r="R222"/>
  <c r="AE222"/>
  <c r="O222"/>
  <c r="X222"/>
  <c r="H222"/>
  <c r="Y222"/>
  <c r="I222"/>
  <c r="V222"/>
  <c r="F222"/>
  <c r="S222"/>
  <c r="C222"/>
  <c r="AB190"/>
  <c r="L190"/>
  <c r="AC190"/>
  <c r="M190"/>
  <c r="Z190"/>
  <c r="J190"/>
  <c r="W190"/>
  <c r="G190"/>
  <c r="AF190"/>
  <c r="P190"/>
  <c r="AG190"/>
  <c r="Q190"/>
  <c r="AD190"/>
  <c r="N190"/>
  <c r="AA190"/>
  <c r="K190"/>
  <c r="T190"/>
  <c r="D190"/>
  <c r="U190"/>
  <c r="E190"/>
  <c r="R190"/>
  <c r="AE190"/>
  <c r="O190"/>
  <c r="X190"/>
  <c r="H190"/>
  <c r="Y190"/>
  <c r="I190"/>
  <c r="V190"/>
  <c r="F190"/>
  <c r="S190"/>
  <c r="C190"/>
  <c r="AC152"/>
  <c r="M152"/>
  <c r="Z152"/>
  <c r="J152"/>
  <c r="W152"/>
  <c r="G152"/>
  <c r="X152"/>
  <c r="H152"/>
  <c r="AG152"/>
  <c r="Q152"/>
  <c r="AD152"/>
  <c r="N152"/>
  <c r="AA152"/>
  <c r="K152"/>
  <c r="AB152"/>
  <c r="L152"/>
  <c r="U152"/>
  <c r="E152"/>
  <c r="R152"/>
  <c r="AE152"/>
  <c r="O152"/>
  <c r="AF152"/>
  <c r="P152"/>
  <c r="Y152"/>
  <c r="I152"/>
  <c r="V152"/>
  <c r="F152"/>
  <c r="S152"/>
  <c r="C152"/>
  <c r="T152"/>
  <c r="D152"/>
  <c r="AC118"/>
  <c r="M118"/>
  <c r="Z118"/>
  <c r="J118"/>
  <c r="W118"/>
  <c r="G118"/>
  <c r="X118"/>
  <c r="H118"/>
  <c r="AG118"/>
  <c r="Q118"/>
  <c r="AD118"/>
  <c r="N118"/>
  <c r="AA118"/>
  <c r="K118"/>
  <c r="AB118"/>
  <c r="L118"/>
  <c r="U118"/>
  <c r="E118"/>
  <c r="R118"/>
  <c r="AE118"/>
  <c r="O118"/>
  <c r="AF118"/>
  <c r="P118"/>
  <c r="Y118"/>
  <c r="I118"/>
  <c r="V118"/>
  <c r="F118"/>
  <c r="S118"/>
  <c r="C118"/>
  <c r="T118"/>
  <c r="D118"/>
  <c r="AA86"/>
  <c r="K86"/>
  <c r="AB86"/>
  <c r="L86"/>
  <c r="AC86"/>
  <c r="M86"/>
  <c r="Z86"/>
  <c r="J86"/>
  <c r="AE86"/>
  <c r="O86"/>
  <c r="AF86"/>
  <c r="P86"/>
  <c r="AG86"/>
  <c r="Q86"/>
  <c r="AD86"/>
  <c r="N86"/>
  <c r="S86"/>
  <c r="C86"/>
  <c r="T86"/>
  <c r="D86"/>
  <c r="U86"/>
  <c r="E86"/>
  <c r="R86"/>
  <c r="W86"/>
  <c r="G86"/>
  <c r="X86"/>
  <c r="H86"/>
  <c r="Y86"/>
  <c r="I86"/>
  <c r="V86"/>
  <c r="F86"/>
  <c r="AA54"/>
  <c r="K54"/>
  <c r="AB54"/>
  <c r="L54"/>
  <c r="Y54"/>
  <c r="U54"/>
  <c r="Z54"/>
  <c r="J54"/>
  <c r="AE54"/>
  <c r="O54"/>
  <c r="AF54"/>
  <c r="P54"/>
  <c r="AC54"/>
  <c r="AG54"/>
  <c r="AD54"/>
  <c r="N54"/>
  <c r="S54"/>
  <c r="C54"/>
  <c r="T54"/>
  <c r="D54"/>
  <c r="I54"/>
  <c r="E54"/>
  <c r="R54"/>
  <c r="W54"/>
  <c r="G54"/>
  <c r="X54"/>
  <c r="H54"/>
  <c r="Q54"/>
  <c r="M54"/>
  <c r="V54"/>
  <c r="F54"/>
  <c r="AB22"/>
  <c r="L22"/>
  <c r="U22"/>
  <c r="AC22"/>
  <c r="R22"/>
  <c r="W22"/>
  <c r="G22"/>
  <c r="V22"/>
  <c r="AF22"/>
  <c r="P22"/>
  <c r="AG22"/>
  <c r="N22"/>
  <c r="AD22"/>
  <c r="AA22"/>
  <c r="K22"/>
  <c r="I22"/>
  <c r="T22"/>
  <c r="D22"/>
  <c r="Z22"/>
  <c r="E22"/>
  <c r="AE22"/>
  <c r="O22"/>
  <c r="Y22"/>
  <c r="X22"/>
  <c r="H22"/>
  <c r="M22"/>
  <c r="Q22"/>
  <c r="F22"/>
  <c r="S22"/>
  <c r="C22"/>
  <c r="J22"/>
  <c r="S231"/>
  <c r="C231"/>
  <c r="T231"/>
  <c r="D231"/>
  <c r="U231"/>
  <c r="E231"/>
  <c r="R231"/>
  <c r="W231"/>
  <c r="G231"/>
  <c r="X231"/>
  <c r="H231"/>
  <c r="Y231"/>
  <c r="I231"/>
  <c r="V231"/>
  <c r="F231"/>
  <c r="AA231"/>
  <c r="K231"/>
  <c r="AB231"/>
  <c r="L231"/>
  <c r="AC231"/>
  <c r="M231"/>
  <c r="Z231"/>
  <c r="J231"/>
  <c r="AE231"/>
  <c r="O231"/>
  <c r="AF231"/>
  <c r="P231"/>
  <c r="AG231"/>
  <c r="Q231"/>
  <c r="AD231"/>
  <c r="N231"/>
  <c r="S199"/>
  <c r="C199"/>
  <c r="T199"/>
  <c r="D199"/>
  <c r="U199"/>
  <c r="E199"/>
  <c r="R199"/>
  <c r="W199"/>
  <c r="G199"/>
  <c r="X199"/>
  <c r="H199"/>
  <c r="Y199"/>
  <c r="I199"/>
  <c r="V199"/>
  <c r="F199"/>
  <c r="AA199"/>
  <c r="K199"/>
  <c r="AB199"/>
  <c r="L199"/>
  <c r="AC199"/>
  <c r="M199"/>
  <c r="Z199"/>
  <c r="J199"/>
  <c r="AE199"/>
  <c r="O199"/>
  <c r="AF199"/>
  <c r="P199"/>
  <c r="AG199"/>
  <c r="Q199"/>
  <c r="AD199"/>
  <c r="N199"/>
  <c r="U161"/>
  <c r="E161"/>
  <c r="R161"/>
  <c r="AE161"/>
  <c r="O161"/>
  <c r="AF161"/>
  <c r="P161"/>
  <c r="Y161"/>
  <c r="I161"/>
  <c r="V161"/>
  <c r="F161"/>
  <c r="S161"/>
  <c r="C161"/>
  <c r="T161"/>
  <c r="D161"/>
  <c r="AC161"/>
  <c r="M161"/>
  <c r="Z161"/>
  <c r="J161"/>
  <c r="W161"/>
  <c r="G161"/>
  <c r="X161"/>
  <c r="H161"/>
  <c r="AG161"/>
  <c r="Q161"/>
  <c r="AD161"/>
  <c r="N161"/>
  <c r="AA161"/>
  <c r="K161"/>
  <c r="AB161"/>
  <c r="L161"/>
  <c r="T127"/>
  <c r="D127"/>
  <c r="U127"/>
  <c r="E127"/>
  <c r="R127"/>
  <c r="AE127"/>
  <c r="O127"/>
  <c r="X127"/>
  <c r="H127"/>
  <c r="Y127"/>
  <c r="I127"/>
  <c r="V127"/>
  <c r="F127"/>
  <c r="S127"/>
  <c r="C127"/>
  <c r="AB127"/>
  <c r="L127"/>
  <c r="AC127"/>
  <c r="M127"/>
  <c r="Z127"/>
  <c r="J127"/>
  <c r="W127"/>
  <c r="G127"/>
  <c r="AF127"/>
  <c r="P127"/>
  <c r="AG127"/>
  <c r="Q127"/>
  <c r="AD127"/>
  <c r="N127"/>
  <c r="AA127"/>
  <c r="K127"/>
  <c r="V95"/>
  <c r="F95"/>
  <c r="S95"/>
  <c r="C95"/>
  <c r="T95"/>
  <c r="D95"/>
  <c r="U95"/>
  <c r="E95"/>
  <c r="Z95"/>
  <c r="J95"/>
  <c r="W95"/>
  <c r="G95"/>
  <c r="X95"/>
  <c r="H95"/>
  <c r="Y95"/>
  <c r="I95"/>
  <c r="AD95"/>
  <c r="N95"/>
  <c r="AA95"/>
  <c r="K95"/>
  <c r="AB95"/>
  <c r="L95"/>
  <c r="AC95"/>
  <c r="M95"/>
  <c r="R95"/>
  <c r="AE95"/>
  <c r="O95"/>
  <c r="AF95"/>
  <c r="P95"/>
  <c r="AG95"/>
  <c r="Q95"/>
  <c r="V63"/>
  <c r="F63"/>
  <c r="S63"/>
  <c r="C63"/>
  <c r="T63"/>
  <c r="D63"/>
  <c r="U63"/>
  <c r="E63"/>
  <c r="Z63"/>
  <c r="J63"/>
  <c r="W63"/>
  <c r="G63"/>
  <c r="X63"/>
  <c r="H63"/>
  <c r="Y63"/>
  <c r="I63"/>
  <c r="AD63"/>
  <c r="N63"/>
  <c r="AA63"/>
  <c r="K63"/>
  <c r="AB63"/>
  <c r="L63"/>
  <c r="AC63"/>
  <c r="M63"/>
  <c r="R63"/>
  <c r="AE63"/>
  <c r="O63"/>
  <c r="AF63"/>
  <c r="P63"/>
  <c r="AG63"/>
  <c r="Q63"/>
  <c r="W31"/>
  <c r="G31"/>
  <c r="D31"/>
  <c r="L31"/>
  <c r="AD31"/>
  <c r="N31"/>
  <c r="T31"/>
  <c r="E31"/>
  <c r="AA31"/>
  <c r="K31"/>
  <c r="P31"/>
  <c r="AB31"/>
  <c r="I31"/>
  <c r="R31"/>
  <c r="AF31"/>
  <c r="U31"/>
  <c r="AE31"/>
  <c r="O31"/>
  <c r="X31"/>
  <c r="M31"/>
  <c r="Q31"/>
  <c r="V31"/>
  <c r="F31"/>
  <c r="AG31"/>
  <c r="S31"/>
  <c r="C31"/>
  <c r="Y31"/>
  <c r="AC31"/>
  <c r="Z31"/>
  <c r="J31"/>
  <c r="H31"/>
  <c r="I1" i="18"/>
  <c r="J1" s="1"/>
  <c r="K1" s="1"/>
  <c r="C22" i="10"/>
  <c r="C23"/>
  <c r="AH22" i="15" l="1"/>
  <c r="AH167"/>
  <c r="AH148"/>
  <c r="AH218"/>
  <c r="AH80"/>
  <c r="AH217"/>
  <c r="AH231"/>
  <c r="AH152"/>
  <c r="AH222"/>
  <c r="AH113"/>
  <c r="AH185"/>
  <c r="AH76"/>
  <c r="AH211"/>
  <c r="AH106"/>
  <c r="AH176"/>
  <c r="AH109"/>
  <c r="AH179"/>
  <c r="AH213"/>
  <c r="AH240"/>
  <c r="AH191"/>
  <c r="AH78"/>
  <c r="AH214"/>
  <c r="AH9"/>
  <c r="AH241"/>
  <c r="AH132"/>
  <c r="AH204"/>
  <c r="AH35"/>
  <c r="AH131"/>
  <c r="AH66"/>
  <c r="AH98"/>
  <c r="AH69"/>
  <c r="AH128"/>
  <c r="AH162"/>
  <c r="AH232"/>
  <c r="AH47"/>
  <c r="AH183"/>
  <c r="W3"/>
  <c r="AG3"/>
  <c r="O3"/>
  <c r="AC3"/>
  <c r="G3"/>
  <c r="Y3"/>
  <c r="F3"/>
  <c r="AH38"/>
  <c r="AH70"/>
  <c r="AH102"/>
  <c r="AH206"/>
  <c r="AH65"/>
  <c r="AH124"/>
  <c r="AH158"/>
  <c r="AH228"/>
  <c r="AH27"/>
  <c r="AH123"/>
  <c r="AH26"/>
  <c r="AH58"/>
  <c r="AH229"/>
  <c r="AH120"/>
  <c r="AH7"/>
  <c r="AH135"/>
  <c r="AH171"/>
  <c r="AH207"/>
  <c r="AH94"/>
  <c r="AH126"/>
  <c r="AH198"/>
  <c r="AH89"/>
  <c r="AH155"/>
  <c r="AH52"/>
  <c r="AH115"/>
  <c r="AH187"/>
  <c r="AH18"/>
  <c r="AH50"/>
  <c r="AH82"/>
  <c r="AH114"/>
  <c r="AH186"/>
  <c r="AH85"/>
  <c r="AH151"/>
  <c r="AH16"/>
  <c r="AH48"/>
  <c r="AH63"/>
  <c r="AH178"/>
  <c r="AH212"/>
  <c r="AH75"/>
  <c r="AH141"/>
  <c r="AH140"/>
  <c r="AH210"/>
  <c r="AH45"/>
  <c r="AH72"/>
  <c r="AH55"/>
  <c r="AH119"/>
  <c r="AH223"/>
  <c r="AH46"/>
  <c r="AH110"/>
  <c r="AH180"/>
  <c r="AH73"/>
  <c r="AH166"/>
  <c r="AH236"/>
  <c r="AH203"/>
  <c r="AH130"/>
  <c r="AH202"/>
  <c r="AH101"/>
  <c r="AH32"/>
  <c r="AH64"/>
  <c r="AH15"/>
  <c r="AH215"/>
  <c r="AB3"/>
  <c r="Q3"/>
  <c r="X3"/>
  <c r="M3"/>
  <c r="T3"/>
  <c r="I3"/>
  <c r="AF3"/>
  <c r="U3"/>
  <c r="AH134"/>
  <c r="AH97"/>
  <c r="AH163"/>
  <c r="AH60"/>
  <c r="AH195"/>
  <c r="AH90"/>
  <c r="AH122"/>
  <c r="AH194"/>
  <c r="AH29"/>
  <c r="AH61"/>
  <c r="AH56"/>
  <c r="AH71"/>
  <c r="AH239"/>
  <c r="AH160"/>
  <c r="AH230"/>
  <c r="AH121"/>
  <c r="AH193"/>
  <c r="AH20"/>
  <c r="AH84"/>
  <c r="AH219"/>
  <c r="AH117"/>
  <c r="AH189"/>
  <c r="AH161"/>
  <c r="AH31"/>
  <c r="AH127"/>
  <c r="AH54"/>
  <c r="AH108"/>
  <c r="AH142"/>
  <c r="AH107"/>
  <c r="AH10"/>
  <c r="AH13"/>
  <c r="AH104"/>
  <c r="AH172"/>
  <c r="AH87"/>
  <c r="AH153"/>
  <c r="AH14"/>
  <c r="AH144"/>
  <c r="AH105"/>
  <c r="AH173"/>
  <c r="AH36"/>
  <c r="AH68"/>
  <c r="AH67"/>
  <c r="AH235"/>
  <c r="AH164"/>
  <c r="AH234"/>
  <c r="AH37"/>
  <c r="AH133"/>
  <c r="AH205"/>
  <c r="AH96"/>
  <c r="AH224"/>
  <c r="AH79"/>
  <c r="AH145"/>
  <c r="L3"/>
  <c r="AA3"/>
  <c r="H3"/>
  <c r="AD3"/>
  <c r="D3"/>
  <c r="Z3"/>
  <c r="P3"/>
  <c r="E3"/>
  <c r="AH238"/>
  <c r="AH129"/>
  <c r="AH201"/>
  <c r="AH28"/>
  <c r="AH92"/>
  <c r="AH59"/>
  <c r="AH227"/>
  <c r="AH156"/>
  <c r="AH226"/>
  <c r="AH93"/>
  <c r="AH159"/>
  <c r="AH24"/>
  <c r="AH88"/>
  <c r="AH192"/>
  <c r="AH103"/>
  <c r="AH225"/>
  <c r="AH188"/>
  <c r="AH19"/>
  <c r="AH51"/>
  <c r="AH21"/>
  <c r="AH221"/>
  <c r="AH216"/>
  <c r="C3"/>
  <c r="AH6"/>
  <c r="AH95"/>
  <c r="AH49"/>
  <c r="AH199"/>
  <c r="AH86"/>
  <c r="AH118"/>
  <c r="AH190"/>
  <c r="AH17"/>
  <c r="AH81"/>
  <c r="AH147"/>
  <c r="AH12"/>
  <c r="AH44"/>
  <c r="AH11"/>
  <c r="AH43"/>
  <c r="AH177"/>
  <c r="AH42"/>
  <c r="AH74"/>
  <c r="AH77"/>
  <c r="AH143"/>
  <c r="AH8"/>
  <c r="AH40"/>
  <c r="AH136"/>
  <c r="AH208"/>
  <c r="AH23"/>
  <c r="AH41"/>
  <c r="AH137"/>
  <c r="AH209"/>
  <c r="AH100"/>
  <c r="AH99"/>
  <c r="AH165"/>
  <c r="AH34"/>
  <c r="AH237"/>
  <c r="AH200"/>
  <c r="AH154"/>
  <c r="AH184"/>
  <c r="AH111"/>
  <c r="S3"/>
  <c r="R3"/>
  <c r="K3"/>
  <c r="N3"/>
  <c r="J3"/>
  <c r="AE3"/>
  <c r="V3"/>
  <c r="AH168"/>
  <c r="AH33"/>
  <c r="AH233"/>
  <c r="AH196"/>
  <c r="AH91"/>
  <c r="AH157"/>
  <c r="AH125"/>
  <c r="AH197"/>
  <c r="AH39"/>
  <c r="AH30"/>
  <c r="AH62"/>
  <c r="AH25"/>
  <c r="AH57"/>
  <c r="AH116"/>
  <c r="AH150"/>
  <c r="AH220"/>
  <c r="AH83"/>
  <c r="AH149"/>
  <c r="AH53"/>
  <c r="AH112"/>
  <c r="AH146"/>
  <c r="C24" i="10"/>
</calcChain>
</file>

<file path=xl/comments1.xml><?xml version="1.0" encoding="utf-8"?>
<comments xmlns="http://schemas.openxmlformats.org/spreadsheetml/2006/main">
  <authors>
    <author>NARAUJO</author>
  </authors>
  <commentList>
    <comment ref="J13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Bloco de notas com lembranças ou avisos.
Clique uma vez para digitar</t>
        </r>
      </text>
    </comment>
  </commentList>
</comments>
</file>

<file path=xl/comments2.xml><?xml version="1.0" encoding="utf-8"?>
<comments xmlns="http://schemas.openxmlformats.org/spreadsheetml/2006/main">
  <authors>
    <author>NARAUJO</author>
  </authors>
  <commentList>
    <comment ref="G1" authorId="0">
      <text>
        <r>
          <rPr>
            <sz val="9"/>
            <color indexed="81"/>
            <rFont val="Tahoma"/>
            <family val="2"/>
          </rPr>
          <t>Balanço do mês anterior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Lembre de colocar a Unidade de Medida</t>
        </r>
      </text>
    </comment>
    <comment ref="G1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E de colocar o Balanço</t>
        </r>
      </text>
    </comment>
  </commentList>
</comments>
</file>

<file path=xl/comments3.xml><?xml version="1.0" encoding="utf-8"?>
<comments xmlns="http://schemas.openxmlformats.org/spreadsheetml/2006/main">
  <authors>
    <author>NARAUJO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Agora a Planilha mostra o dia da celula selecionada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E o Produto Também</t>
        </r>
      </text>
    </comment>
  </commentList>
</comments>
</file>

<file path=xl/comments4.xml><?xml version="1.0" encoding="utf-8"?>
<comments xmlns="http://schemas.openxmlformats.org/spreadsheetml/2006/main">
  <authors>
    <author>ESAMPAIO</author>
    <author>NARAUJO</author>
  </authors>
  <commentList>
    <comment ref="AJ3" authorId="0">
      <text>
        <r>
          <rPr>
            <b/>
            <sz val="9"/>
            <color indexed="81"/>
            <rFont val="Tahoma"/>
            <family val="2"/>
          </rPr>
          <t xml:space="preserve">Dia de Balanço
</t>
        </r>
      </text>
    </comment>
    <comment ref="D4" authorId="1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Dia em azul claro, é o dia atual do sitema</t>
        </r>
      </text>
    </comment>
    <comment ref="AC4" authorId="1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Os dias em azul escuro, são as Quartas Feiras, geralmente os dias das entregas
(somente na ENTRADA)</t>
        </r>
      </text>
    </comment>
  </commentList>
</comments>
</file>

<file path=xl/comments5.xml><?xml version="1.0" encoding="utf-8"?>
<comments xmlns="http://schemas.openxmlformats.org/spreadsheetml/2006/main">
  <authors>
    <author>NARAUJO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Porcentagem de acrécimo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Quantidade de tempo para o estoque mínimo.</t>
        </r>
      </text>
    </comment>
  </commentList>
</comments>
</file>

<file path=xl/comments6.xml><?xml version="1.0" encoding="utf-8"?>
<comments xmlns="http://schemas.openxmlformats.org/spreadsheetml/2006/main">
  <authors>
    <author>NARAUJO</author>
  </authors>
  <commentList>
    <comment ref="G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do estoque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Mês da planilha
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Baixas</t>
        </r>
      </text>
    </comment>
    <comment ref="J1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Calendário do mês</t>
        </r>
      </text>
    </comment>
    <comment ref="F1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Entradas
</t>
        </r>
      </text>
    </comment>
    <comment ref="F2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Pesssoas</t>
        </r>
      </text>
    </comment>
  </commentList>
</comments>
</file>

<file path=xl/sharedStrings.xml><?xml version="1.0" encoding="utf-8"?>
<sst xmlns="http://schemas.openxmlformats.org/spreadsheetml/2006/main" count="4986" uniqueCount="1210">
  <si>
    <t xml:space="preserve">       UNIÃO DOS SERVIDORES PÚBLICOS DO ESTADO DE SÃO PAULO</t>
  </si>
  <si>
    <t>COLÔNIA DE FÉRIAS DEPUTADO PINHEIRO JÚNIOR</t>
  </si>
  <si>
    <t>PRODUTO</t>
  </si>
  <si>
    <t>Açafrão</t>
  </si>
  <si>
    <t>Açúcar</t>
  </si>
  <si>
    <t>Ameixa</t>
  </si>
  <si>
    <t>Amendoin</t>
  </si>
  <si>
    <t>Atum</t>
  </si>
  <si>
    <t>Bolacha Champagne</t>
  </si>
  <si>
    <t>Cravo</t>
  </si>
  <si>
    <t>Curau</t>
  </si>
  <si>
    <t>Flan Baunilha</t>
  </si>
  <si>
    <t>Gelatina</t>
  </si>
  <si>
    <t>Gelatina  Abacaxi</t>
  </si>
  <si>
    <t>Gelatina  Cereja</t>
  </si>
  <si>
    <t>Gelatina  Framboesa</t>
  </si>
  <si>
    <t>Gelatina  Limão</t>
  </si>
  <si>
    <t>Gelatina  Morango</t>
  </si>
  <si>
    <t>Gelatina  Pêssego</t>
  </si>
  <si>
    <t>Gelatina  Uva</t>
  </si>
  <si>
    <t>Lentilha</t>
  </si>
  <si>
    <t>Macarrão Espaguete</t>
  </si>
  <si>
    <t>Macarrão Parafuso</t>
  </si>
  <si>
    <t>Molho</t>
  </si>
  <si>
    <t>Óleo Maria</t>
  </si>
  <si>
    <t>Orégano</t>
  </si>
  <si>
    <t>Pure</t>
  </si>
  <si>
    <t xml:space="preserve">Sal </t>
  </si>
  <si>
    <t>Sardinha</t>
  </si>
  <si>
    <t>Shoyo</t>
  </si>
  <si>
    <t>Tempero Fondor</t>
  </si>
  <si>
    <t>Vinagre Sachê</t>
  </si>
  <si>
    <t>Carnes</t>
  </si>
  <si>
    <t>Barriga</t>
  </si>
  <si>
    <t>Bisteca Porco</t>
  </si>
  <si>
    <t>Carne Cupim</t>
  </si>
  <si>
    <t>Costela Fresca</t>
  </si>
  <si>
    <t>Costela Salgada</t>
  </si>
  <si>
    <t>Fraldinha</t>
  </si>
  <si>
    <t>Lagarto</t>
  </si>
  <si>
    <t>Maminha</t>
  </si>
  <si>
    <t>Paleta</t>
  </si>
  <si>
    <t>Pernil</t>
  </si>
  <si>
    <t>Peru</t>
  </si>
  <si>
    <t>Presunto</t>
  </si>
  <si>
    <t>Salsicha</t>
  </si>
  <si>
    <t>Laticínios</t>
  </si>
  <si>
    <t>Queijo Mussarela</t>
  </si>
  <si>
    <t>Queijo Ralado</t>
  </si>
  <si>
    <t>Peixes</t>
  </si>
  <si>
    <t>Filé de Merluza</t>
  </si>
  <si>
    <t>Kani</t>
  </si>
  <si>
    <t>Pangasius</t>
  </si>
  <si>
    <t>Peixe cação</t>
  </si>
  <si>
    <t>Histórico de Balanço</t>
  </si>
  <si>
    <t>Mantimentos</t>
  </si>
  <si>
    <t>Abacaxi Em Calda</t>
  </si>
  <si>
    <t>Acucar Sache</t>
  </si>
  <si>
    <t>Amido De Milho</t>
  </si>
  <si>
    <t>Azeitona Verde Fatiada</t>
  </si>
  <si>
    <t>Batata Chips</t>
  </si>
  <si>
    <t>Batata Palha</t>
  </si>
  <si>
    <t>Batata Palito</t>
  </si>
  <si>
    <t>Bolacha Salgada</t>
  </si>
  <si>
    <t>Canela Em Casca</t>
  </si>
  <si>
    <t>Canela Em Pó</t>
  </si>
  <si>
    <t>Chá De Camomila</t>
  </si>
  <si>
    <t>Chá De Erva Doce</t>
  </si>
  <si>
    <t>Chá De Hortelã</t>
  </si>
  <si>
    <t>Chá Morango</t>
  </si>
  <si>
    <t>Chocolate Em Pó</t>
  </si>
  <si>
    <t xml:space="preserve">Chocolate Granulado </t>
  </si>
  <si>
    <t>Creme Cebola</t>
  </si>
  <si>
    <t>Creme De Leite</t>
  </si>
  <si>
    <t>Doce De Leite</t>
  </si>
  <si>
    <t>Erva Doce</t>
  </si>
  <si>
    <t>Farinha De Milho</t>
  </si>
  <si>
    <t xml:space="preserve">Farinha De Rosca </t>
  </si>
  <si>
    <t>Farinha De Trigo</t>
  </si>
  <si>
    <t>Feijão Carioca Camil</t>
  </si>
  <si>
    <t xml:space="preserve">Feijão Preto </t>
  </si>
  <si>
    <t>Figo Em Calda</t>
  </si>
  <si>
    <t>Geleia Sache</t>
  </si>
  <si>
    <t>Goiaba Em Calda</t>
  </si>
  <si>
    <t>Macarrão Sopa</t>
  </si>
  <si>
    <t>Molho Pimenta</t>
  </si>
  <si>
    <t>Óleo De Soja</t>
  </si>
  <si>
    <t>Pão De Forma</t>
  </si>
  <si>
    <t>Pão Integral</t>
  </si>
  <si>
    <t>Pêssego Em Calda</t>
  </si>
  <si>
    <t>Pó Pudim Baunilha</t>
  </si>
  <si>
    <t>Pó Pudim Caramelo</t>
  </si>
  <si>
    <t>Pó Pudim Chocolate</t>
  </si>
  <si>
    <t>Pó Pudim Coco</t>
  </si>
  <si>
    <t>Pó Pudim Morango</t>
  </si>
  <si>
    <t>Polenta</t>
  </si>
  <si>
    <t>Sal Sache</t>
  </si>
  <si>
    <t xml:space="preserve">Suco De Abacaxi </t>
  </si>
  <si>
    <t>Suco De Cajú</t>
  </si>
  <si>
    <t>Suco De Goiaba</t>
  </si>
  <si>
    <t>Suco De Maracujá</t>
  </si>
  <si>
    <t>Uva Passa Preta</t>
  </si>
  <si>
    <t>Leite Uht Integral</t>
  </si>
  <si>
    <t>Carne Hambúrguer</t>
  </si>
  <si>
    <t>Carne Moida Patinho</t>
  </si>
  <si>
    <t>Contra Filé</t>
  </si>
  <si>
    <t>Coxa Com Sobrecoxa</t>
  </si>
  <si>
    <t>Coxão Duro</t>
  </si>
  <si>
    <t>Coxão Mole - Peça</t>
  </si>
  <si>
    <t>Filé Frango</t>
  </si>
  <si>
    <t>Lombo De Porco</t>
  </si>
  <si>
    <t>UM</t>
  </si>
  <si>
    <t>Baixa de Mantimentos</t>
  </si>
  <si>
    <t>TOTAL</t>
  </si>
  <si>
    <t>Camarão</t>
  </si>
  <si>
    <t>Baixa de Carnes</t>
  </si>
  <si>
    <t>Baixa de Laticínios</t>
  </si>
  <si>
    <t>Baixa de Peixes</t>
  </si>
  <si>
    <t>Entrada de Mantimentos</t>
  </si>
  <si>
    <t>Atual</t>
  </si>
  <si>
    <t>Molho Escuro</t>
  </si>
  <si>
    <t>Total:</t>
  </si>
  <si>
    <t>Total</t>
  </si>
  <si>
    <t>Noite</t>
  </si>
  <si>
    <t>Tarde</t>
  </si>
  <si>
    <t>Manhã</t>
  </si>
  <si>
    <t>Dia</t>
  </si>
  <si>
    <t>Nº de Hospedes</t>
  </si>
  <si>
    <t>Macarrão Penne</t>
  </si>
  <si>
    <t>Até o dia:</t>
  </si>
  <si>
    <t>Média de pessoas por dia:</t>
  </si>
  <si>
    <t>Sagu</t>
  </si>
  <si>
    <t>Produto</t>
  </si>
  <si>
    <t>Coentro</t>
  </si>
  <si>
    <t>Hortelã</t>
  </si>
  <si>
    <t>Frutas e Vegetais</t>
  </si>
  <si>
    <t>Configurações</t>
  </si>
  <si>
    <t>Data Automatica</t>
  </si>
  <si>
    <t>Qtd de Vazios</t>
  </si>
  <si>
    <t>Dia Selecionado</t>
  </si>
  <si>
    <t>MÊS</t>
  </si>
  <si>
    <t>Configurações Fixas</t>
  </si>
  <si>
    <t>Ano</t>
  </si>
  <si>
    <t>D</t>
  </si>
  <si>
    <t>S</t>
  </si>
  <si>
    <t>T</t>
  </si>
  <si>
    <t>Q</t>
  </si>
  <si>
    <t>Ultimo dia do mês anterior</t>
  </si>
  <si>
    <t>Quantidade de Semanas</t>
  </si>
  <si>
    <t>Configurações Baixas</t>
  </si>
  <si>
    <t>Contar Dias</t>
  </si>
  <si>
    <t>Configurações de Entrada</t>
  </si>
  <si>
    <t>Média</t>
  </si>
  <si>
    <t>Configurações de Pessoas</t>
  </si>
  <si>
    <t>Contar Café</t>
  </si>
  <si>
    <t>Usar Média</t>
  </si>
  <si>
    <t>Configurações de Estoque</t>
  </si>
  <si>
    <t>Mostrar Consumo</t>
  </si>
  <si>
    <t>Ligado</t>
  </si>
  <si>
    <t>Qtd de Periodos Seg - Quin</t>
  </si>
  <si>
    <t>Qtd de Periodos Sex - Dom</t>
  </si>
  <si>
    <t>Qtd de Periodos Total</t>
  </si>
  <si>
    <t>Tipo de Média</t>
  </si>
  <si>
    <t>Semana</t>
  </si>
  <si>
    <t>Usado:</t>
  </si>
  <si>
    <t>Semana atual</t>
  </si>
  <si>
    <t xml:space="preserve">Total </t>
  </si>
  <si>
    <t>Desligado</t>
  </si>
  <si>
    <t>Tender</t>
  </si>
  <si>
    <t>Suco De Laranja</t>
  </si>
  <si>
    <t>Suco De Tangerina</t>
  </si>
  <si>
    <t>Almondega</t>
  </si>
  <si>
    <t>Cheester</t>
  </si>
  <si>
    <t>Páprica</t>
  </si>
  <si>
    <t>Azeite</t>
  </si>
  <si>
    <t>Canelone</t>
  </si>
  <si>
    <t>Maracujá</t>
  </si>
  <si>
    <t>Lingüiça Paio</t>
  </si>
  <si>
    <t xml:space="preserve">Linguiça Fresca </t>
  </si>
  <si>
    <t xml:space="preserve">Linguiça Calabresa </t>
  </si>
  <si>
    <t>Carne Seca</t>
  </si>
  <si>
    <t>Champignon Fatiado</t>
  </si>
  <si>
    <t>Entrada de Carnes</t>
  </si>
  <si>
    <t>Entrada de Laticínios</t>
  </si>
  <si>
    <t>Entrada de Peixes</t>
  </si>
  <si>
    <t>Baixa de Hortifruti</t>
  </si>
  <si>
    <t>Entrada de Hortifruti</t>
  </si>
  <si>
    <t xml:space="preserve">Bacon </t>
  </si>
  <si>
    <t>Semana Inteira</t>
  </si>
  <si>
    <t>Não Contar</t>
  </si>
  <si>
    <t>Semana Contada</t>
  </si>
  <si>
    <t>Pular Dias Vazios</t>
  </si>
  <si>
    <t>Contar</t>
  </si>
  <si>
    <t>Planilha</t>
  </si>
  <si>
    <t>Intervalo</t>
  </si>
  <si>
    <t>Alterado para:</t>
  </si>
  <si>
    <t>Usuario</t>
  </si>
  <si>
    <t xml:space="preserve">Estoque Mínimo </t>
  </si>
  <si>
    <t>Tempo de intervalo</t>
  </si>
  <si>
    <t>Taxa</t>
  </si>
  <si>
    <t>dias</t>
  </si>
  <si>
    <t>%</t>
  </si>
  <si>
    <t>Item</t>
  </si>
  <si>
    <t>Valor Anterior</t>
  </si>
  <si>
    <t>Previsão de Mantimentos</t>
  </si>
  <si>
    <t>Previsão de Carnes</t>
  </si>
  <si>
    <t>Previsão de Laticínios</t>
  </si>
  <si>
    <t>Previsão de Peixes</t>
  </si>
  <si>
    <t>Previsão de Hortifruti</t>
  </si>
  <si>
    <t xml:space="preserve"> </t>
  </si>
  <si>
    <t>Soja em Grãos</t>
  </si>
  <si>
    <t>Gergelim Branco</t>
  </si>
  <si>
    <t>Gergelim Preto</t>
  </si>
  <si>
    <t>Amendoa sem casca</t>
  </si>
  <si>
    <t>Hortfrut</t>
  </si>
  <si>
    <t>Queijos</t>
  </si>
  <si>
    <t>Gergelim</t>
  </si>
  <si>
    <t>Vinho</t>
  </si>
  <si>
    <t>Ambos</t>
  </si>
  <si>
    <t xml:space="preserve">Coxão Mole </t>
  </si>
  <si>
    <t xml:space="preserve">Trigo Para Kibe </t>
  </si>
  <si>
    <t>Mostarda</t>
  </si>
  <si>
    <t>Molho Ingles</t>
  </si>
  <si>
    <t>Molho De Tomate</t>
  </si>
  <si>
    <t xml:space="preserve">Milho Verde </t>
  </si>
  <si>
    <t xml:space="preserve">Margarina </t>
  </si>
  <si>
    <t>Maionese</t>
  </si>
  <si>
    <t xml:space="preserve">Leite De Coco </t>
  </si>
  <si>
    <t>Leite Condensado</t>
  </si>
  <si>
    <t xml:space="preserve">Grão De Bico </t>
  </si>
  <si>
    <t xml:space="preserve">Gordura Vegetal </t>
  </si>
  <si>
    <t>Gelatina  S/Sabor</t>
  </si>
  <si>
    <t xml:space="preserve">Fubá </t>
  </si>
  <si>
    <t xml:space="preserve">Fermento </t>
  </si>
  <si>
    <t xml:space="preserve">Farinha De Mandioca </t>
  </si>
  <si>
    <t xml:space="preserve">Ervilha Seca </t>
  </si>
  <si>
    <t xml:space="preserve">Ervilha Lata </t>
  </si>
  <si>
    <t>Coloral</t>
  </si>
  <si>
    <t xml:space="preserve">Coco Ralado </t>
  </si>
  <si>
    <t xml:space="preserve">katchup </t>
  </si>
  <si>
    <t>Café</t>
  </si>
  <si>
    <t>Caldo Galinha</t>
  </si>
  <si>
    <t xml:space="preserve">Caldo De Peixe </t>
  </si>
  <si>
    <t>Caldo De Legumes</t>
  </si>
  <si>
    <t>Caldo De Carne</t>
  </si>
  <si>
    <t xml:space="preserve">Chá Preto </t>
  </si>
  <si>
    <t xml:space="preserve">Chá Mate </t>
  </si>
  <si>
    <t>Arroz</t>
  </si>
  <si>
    <t>Amaciante</t>
  </si>
  <si>
    <t>Alho</t>
  </si>
  <si>
    <t>Adoçante</t>
  </si>
  <si>
    <t>Achocolatado</t>
  </si>
  <si>
    <t>Margarina  Sachê</t>
  </si>
  <si>
    <t xml:space="preserve">Vinagre </t>
  </si>
  <si>
    <t>Cupim</t>
  </si>
  <si>
    <t>Hambúrguer</t>
  </si>
  <si>
    <t>Queijo Branco/Fresco</t>
  </si>
  <si>
    <t>Suco de Acerola</t>
  </si>
  <si>
    <t>Chá de Hibisco</t>
  </si>
  <si>
    <t>Tomate Cereja</t>
  </si>
  <si>
    <t>Abobora</t>
  </si>
  <si>
    <t>Repolho roxo</t>
  </si>
  <si>
    <t xml:space="preserve">Vagem </t>
  </si>
  <si>
    <t xml:space="preserve">Tomate Salada </t>
  </si>
  <si>
    <t>Tomate Molho</t>
  </si>
  <si>
    <t>Salsão</t>
  </si>
  <si>
    <t>Salsa</t>
  </si>
  <si>
    <t>Rúcula</t>
  </si>
  <si>
    <t xml:space="preserve">Repolho </t>
  </si>
  <si>
    <t>Rabanete</t>
  </si>
  <si>
    <t>Quiabo</t>
  </si>
  <si>
    <t xml:space="preserve">Pimentão Verde </t>
  </si>
  <si>
    <t xml:space="preserve">Pimentão Vermelho </t>
  </si>
  <si>
    <t xml:space="preserve">Pimentão Amarelo </t>
  </si>
  <si>
    <t>Pepino</t>
  </si>
  <si>
    <t>Nabo</t>
  </si>
  <si>
    <t xml:space="preserve">Morango </t>
  </si>
  <si>
    <t xml:space="preserve">Mexerica </t>
  </si>
  <si>
    <t xml:space="preserve">Melão </t>
  </si>
  <si>
    <t>Melancia</t>
  </si>
  <si>
    <t>Mandioquinha</t>
  </si>
  <si>
    <t xml:space="preserve">Mandioca </t>
  </si>
  <si>
    <t xml:space="preserve">Manga </t>
  </si>
  <si>
    <t>Louro maço</t>
  </si>
  <si>
    <t>Limão</t>
  </si>
  <si>
    <t>HH:</t>
  </si>
  <si>
    <t>Pessoas:</t>
  </si>
  <si>
    <t>Entradas:</t>
  </si>
  <si>
    <t>Baixas:</t>
  </si>
  <si>
    <t>Estoque:</t>
  </si>
  <si>
    <t xml:space="preserve">Abacaxi </t>
  </si>
  <si>
    <t>Abobrinha</t>
  </si>
  <si>
    <t>Acelga</t>
  </si>
  <si>
    <t>Agrião</t>
  </si>
  <si>
    <t>Alface Americana</t>
  </si>
  <si>
    <t>Alface Roxo</t>
  </si>
  <si>
    <t>Almeirão</t>
  </si>
  <si>
    <t xml:space="preserve">Banana </t>
  </si>
  <si>
    <t xml:space="preserve">Batata </t>
  </si>
  <si>
    <t>Berinjela</t>
  </si>
  <si>
    <t xml:space="preserve">Beterraba </t>
  </si>
  <si>
    <t>Brócolis</t>
  </si>
  <si>
    <t xml:space="preserve">Caquí </t>
  </si>
  <si>
    <t xml:space="preserve">Cebola </t>
  </si>
  <si>
    <t xml:space="preserve">Cenoura  </t>
  </si>
  <si>
    <t xml:space="preserve">Chuchu </t>
  </si>
  <si>
    <t>Couve</t>
  </si>
  <si>
    <t>Couve-flor</t>
  </si>
  <si>
    <t xml:space="preserve">Escarola </t>
  </si>
  <si>
    <t xml:space="preserve">Laranja </t>
  </si>
  <si>
    <t xml:space="preserve">Ovos </t>
  </si>
  <si>
    <t>►</t>
  </si>
  <si>
    <t>Chá de Melissa</t>
  </si>
  <si>
    <t>Macarrão Yaksoba</t>
  </si>
  <si>
    <t>Suco de Uva</t>
  </si>
  <si>
    <t>Suco de Manga</t>
  </si>
  <si>
    <t>Mamão Papaya</t>
  </si>
  <si>
    <t xml:space="preserve">Maçã </t>
  </si>
  <si>
    <t>Mamão Formosa</t>
  </si>
  <si>
    <t>Uva</t>
  </si>
  <si>
    <t>Pessego</t>
  </si>
  <si>
    <t>Goiaba</t>
  </si>
  <si>
    <t>Alface Crespa</t>
  </si>
  <si>
    <t>Alface Lisa</t>
  </si>
  <si>
    <t>Data e Hora</t>
  </si>
  <si>
    <t>Ultimo dia do Mês atual</t>
  </si>
  <si>
    <t>Soma</t>
  </si>
  <si>
    <t>NARAUJO</t>
  </si>
  <si>
    <t>KG</t>
  </si>
  <si>
    <t>L</t>
  </si>
  <si>
    <t>UND</t>
  </si>
  <si>
    <t>CX</t>
  </si>
  <si>
    <t>Data</t>
  </si>
  <si>
    <t>Mês</t>
  </si>
  <si>
    <t>Limpeza</t>
  </si>
  <si>
    <t>Bota de Borracha</t>
  </si>
  <si>
    <t>Cesto de Lixo</t>
  </si>
  <si>
    <t>Cloro</t>
  </si>
  <si>
    <t>Desincrustante</t>
  </si>
  <si>
    <t>Escova p/ Lavar Roupa</t>
  </si>
  <si>
    <t>Escova Sanitária</t>
  </si>
  <si>
    <t>Esponja Dupla Face</t>
  </si>
  <si>
    <t>Luva Limpeza</t>
  </si>
  <si>
    <t>Mascara de Proteção</t>
  </si>
  <si>
    <t>Álcool LT</t>
  </si>
  <si>
    <t>Alcool gel LT</t>
  </si>
  <si>
    <t>Água Sanitária LT</t>
  </si>
  <si>
    <t xml:space="preserve">Bom ar </t>
  </si>
  <si>
    <t>Bom bril</t>
  </si>
  <si>
    <t>Cera Liquida  LT</t>
  </si>
  <si>
    <t xml:space="preserve">Desinfetante  </t>
  </si>
  <si>
    <t>Dispenser p/ papel toalha</t>
  </si>
  <si>
    <t xml:space="preserve">Detergente/Limpa Piso </t>
  </si>
  <si>
    <t>Detergente super gel</t>
  </si>
  <si>
    <t xml:space="preserve">Detergente/Maq.Louça </t>
  </si>
  <si>
    <t xml:space="preserve">Detergente/Secante  </t>
  </si>
  <si>
    <t xml:space="preserve">Eliminador de Odores </t>
  </si>
  <si>
    <t>Esponja Verde ( Fibra)</t>
  </si>
  <si>
    <t xml:space="preserve">Hipoclorito  </t>
  </si>
  <si>
    <t>Limpa Alumínio  p/cozinha</t>
  </si>
  <si>
    <t xml:space="preserve">Limpa Pedras  </t>
  </si>
  <si>
    <t xml:space="preserve">Limpa Vidros </t>
  </si>
  <si>
    <t>Lustra Móveis 500ML</t>
  </si>
  <si>
    <t>Luva Latex cx c/ 100</t>
  </si>
  <si>
    <t>Pá de lixo</t>
  </si>
  <si>
    <t>Pano de chão</t>
  </si>
  <si>
    <t xml:space="preserve">Papel Interfolha </t>
  </si>
  <si>
    <t>Papel Higiênico</t>
  </si>
  <si>
    <t>Pulverizador</t>
  </si>
  <si>
    <t>Removedor</t>
  </si>
  <si>
    <t>Rodo Limpa Vidros</t>
  </si>
  <si>
    <t>Rodo Grande</t>
  </si>
  <si>
    <t>Rodo Pequeno</t>
  </si>
  <si>
    <t xml:space="preserve">Sabonete </t>
  </si>
  <si>
    <t>Sabão em pedra</t>
  </si>
  <si>
    <t>Sabão em pó 5kg</t>
  </si>
  <si>
    <t>Saco 60x80 cobertor</t>
  </si>
  <si>
    <t>Saco 20x30 Tolha rosto</t>
  </si>
  <si>
    <t>Saco p/ embalar  30x40</t>
  </si>
  <si>
    <t>Saco p/ embalar  40x60</t>
  </si>
  <si>
    <t>Sóda Cáustica 1 kg</t>
  </si>
  <si>
    <t>Saco de lixo 15 lt</t>
  </si>
  <si>
    <t>Saco lixo 50 Lt</t>
  </si>
  <si>
    <t xml:space="preserve">Saco lixo 100 Lt. </t>
  </si>
  <si>
    <t>Saco lixo 200 lt</t>
  </si>
  <si>
    <t>Sapólio 300g</t>
  </si>
  <si>
    <t>Tapetinho de Banheiro</t>
  </si>
  <si>
    <t>Tira ferrugem</t>
  </si>
  <si>
    <t>Touca descártavel cx c/ 100</t>
  </si>
  <si>
    <t>Vaselina</t>
  </si>
  <si>
    <t>Vassoura de Pêlo</t>
  </si>
  <si>
    <t>Vassoura de Piaçava</t>
  </si>
  <si>
    <t>Bobina Papel toalha c/6 rolos</t>
  </si>
  <si>
    <t>Copo descartável 200ml</t>
  </si>
  <si>
    <t>Copinho de café 50ml</t>
  </si>
  <si>
    <t>Espeto de Madeira</t>
  </si>
  <si>
    <t>Filme PVC 300MTS</t>
  </si>
  <si>
    <t>Fósforo</t>
  </si>
  <si>
    <t>Guardanapo cx c/80 uni</t>
  </si>
  <si>
    <t>Palito de dente sachê</t>
  </si>
  <si>
    <t>Palito de dente cx 5000</t>
  </si>
  <si>
    <t>Papel alumínio</t>
  </si>
  <si>
    <t>Palheta(colher descartavel)</t>
  </si>
  <si>
    <t>Papel Toalha bobinha (Lavabo)</t>
  </si>
  <si>
    <t>Perfex</t>
  </si>
  <si>
    <t>Copo descartável 100ml</t>
  </si>
  <si>
    <t>Entrada Limpeza</t>
  </si>
  <si>
    <t>Nome:</t>
  </si>
  <si>
    <t>Senha:</t>
  </si>
  <si>
    <t>Msg</t>
  </si>
  <si>
    <t>Permissão</t>
  </si>
  <si>
    <t>Bem vindo</t>
  </si>
  <si>
    <t>Salvar</t>
  </si>
  <si>
    <t>Abrir Form</t>
  </si>
  <si>
    <t>Piscina</t>
  </si>
  <si>
    <t>Água sanitária</t>
  </si>
  <si>
    <t>Esponja dupla face unid</t>
  </si>
  <si>
    <t>Luva par</t>
  </si>
  <si>
    <t>Pastilha de cloro unid (cx c/ 72)</t>
  </si>
  <si>
    <t xml:space="preserve">Algicida </t>
  </si>
  <si>
    <t xml:space="preserve">Barrilha </t>
  </si>
  <si>
    <t xml:space="preserve">Clarificante </t>
  </si>
  <si>
    <t xml:space="preserve">Cloro estabilizado granulado </t>
  </si>
  <si>
    <t xml:space="preserve">Limpa borda </t>
  </si>
  <si>
    <t xml:space="preserve">Mascara de proteção </t>
  </si>
  <si>
    <t xml:space="preserve">Reagente cloro Institucional </t>
  </si>
  <si>
    <t xml:space="preserve">Reagente ph Institucional </t>
  </si>
  <si>
    <t>Selecionar</t>
  </si>
  <si>
    <t>Baixa da Piscina</t>
  </si>
  <si>
    <t>Baixa da Limpeza</t>
  </si>
  <si>
    <t>Baixa Material Covid-19</t>
  </si>
  <si>
    <t>Adesivo de destanciamento de chão</t>
  </si>
  <si>
    <t>Alcool gel antisseptico</t>
  </si>
  <si>
    <t xml:space="preserve">Placa use mascaras  </t>
  </si>
  <si>
    <t>Papel higienico</t>
  </si>
  <si>
    <t xml:space="preserve">Dispenser p/hig rolão </t>
  </si>
  <si>
    <t xml:space="preserve">Luva vinil </t>
  </si>
  <si>
    <t xml:space="preserve">Jaleco modelo cirurgico </t>
  </si>
  <si>
    <t xml:space="preserve">Touca tnt </t>
  </si>
  <si>
    <t xml:space="preserve">Dispenser para alcool gel </t>
  </si>
  <si>
    <t xml:space="preserve">Saco p talher </t>
  </si>
  <si>
    <t>Luva plastica</t>
  </si>
  <si>
    <t xml:space="preserve">Alcool gel  </t>
  </si>
  <si>
    <t>Viseira plastica</t>
  </si>
  <si>
    <t>Rodo magico</t>
  </si>
  <si>
    <t>Tatepe sanitizante pediluvio 60/40</t>
  </si>
  <si>
    <t>Dispenser plastico p/guard interfolhado</t>
  </si>
  <si>
    <t>Covid-19</t>
  </si>
  <si>
    <t>Entrada Material Covid-19</t>
  </si>
  <si>
    <t>Entrada da Piscina</t>
  </si>
  <si>
    <t>Material Covid-19</t>
  </si>
  <si>
    <t>First Open:</t>
  </si>
  <si>
    <t>Abriu a Planilha</t>
  </si>
  <si>
    <t>Inicio</t>
  </si>
  <si>
    <t>$A$1</t>
  </si>
  <si>
    <t>ESTOQUE</t>
  </si>
  <si>
    <t>$G$247</t>
  </si>
  <si>
    <t>$G$248</t>
  </si>
  <si>
    <t>Apagado</t>
  </si>
  <si>
    <t>$G$249</t>
  </si>
  <si>
    <t>$G$253</t>
  </si>
  <si>
    <t>$G$259</t>
  </si>
  <si>
    <t>$G$258</t>
  </si>
  <si>
    <t>$G$260</t>
  </si>
  <si>
    <t>$G$263</t>
  </si>
  <si>
    <t>$G$266</t>
  </si>
  <si>
    <t>$G$270</t>
  </si>
  <si>
    <t>$G$269</t>
  </si>
  <si>
    <t>$G$274</t>
  </si>
  <si>
    <t>$G$275</t>
  </si>
  <si>
    <t>$G$276</t>
  </si>
  <si>
    <t>$G$278</t>
  </si>
  <si>
    <t>$G$279</t>
  </si>
  <si>
    <t>$G$280</t>
  </si>
  <si>
    <t>$G$288</t>
  </si>
  <si>
    <t>$G$299</t>
  </si>
  <si>
    <t>$G$297</t>
  </si>
  <si>
    <t>$G$301</t>
  </si>
  <si>
    <t>$G$300</t>
  </si>
  <si>
    <t>$G$306</t>
  </si>
  <si>
    <t>$G$307</t>
  </si>
  <si>
    <t>$G$308</t>
  </si>
  <si>
    <t>$G$302</t>
  </si>
  <si>
    <t>$G$303</t>
  </si>
  <si>
    <t>$G$304</t>
  </si>
  <si>
    <t>$G$305</t>
  </si>
  <si>
    <t>$G$311</t>
  </si>
  <si>
    <t>$G$140</t>
  </si>
  <si>
    <t>$G$141</t>
  </si>
  <si>
    <t>$G$142</t>
  </si>
  <si>
    <t>$G$143</t>
  </si>
  <si>
    <t>$G$144</t>
  </si>
  <si>
    <t>$G$148</t>
  </si>
  <si>
    <t>$G$149</t>
  </si>
  <si>
    <t>$G$150</t>
  </si>
  <si>
    <t>$G$154</t>
  </si>
  <si>
    <t>$G$159</t>
  </si>
  <si>
    <t>$G$160</t>
  </si>
  <si>
    <t>$G$161</t>
  </si>
  <si>
    <t>$G$177</t>
  </si>
  <si>
    <t>$G$179</t>
  </si>
  <si>
    <t>$G$180</t>
  </si>
  <si>
    <t>BAIXAS</t>
  </si>
  <si>
    <t>$D$188</t>
  </si>
  <si>
    <t>$D$201</t>
  </si>
  <si>
    <t>$D$239</t>
  </si>
  <si>
    <t>$D$291</t>
  </si>
  <si>
    <t>ENTRADAS</t>
  </si>
  <si>
    <t>$D$153</t>
  </si>
  <si>
    <t>$D$145</t>
  </si>
  <si>
    <t>$D$151</t>
  </si>
  <si>
    <t>$D$152</t>
  </si>
  <si>
    <t>$D$160</t>
  </si>
  <si>
    <t>$D$159</t>
  </si>
  <si>
    <t>$D$172</t>
  </si>
  <si>
    <t>$E$291</t>
  </si>
  <si>
    <t>$E$303</t>
  </si>
  <si>
    <t>$E$304</t>
  </si>
  <si>
    <t>$E$305</t>
  </si>
  <si>
    <t>$D$75</t>
  </si>
  <si>
    <t>$D$52</t>
  </si>
  <si>
    <t>$E$346</t>
  </si>
  <si>
    <t>$D$278</t>
  </si>
  <si>
    <t>$D$279</t>
  </si>
  <si>
    <t>$D$300</t>
  </si>
  <si>
    <t>$D$306</t>
  </si>
  <si>
    <t>$D$307</t>
  </si>
  <si>
    <t>$E$278</t>
  </si>
  <si>
    <t>$E$279</t>
  </si>
  <si>
    <t>$E$300</t>
  </si>
  <si>
    <t>$E$301</t>
  </si>
  <si>
    <t>$E$306</t>
  </si>
  <si>
    <t>$E$307</t>
  </si>
  <si>
    <t>$E$185</t>
  </si>
  <si>
    <t>$E$189</t>
  </si>
  <si>
    <t>$E$195</t>
  </si>
  <si>
    <t>$E$200</t>
  </si>
  <si>
    <t>$E$201</t>
  </si>
  <si>
    <t>$E$202</t>
  </si>
  <si>
    <t>$E$210</t>
  </si>
  <si>
    <t>$E$225</t>
  </si>
  <si>
    <t>$E$228</t>
  </si>
  <si>
    <t>$E$235</t>
  </si>
  <si>
    <t>$E$239</t>
  </si>
  <si>
    <t>$E$9</t>
  </si>
  <si>
    <t>$E$18</t>
  </si>
  <si>
    <t>$E$27</t>
  </si>
  <si>
    <t>$E$61</t>
  </si>
  <si>
    <t>$E$91</t>
  </si>
  <si>
    <t>$E$103</t>
  </si>
  <si>
    <t>$E$12</t>
  </si>
  <si>
    <t>$E$20</t>
  </si>
  <si>
    <t>$E$28</t>
  </si>
  <si>
    <t>$E$51</t>
  </si>
  <si>
    <t>$E$86</t>
  </si>
  <si>
    <t>$E$224</t>
  </si>
  <si>
    <t>$E$118</t>
  </si>
  <si>
    <t>$E$135</t>
  </si>
  <si>
    <t>$E$60</t>
  </si>
  <si>
    <t>$E$152</t>
  </si>
  <si>
    <t>$E$180</t>
  </si>
  <si>
    <t>$E$154</t>
  </si>
  <si>
    <t>$E$159</t>
  </si>
  <si>
    <t>$E$26</t>
  </si>
  <si>
    <t>$E$33</t>
  </si>
  <si>
    <t>$E$173</t>
  </si>
  <si>
    <t>Fechou a Planilha</t>
  </si>
  <si>
    <t>Para usar a planilha, habilite os Macros.</t>
  </si>
  <si>
    <t>$F$140</t>
  </si>
  <si>
    <t>$F$147</t>
  </si>
  <si>
    <t>$F$154</t>
  </si>
  <si>
    <t>$F$214</t>
  </si>
  <si>
    <t>$F$217</t>
  </si>
  <si>
    <t>$F$8</t>
  </si>
  <si>
    <t>$F$37</t>
  </si>
  <si>
    <t>$F$41</t>
  </si>
  <si>
    <t>$F$45</t>
  </si>
  <si>
    <t>$F$65</t>
  </si>
  <si>
    <t>$F$63</t>
  </si>
  <si>
    <t>$F$76</t>
  </si>
  <si>
    <t>$F$84</t>
  </si>
  <si>
    <t>$F$85</t>
  </si>
  <si>
    <t>$F$95</t>
  </si>
  <si>
    <t>$F$109</t>
  </si>
  <si>
    <t>$F$113</t>
  </si>
  <si>
    <t>$F$171</t>
  </si>
  <si>
    <t>$F$172</t>
  </si>
  <si>
    <t>$F$173</t>
  </si>
  <si>
    <t>$F$166</t>
  </si>
  <si>
    <t>$F$9</t>
  </si>
  <si>
    <t>$F$18</t>
  </si>
  <si>
    <t>$F$61</t>
  </si>
  <si>
    <t>$F$81</t>
  </si>
  <si>
    <t>$F$103</t>
  </si>
  <si>
    <t>$F$96</t>
  </si>
  <si>
    <t>$F$55</t>
  </si>
  <si>
    <t>$F$98</t>
  </si>
  <si>
    <t>$F$99</t>
  </si>
  <si>
    <t>$F$13</t>
  </si>
  <si>
    <t>$F$31</t>
  </si>
  <si>
    <t>$F$29</t>
  </si>
  <si>
    <t>$F$48</t>
  </si>
  <si>
    <t>$F$86</t>
  </si>
  <si>
    <t>$F$118</t>
  </si>
  <si>
    <t>$F$124</t>
  </si>
  <si>
    <t>$F$135</t>
  </si>
  <si>
    <t>$F$24</t>
  </si>
  <si>
    <t>$F$59</t>
  </si>
  <si>
    <t>$F$185</t>
  </si>
  <si>
    <t>$F$186</t>
  </si>
  <si>
    <t>$F$188</t>
  </si>
  <si>
    <t>$F$195</t>
  </si>
  <si>
    <t>$F$197</t>
  </si>
  <si>
    <t>$F$200</t>
  </si>
  <si>
    <t>$F$201</t>
  </si>
  <si>
    <t>$F$202</t>
  </si>
  <si>
    <t>$F$206</t>
  </si>
  <si>
    <t>$F$210</t>
  </si>
  <si>
    <t>$F$224</t>
  </si>
  <si>
    <t>$F$228</t>
  </si>
  <si>
    <t>$F$235</t>
  </si>
  <si>
    <t>$F$239</t>
  </si>
  <si>
    <t>$F$203</t>
  </si>
  <si>
    <t>$F$246</t>
  </si>
  <si>
    <t>$F$244</t>
  </si>
  <si>
    <t>$F$247</t>
  </si>
  <si>
    <t>$F$269</t>
  </si>
  <si>
    <t>$F$279</t>
  </si>
  <si>
    <t>$F$282</t>
  </si>
  <si>
    <t>$F$288</t>
  </si>
  <si>
    <t>$F$292</t>
  </si>
  <si>
    <t>$F$294</t>
  </si>
  <si>
    <t>$F$299</t>
  </si>
  <si>
    <t>$F$297</t>
  </si>
  <si>
    <t>$F$298</t>
  </si>
  <si>
    <t>$F$302</t>
  </si>
  <si>
    <t>$F$303</t>
  </si>
  <si>
    <t>$F$304</t>
  </si>
  <si>
    <t>$F$315</t>
  </si>
  <si>
    <t>$G$151</t>
  </si>
  <si>
    <t>$G$157</t>
  </si>
  <si>
    <t>$G$158</t>
  </si>
  <si>
    <t>$G$172</t>
  </si>
  <si>
    <t>$H$18</t>
  </si>
  <si>
    <t>$H$27</t>
  </si>
  <si>
    <t>$H$61</t>
  </si>
  <si>
    <t>$H$103</t>
  </si>
  <si>
    <t>$H$104</t>
  </si>
  <si>
    <t>$H$19</t>
  </si>
  <si>
    <t>$H$55</t>
  </si>
  <si>
    <t>$H$56</t>
  </si>
  <si>
    <t>$H$96</t>
  </si>
  <si>
    <t>$H$135</t>
  </si>
  <si>
    <t>$H$9</t>
  </si>
  <si>
    <t>$H$60</t>
  </si>
  <si>
    <t>$H$84</t>
  </si>
  <si>
    <t>$H$86</t>
  </si>
  <si>
    <t>$H$106</t>
  </si>
  <si>
    <t>$H$107</t>
  </si>
  <si>
    <t>$H$171</t>
  </si>
  <si>
    <t>$H$183</t>
  </si>
  <si>
    <t>$H$212</t>
  </si>
  <si>
    <t>$H$214</t>
  </si>
  <si>
    <t>$H$219</t>
  </si>
  <si>
    <t>$H$185</t>
  </si>
  <si>
    <t>$H$186</t>
  </si>
  <si>
    <t>$H$188</t>
  </si>
  <si>
    <t>$H$189</t>
  </si>
  <si>
    <t>$H$195</t>
  </si>
  <si>
    <t>$H$197</t>
  </si>
  <si>
    <t>$H$200</t>
  </si>
  <si>
    <t>$H$201</t>
  </si>
  <si>
    <t>$H$202</t>
  </si>
  <si>
    <t>$H$206</t>
  </si>
  <si>
    <t>$H$224</t>
  </si>
  <si>
    <t>$H$225</t>
  </si>
  <si>
    <t>$H$228</t>
  </si>
  <si>
    <t>$H$232</t>
  </si>
  <si>
    <t>$H$235</t>
  </si>
  <si>
    <t>$H$239</t>
  </si>
  <si>
    <t>.</t>
  </si>
  <si>
    <t>$B$3</t>
  </si>
  <si>
    <t>$B$4</t>
  </si>
  <si>
    <t>$B$5</t>
  </si>
  <si>
    <t>$B$6</t>
  </si>
  <si>
    <t>$B$7</t>
  </si>
  <si>
    <t>$B$1</t>
  </si>
  <si>
    <t>$B$2</t>
  </si>
  <si>
    <t>$C$106</t>
  </si>
  <si>
    <t>$C$107</t>
  </si>
  <si>
    <t>$C$172</t>
  </si>
  <si>
    <t>$C$86</t>
  </si>
  <si>
    <t>$C$244</t>
  </si>
  <si>
    <t>$C$194</t>
  </si>
  <si>
    <t>$S$8</t>
  </si>
  <si>
    <t>$S$14</t>
  </si>
  <si>
    <t>$S$26</t>
  </si>
  <si>
    <t>$S$134</t>
  </si>
  <si>
    <t>$L$6</t>
  </si>
  <si>
    <t>$L$12</t>
  </si>
  <si>
    <t>$L$18</t>
  </si>
  <si>
    <t>$L$21</t>
  </si>
  <si>
    <t>$L$60</t>
  </si>
  <si>
    <t>$L$62</t>
  </si>
  <si>
    <t>$L$81</t>
  </si>
  <si>
    <t>$L$83</t>
  </si>
  <si>
    <t>$L$96</t>
  </si>
  <si>
    <t>$M$102</t>
  </si>
  <si>
    <t>$M$103</t>
  </si>
  <si>
    <t>$M$109</t>
  </si>
  <si>
    <t>$M$116</t>
  </si>
  <si>
    <t>$M$136</t>
  </si>
  <si>
    <t>$M$147</t>
  </si>
  <si>
    <t>$M$158</t>
  </si>
  <si>
    <t>$M$159</t>
  </si>
  <si>
    <t>$M$150</t>
  </si>
  <si>
    <t>$M$154</t>
  </si>
  <si>
    <t>$M$145</t>
  </si>
  <si>
    <t>$N$145</t>
  </si>
  <si>
    <t>$S$140</t>
  </si>
  <si>
    <t>$S$143</t>
  </si>
  <si>
    <t>$S$147</t>
  </si>
  <si>
    <t>$S$149</t>
  </si>
  <si>
    <t>$S$154</t>
  </si>
  <si>
    <t>$S$172</t>
  </si>
  <si>
    <t>$S$60</t>
  </si>
  <si>
    <t>$L$133</t>
  </si>
  <si>
    <t>$L$126</t>
  </si>
  <si>
    <t>$L$25</t>
  </si>
  <si>
    <t>$L$27</t>
  </si>
  <si>
    <t>$L$26</t>
  </si>
  <si>
    <t>$S$45</t>
  </si>
  <si>
    <t>$S$95</t>
  </si>
  <si>
    <t>$L$95</t>
  </si>
  <si>
    <t>$L$45</t>
  </si>
  <si>
    <t>$L$8</t>
  </si>
  <si>
    <t>$L$23</t>
  </si>
  <si>
    <t>$L$9</t>
  </si>
  <si>
    <t>$L$61</t>
  </si>
  <si>
    <t>$L$15</t>
  </si>
  <si>
    <t>$L$14</t>
  </si>
  <si>
    <t>$L$86</t>
  </si>
  <si>
    <t>$L$51</t>
  </si>
  <si>
    <t>$L$19</t>
  </si>
  <si>
    <t>$L$115</t>
  </si>
  <si>
    <t>$S$62</t>
  </si>
  <si>
    <t>$S$103</t>
  </si>
  <si>
    <t>$S$85</t>
  </si>
  <si>
    <t>$S$27</t>
  </si>
  <si>
    <t>$S$61</t>
  </si>
  <si>
    <t>$M$167</t>
  </si>
  <si>
    <t>$S$166</t>
  </si>
  <si>
    <t>$S$115</t>
  </si>
  <si>
    <t>$S$86</t>
  </si>
  <si>
    <t>$S$24</t>
  </si>
  <si>
    <t>$T$142</t>
  </si>
  <si>
    <t>$T$158</t>
  </si>
  <si>
    <t>$T$153</t>
  </si>
  <si>
    <t>$T$150</t>
  </si>
  <si>
    <t>$T$152</t>
  </si>
  <si>
    <t>$T$157</t>
  </si>
  <si>
    <t>$T$160</t>
  </si>
  <si>
    <t>$T$159</t>
  </si>
  <si>
    <t>$T$148</t>
  </si>
  <si>
    <t>$E$171</t>
  </si>
  <si>
    <t>$K$171</t>
  </si>
  <si>
    <t>$R$171</t>
  </si>
  <si>
    <t>$R$173</t>
  </si>
  <si>
    <t>$I$322</t>
  </si>
  <si>
    <t>$I$321</t>
  </si>
  <si>
    <t>$D$244</t>
  </si>
  <si>
    <t>$D$246</t>
  </si>
  <si>
    <t>$E$247</t>
  </si>
  <si>
    <t>$D$247</t>
  </si>
  <si>
    <t>$D$258</t>
  </si>
  <si>
    <t>$D$269</t>
  </si>
  <si>
    <t>$D$270</t>
  </si>
  <si>
    <t>$D$271</t>
  </si>
  <si>
    <t>$D$273</t>
  </si>
  <si>
    <t>$D$275</t>
  </si>
  <si>
    <t>$D$280</t>
  </si>
  <si>
    <t>$D$289</t>
  </si>
  <si>
    <t>$D$290</t>
  </si>
  <si>
    <t>$D$292</t>
  </si>
  <si>
    <t>$D$294</t>
  </si>
  <si>
    <t>$D$297</t>
  </si>
  <si>
    <t>$D$298</t>
  </si>
  <si>
    <t>$D$315</t>
  </si>
  <si>
    <t>$K$244</t>
  </si>
  <si>
    <t>$K$245</t>
  </si>
  <si>
    <t>$K$246</t>
  </si>
  <si>
    <t>$K$247</t>
  </si>
  <si>
    <t>$K$279</t>
  </si>
  <si>
    <t>$K$298</t>
  </si>
  <si>
    <t>$K$129</t>
  </si>
  <si>
    <t>$K$125</t>
  </si>
  <si>
    <t>$K$128</t>
  </si>
  <si>
    <t>$K$126</t>
  </si>
  <si>
    <t>$R$123</t>
  </si>
  <si>
    <t>$R$125</t>
  </si>
  <si>
    <t>$R$131</t>
  </si>
  <si>
    <t>$R$128</t>
  </si>
  <si>
    <t>$R$129</t>
  </si>
  <si>
    <t>$K$125:$K$130</t>
  </si>
  <si>
    <t>Valores Alterados</t>
  </si>
  <si>
    <t>$R$130</t>
  </si>
  <si>
    <t>$R$132</t>
  </si>
  <si>
    <t>$E$123</t>
  </si>
  <si>
    <t>$E$131</t>
  </si>
  <si>
    <t>$E$126</t>
  </si>
  <si>
    <t>$M$178</t>
  </si>
  <si>
    <t>$B$8</t>
  </si>
  <si>
    <t>$U$257</t>
  </si>
  <si>
    <t>$V$257</t>
  </si>
  <si>
    <t>$I$93</t>
  </si>
  <si>
    <t>$G$104</t>
  </si>
  <si>
    <t>$U$327</t>
  </si>
  <si>
    <t>$U$244</t>
  </si>
  <si>
    <t>$U$279</t>
  </si>
  <si>
    <t>$U$288</t>
  </si>
  <si>
    <t>$U$302</t>
  </si>
  <si>
    <t>$U$304</t>
  </si>
  <si>
    <t>$U$305</t>
  </si>
  <si>
    <t>$U$303</t>
  </si>
  <si>
    <t>$U$46</t>
  </si>
  <si>
    <t>$U$51</t>
  </si>
  <si>
    <t>$U$84</t>
  </si>
  <si>
    <t>$U$106</t>
  </si>
  <si>
    <t>$U$107</t>
  </si>
  <si>
    <t>$U$113</t>
  </si>
  <si>
    <t>$U$171</t>
  </si>
  <si>
    <t>$U$185</t>
  </si>
  <si>
    <t>$U$187</t>
  </si>
  <si>
    <t>$U$195</t>
  </si>
  <si>
    <t>$U$196</t>
  </si>
  <si>
    <t>$U$200</t>
  </si>
  <si>
    <t>$U$201</t>
  </si>
  <si>
    <t>$U$210</t>
  </si>
  <si>
    <t>$U$224</t>
  </si>
  <si>
    <t>$U$225</t>
  </si>
  <si>
    <t>$U$228</t>
  </si>
  <si>
    <t>$U$235</t>
  </si>
  <si>
    <t>$U$239</t>
  </si>
  <si>
    <t>$U$203</t>
  </si>
  <si>
    <t>$U$9</t>
  </si>
  <si>
    <t>$U$27</t>
  </si>
  <si>
    <t>$U$89</t>
  </si>
  <si>
    <t>$U$61</t>
  </si>
  <si>
    <t>$U$55</t>
  </si>
  <si>
    <t>$U$96</t>
  </si>
  <si>
    <t>$U$98</t>
  </si>
  <si>
    <t>$U$166</t>
  </si>
  <si>
    <t>$U$21</t>
  </si>
  <si>
    <t>$U$28</t>
  </si>
  <si>
    <t>$U$17</t>
  </si>
  <si>
    <t>$U$58</t>
  </si>
  <si>
    <t>$U$60</t>
  </si>
  <si>
    <t>$U$152</t>
  </si>
  <si>
    <t>$U$154</t>
  </si>
  <si>
    <t>$U$177</t>
  </si>
  <si>
    <t>$U$148</t>
  </si>
  <si>
    <t>$U$183</t>
  </si>
  <si>
    <t>$U$214</t>
  </si>
  <si>
    <t>$U$217</t>
  </si>
  <si>
    <t>$U$220</t>
  </si>
  <si>
    <t>$T$246</t>
  </si>
  <si>
    <t>$S$246</t>
  </si>
  <si>
    <t>$S$247</t>
  </si>
  <si>
    <t>$S$279</t>
  </si>
  <si>
    <t>$S$298</t>
  </si>
  <si>
    <t>$Q$302</t>
  </si>
  <si>
    <t>$Q$279</t>
  </si>
  <si>
    <t>$Q$270</t>
  </si>
  <si>
    <t>$Q$269</t>
  </si>
  <si>
    <t>$Q$246</t>
  </si>
  <si>
    <t>$Q$244</t>
  </si>
  <si>
    <t>$V$244</t>
  </si>
  <si>
    <t>$V$279</t>
  </si>
  <si>
    <t>$V$288</t>
  </si>
  <si>
    <t>$V$297</t>
  </si>
  <si>
    <t>$V$304</t>
  </si>
  <si>
    <t>$V$272</t>
  </si>
  <si>
    <t>$V$18</t>
  </si>
  <si>
    <t>$V$27</t>
  </si>
  <si>
    <t>$V$61</t>
  </si>
  <si>
    <t>$V$88</t>
  </si>
  <si>
    <t>$V$103</t>
  </si>
  <si>
    <t>$V$96</t>
  </si>
  <si>
    <t>$V$55</t>
  </si>
  <si>
    <t>$V$98</t>
  </si>
  <si>
    <t>$V$118</t>
  </si>
  <si>
    <t>$V$135</t>
  </si>
  <si>
    <t>$V$23</t>
  </si>
  <si>
    <t>$V$57</t>
  </si>
  <si>
    <t>$V$171</t>
  </si>
  <si>
    <t>$V$224</t>
  </si>
  <si>
    <t>$V$214</t>
  </si>
  <si>
    <t>$V$212</t>
  </si>
  <si>
    <t>$V$172</t>
  </si>
  <si>
    <t>$V$173</t>
  </si>
  <si>
    <t>$V$147</t>
  </si>
  <si>
    <t>$V$153</t>
  </si>
  <si>
    <t>$V$154</t>
  </si>
  <si>
    <t>$V$145</t>
  </si>
  <si>
    <t>$V$149</t>
  </si>
  <si>
    <t>$V$158</t>
  </si>
  <si>
    <t>$V$159</t>
  </si>
  <si>
    <t>$V$160</t>
  </si>
  <si>
    <t>$V$180</t>
  </si>
  <si>
    <t>$V$185</t>
  </si>
  <si>
    <t>$V$187</t>
  </si>
  <si>
    <t>$V$188</t>
  </si>
  <si>
    <t>$V$189</t>
  </si>
  <si>
    <t>$V$195</t>
  </si>
  <si>
    <t>$V$200</t>
  </si>
  <si>
    <t>$V$201</t>
  </si>
  <si>
    <t>$V$204</t>
  </si>
  <si>
    <t>$V$203</t>
  </si>
  <si>
    <t>$V$210</t>
  </si>
  <si>
    <t>$V$225</t>
  </si>
  <si>
    <t>$V$228</t>
  </si>
  <si>
    <t>$V$235</t>
  </si>
  <si>
    <t>$V$239</t>
  </si>
  <si>
    <t>$V$208</t>
  </si>
  <si>
    <t>$Q$288</t>
  </si>
  <si>
    <t>$Q$292</t>
  </si>
  <si>
    <t>$Q$291</t>
  </si>
  <si>
    <t>$Q$305</t>
  </si>
  <si>
    <t>$U$64</t>
  </si>
  <si>
    <t>$U$81</t>
  </si>
  <si>
    <t>$U$93</t>
  </si>
  <si>
    <t>$U$19</t>
  </si>
  <si>
    <t>$U$109</t>
  </si>
  <si>
    <t>$V$206</t>
  </si>
  <si>
    <t>$V$234</t>
  </si>
  <si>
    <t>$V$197</t>
  </si>
  <si>
    <t>$V$194</t>
  </si>
  <si>
    <t>$V$209</t>
  </si>
  <si>
    <t>$V$219</t>
  </si>
  <si>
    <t>$V$220</t>
  </si>
  <si>
    <t>$U$204</t>
  </si>
  <si>
    <t>$U$186</t>
  </si>
  <si>
    <t>$U$233</t>
  </si>
  <si>
    <t>$U$202</t>
  </si>
  <si>
    <t>$U$141</t>
  </si>
  <si>
    <t>$U$150</t>
  </si>
  <si>
    <t>$U$162</t>
  </si>
  <si>
    <t>$T$161</t>
  </si>
  <si>
    <t>$T$144</t>
  </si>
  <si>
    <t>$T$149</t>
  </si>
  <si>
    <t>$X$171</t>
  </si>
  <si>
    <t>$X$172</t>
  </si>
  <si>
    <t>$X$173</t>
  </si>
  <si>
    <t>$U$165</t>
  </si>
  <si>
    <t>$G$106</t>
  </si>
  <si>
    <t>$G$107</t>
  </si>
  <si>
    <t>$D$185</t>
  </si>
  <si>
    <t>$D$189</t>
  </si>
  <si>
    <t>$D$203</t>
  </si>
  <si>
    <t>$D$232</t>
  </si>
  <si>
    <t>$D$196</t>
  </si>
  <si>
    <t>$D$197</t>
  </si>
  <si>
    <t>$D$195</t>
  </si>
  <si>
    <t>$D$202</t>
  </si>
  <si>
    <t>$D$200</t>
  </si>
  <si>
    <t>$D$225</t>
  </si>
  <si>
    <t>$D$228</t>
  </si>
  <si>
    <t>$D$209</t>
  </si>
  <si>
    <t>$D$210</t>
  </si>
  <si>
    <t>$D$224</t>
  </si>
  <si>
    <t>$D$212</t>
  </si>
  <si>
    <t>$D$194</t>
  </si>
  <si>
    <t>$E$188</t>
  </si>
  <si>
    <t>$E$186</t>
  </si>
  <si>
    <t>$E$206</t>
  </si>
  <si>
    <t>$E$194</t>
  </si>
  <si>
    <t>$E$183</t>
  </si>
  <si>
    <t>$E$217</t>
  </si>
  <si>
    <t>$E$219</t>
  </si>
  <si>
    <t>$E$212</t>
  </si>
  <si>
    <t>$E$220</t>
  </si>
  <si>
    <t>$E$214</t>
  </si>
  <si>
    <t>$G$187</t>
  </si>
  <si>
    <t>$G$188</t>
  </si>
  <si>
    <t>$G$189</t>
  </si>
  <si>
    <t>$G$204</t>
  </si>
  <si>
    <t>$G$206</t>
  </si>
  <si>
    <t>$G$185</t>
  </si>
  <si>
    <t>$G$235</t>
  </si>
  <si>
    <t>$G$197</t>
  </si>
  <si>
    <t>$G$200</t>
  </si>
  <si>
    <t>$G$202</t>
  </si>
  <si>
    <t>$G$225</t>
  </si>
  <si>
    <t>$G$228</t>
  </si>
  <si>
    <t>$G$239</t>
  </si>
  <si>
    <t>$G$194</t>
  </si>
  <si>
    <t>$G$209</t>
  </si>
  <si>
    <t>$G$219</t>
  </si>
  <si>
    <t>$G$214</t>
  </si>
  <si>
    <t>$G$220</t>
  </si>
  <si>
    <t>$L$188</t>
  </si>
  <si>
    <t>$L$189</t>
  </si>
  <si>
    <t>$L$192</t>
  </si>
  <si>
    <t>$L$186</t>
  </si>
  <si>
    <t>$L$203</t>
  </si>
  <si>
    <t>$L$204</t>
  </si>
  <si>
    <t>$L$235</t>
  </si>
  <si>
    <t>$L$211</t>
  </si>
  <si>
    <t>$L$232</t>
  </si>
  <si>
    <t>$L$208</t>
  </si>
  <si>
    <t>$L$185</t>
  </si>
  <si>
    <t>$L$196</t>
  </si>
  <si>
    <t>$L$197</t>
  </si>
  <si>
    <t>$L$201</t>
  </si>
  <si>
    <t>$L$202</t>
  </si>
  <si>
    <t>$L$200</t>
  </si>
  <si>
    <t>$L$225</t>
  </si>
  <si>
    <t>$L$228</t>
  </si>
  <si>
    <t>$L$239</t>
  </si>
  <si>
    <t>$L$209</t>
  </si>
  <si>
    <t>$L$183</t>
  </si>
  <si>
    <t>$L$194</t>
  </si>
  <si>
    <t>$L$210</t>
  </si>
  <si>
    <t>$L$219</t>
  </si>
  <si>
    <t>$L$217</t>
  </si>
  <si>
    <t>$L$220</t>
  </si>
  <si>
    <t>$L$214</t>
  </si>
  <si>
    <t>$L$224</t>
  </si>
  <si>
    <t>X</t>
  </si>
  <si>
    <t>$X$103</t>
  </si>
  <si>
    <t>$X$135</t>
  </si>
  <si>
    <t>$X$210</t>
  </si>
  <si>
    <t>$X$219</t>
  </si>
  <si>
    <t>$X$141</t>
  </si>
  <si>
    <t>$X$225</t>
  </si>
  <si>
    <t>$X$244</t>
  </si>
  <si>
    <t>$X$269</t>
  </si>
  <si>
    <t>$X$278</t>
  </si>
  <si>
    <t>$X$279</t>
  </si>
  <si>
    <t>$X$298</t>
  </si>
  <si>
    <t>$X$305</t>
  </si>
  <si>
    <t>$X$292</t>
  </si>
  <si>
    <t>$G$8</t>
  </si>
  <si>
    <t>$G$9</t>
  </si>
  <si>
    <t>$W$219</t>
  </si>
  <si>
    <t>$W$209</t>
  </si>
  <si>
    <t>$Q$318</t>
  </si>
  <si>
    <t>$G$113</t>
  </si>
  <si>
    <t>$G$257</t>
  </si>
  <si>
    <t>$G$267</t>
  </si>
  <si>
    <t>$G$272</t>
  </si>
  <si>
    <t>$G$282</t>
  </si>
  <si>
    <t>$G$296</t>
  </si>
  <si>
    <t>$G$312</t>
  </si>
  <si>
    <t>$N$187</t>
  </si>
  <si>
    <t>$N$189</t>
  </si>
  <si>
    <t>$N$203</t>
  </si>
  <si>
    <t>$N$204</t>
  </si>
  <si>
    <t>$N$206</t>
  </si>
  <si>
    <t>$N$208</t>
  </si>
  <si>
    <t>$N$211</t>
  </si>
  <si>
    <t>$N$234</t>
  </si>
  <si>
    <t>$N$201</t>
  </si>
  <si>
    <t>$N$225</t>
  </si>
  <si>
    <t>$N$235</t>
  </si>
  <si>
    <t>$N$239</t>
  </si>
  <si>
    <t>$N$219</t>
  </si>
  <si>
    <t>$N$209</t>
  </si>
  <si>
    <t>$N$194</t>
  </si>
  <si>
    <t>$N$183</t>
  </si>
  <si>
    <t>$S$188</t>
  </si>
  <si>
    <t>$S$189</t>
  </si>
  <si>
    <t>$S$203</t>
  </si>
  <si>
    <t>$S$232</t>
  </si>
  <si>
    <t>$S$235</t>
  </si>
  <si>
    <t>$S$239</t>
  </si>
  <si>
    <t>$S$185</t>
  </si>
  <si>
    <t>$S$196</t>
  </si>
  <si>
    <t>$S$197</t>
  </si>
  <si>
    <t>$S$200</t>
  </si>
  <si>
    <t>$S$201</t>
  </si>
  <si>
    <t>$S$202</t>
  </si>
  <si>
    <t>$S$225</t>
  </si>
  <si>
    <t>$S$228</t>
  </si>
  <si>
    <t>$S$183</t>
  </si>
  <si>
    <t>$S$194</t>
  </si>
  <si>
    <t>$S$212</t>
  </si>
  <si>
    <t>$S$214</t>
  </si>
  <si>
    <t>$S$217</t>
  </si>
  <si>
    <t>$S$220</t>
  </si>
  <si>
    <t>$S$224</t>
  </si>
  <si>
    <t>$G$183</t>
  </si>
  <si>
    <t>$W$187</t>
  </si>
  <si>
    <t>$W$195</t>
  </si>
  <si>
    <t>$W$196</t>
  </si>
  <si>
    <t>$W$197</t>
  </si>
  <si>
    <t>$W$200</t>
  </si>
  <si>
    <t>$W$201</t>
  </si>
  <si>
    <t>$W$210</t>
  </si>
  <si>
    <t>$W$225</t>
  </si>
  <si>
    <t>$W$224</t>
  </si>
  <si>
    <t>$W$228</t>
  </si>
  <si>
    <t>$W$239</t>
  </si>
  <si>
    <t>$W$103</t>
  </si>
  <si>
    <t>$W$115</t>
  </si>
  <si>
    <t>$W$214</t>
  </si>
  <si>
    <t>$W$217</t>
  </si>
  <si>
    <t>$W$220</t>
  </si>
  <si>
    <t>$W$45</t>
  </si>
  <si>
    <t>$W$173</t>
  </si>
  <si>
    <t>$W$171</t>
  </si>
  <si>
    <t>$W$167</t>
  </si>
  <si>
    <t>$W$154</t>
  </si>
  <si>
    <t>$W$150</t>
  </si>
  <si>
    <t>$Y$6</t>
  </si>
  <si>
    <t>$Z$65</t>
  </si>
  <si>
    <t>$Z$70</t>
  </si>
  <si>
    <t>$Z$84</t>
  </si>
  <si>
    <t>$Z$171</t>
  </si>
  <si>
    <t>$Z$117</t>
  </si>
  <si>
    <t>$Z$9</t>
  </si>
  <si>
    <t>$Z$18</t>
  </si>
  <si>
    <t>$Z$61</t>
  </si>
  <si>
    <t>$Z$89</t>
  </si>
  <si>
    <t>$Z$103</t>
  </si>
  <si>
    <t>$Z$96</t>
  </si>
  <si>
    <t>$Z$118</t>
  </si>
  <si>
    <t>$Z$135</t>
  </si>
  <si>
    <t>$Z$60</t>
  </si>
  <si>
    <t>$Z$44</t>
  </si>
  <si>
    <t>$Z$51</t>
  </si>
  <si>
    <t>$Z$152</t>
  </si>
  <si>
    <t>$Z$154</t>
  </si>
  <si>
    <t>$Z$143</t>
  </si>
  <si>
    <t>$Z$159</t>
  </si>
  <si>
    <t>$Z$160</t>
  </si>
  <si>
    <t>$Z$196</t>
  </si>
  <si>
    <t>$Z$200</t>
  </si>
  <si>
    <t>$Z$201</t>
  </si>
  <si>
    <t>$Z$202</t>
  </si>
  <si>
    <t>$Z$210</t>
  </si>
  <si>
    <t>$Z$224</t>
  </si>
  <si>
    <t>$Z$228</t>
  </si>
  <si>
    <t>$Z$239</t>
  </si>
  <si>
    <t>$Z$183</t>
  </si>
  <si>
    <t>$Z$279</t>
  </si>
  <si>
    <t>$Z$287</t>
  </si>
  <si>
    <t>$G$117</t>
  </si>
  <si>
    <t>$Y$257</t>
  </si>
  <si>
    <t>$Y$303</t>
  </si>
  <si>
    <t>Alterado de 22 para 34</t>
  </si>
  <si>
    <t>$M$177</t>
  </si>
  <si>
    <t>$C$176:$L$180</t>
  </si>
  <si>
    <t>$AA$246</t>
  </si>
  <si>
    <t>$AA$244</t>
  </si>
  <si>
    <t>$AA$269</t>
  </si>
  <si>
    <t>$AA$183</t>
  </si>
  <si>
    <t>$AA$209</t>
  </si>
  <si>
    <t>$AA$194</t>
  </si>
  <si>
    <t>$AA$212</t>
  </si>
  <si>
    <t>$AA$214</t>
  </si>
  <si>
    <t>$AA$217</t>
  </si>
  <si>
    <t>$AA$219</t>
  </si>
  <si>
    <t>$AA$220</t>
  </si>
  <si>
    <t>$AA$226</t>
  </si>
  <si>
    <t>$AA$240</t>
  </si>
  <si>
    <t>$AA$193</t>
  </si>
  <si>
    <t>$AA$147</t>
  </si>
  <si>
    <t>$AA$154</t>
  </si>
  <si>
    <t>$AA$161</t>
  </si>
  <si>
    <t>$AA$150</t>
  </si>
  <si>
    <t>$AA$165</t>
  </si>
  <si>
    <t>$AA$18</t>
  </si>
  <si>
    <t>$AA$61</t>
  </si>
  <si>
    <t>$AA$103</t>
  </si>
  <si>
    <t>$AA$95</t>
  </si>
  <si>
    <t>$AA$96</t>
  </si>
  <si>
    <t>$AA$29</t>
  </si>
  <si>
    <t>$AA$19</t>
  </si>
  <si>
    <t>$AA$55</t>
  </si>
  <si>
    <t>$AA$135</t>
  </si>
  <si>
    <t>$AA$22</t>
  </si>
  <si>
    <t>$AA$24</t>
  </si>
  <si>
    <t>$AA$58</t>
  </si>
  <si>
    <t>$AA$9</t>
  </si>
  <si>
    <t>$AA$25</t>
  </si>
  <si>
    <t>$AA$51</t>
  </si>
  <si>
    <t>$AA$73</t>
  </si>
  <si>
    <t>$AA$84</t>
  </si>
  <si>
    <t>$AA$106</t>
  </si>
  <si>
    <t>$AA$107</t>
  </si>
  <si>
    <t>$AA$171</t>
  </si>
  <si>
    <t>$AA$136</t>
  </si>
  <si>
    <t>$AA$64</t>
  </si>
  <si>
    <t>$AA$185</t>
  </si>
  <si>
    <t>$AA$189</t>
  </si>
  <si>
    <t>$AA$188</t>
  </si>
  <si>
    <t>$AA$195</t>
  </si>
  <si>
    <t>$AA$200</t>
  </si>
  <si>
    <t>$AA$201</t>
  </si>
  <si>
    <t>$AA$202</t>
  </si>
  <si>
    <t>$AA$210</t>
  </si>
  <si>
    <t>$AA$224</t>
  </si>
  <si>
    <t>$AA$225</t>
  </si>
  <si>
    <t>$AA$227</t>
  </si>
  <si>
    <t>$AA$228</t>
  </si>
  <si>
    <t>$AA$229</t>
  </si>
  <si>
    <t>$AA$235</t>
  </si>
  <si>
    <t>$AA$239</t>
  </si>
  <si>
    <t>$R$58</t>
  </si>
</sst>
</file>

<file path=xl/styles.xml><?xml version="1.0" encoding="utf-8"?>
<styleSheet xmlns="http://schemas.openxmlformats.org/spreadsheetml/2006/main">
  <numFmts count="7">
    <numFmt numFmtId="164" formatCode="_(* #,##0.00_);_(* \(#,##0.00\);_(* &quot;-&quot;??_);_(@_)"/>
    <numFmt numFmtId="165" formatCode="0.00;[Red]0.00"/>
    <numFmt numFmtId="166" formatCode="&quot;R$ &quot;#,##0.00"/>
    <numFmt numFmtId="167" formatCode="dddd"/>
    <numFmt numFmtId="168" formatCode="0.0000"/>
    <numFmt numFmtId="169" formatCode="dd"/>
    <numFmt numFmtId="170" formatCode="dd/mm/yyyy\ dddd\ mmmm"/>
  </numFmts>
  <fonts count="72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4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Calibri"/>
      <family val="2"/>
    </font>
    <font>
      <b/>
      <sz val="1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4"/>
      <color theme="0"/>
      <name val="Arial"/>
      <family val="2"/>
    </font>
    <font>
      <b/>
      <sz val="12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22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0"/>
      <name val="Arial"/>
      <family val="2"/>
    </font>
    <font>
      <b/>
      <sz val="24"/>
      <name val="Arial"/>
      <family val="2"/>
    </font>
    <font>
      <sz val="11"/>
      <color rgb="FFFF000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Arial"/>
      <family val="2"/>
    </font>
    <font>
      <sz val="10"/>
      <name val="Arial"/>
      <family val="2"/>
    </font>
    <font>
      <b/>
      <u/>
      <sz val="11"/>
      <color theme="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36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863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32BC6A"/>
        <bgColor indexed="64"/>
      </patternFill>
    </fill>
    <fill>
      <patternFill patternType="solid">
        <fgColor rgb="FF22673D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DE3B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9">
    <xf numFmtId="0" fontId="0" fillId="0" borderId="0"/>
    <xf numFmtId="0" fontId="12" fillId="0" borderId="0"/>
    <xf numFmtId="0" fontId="26" fillId="0" borderId="0"/>
    <xf numFmtId="0" fontId="29" fillId="0" borderId="0"/>
    <xf numFmtId="164" fontId="31" fillId="0" borderId="0" applyFont="0" applyFill="0" applyBorder="0" applyAlignment="0" applyProtection="0"/>
    <xf numFmtId="0" fontId="57" fillId="0" borderId="0"/>
    <xf numFmtId="0" fontId="61" fillId="0" borderId="0"/>
    <xf numFmtId="0" fontId="62" fillId="0" borderId="0"/>
    <xf numFmtId="0" fontId="63" fillId="0" borderId="0"/>
  </cellStyleXfs>
  <cellXfs count="509">
    <xf numFmtId="0" fontId="0" fillId="0" borderId="0" xfId="0"/>
    <xf numFmtId="0" fontId="15" fillId="0" borderId="0" xfId="0" applyFont="1"/>
    <xf numFmtId="0" fontId="15" fillId="0" borderId="0" xfId="0" applyFont="1" applyBorder="1"/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>
      <alignment horizontal="center" vertical="center"/>
    </xf>
    <xf numFmtId="0" fontId="5" fillId="3" borderId="16" xfId="0" applyNumberFormat="1" applyFont="1" applyFill="1" applyBorder="1" applyAlignment="1">
      <alignment horizontal="center" vertical="center"/>
    </xf>
    <xf numFmtId="0" fontId="5" fillId="3" borderId="17" xfId="0" applyNumberFormat="1" applyFont="1" applyFill="1" applyBorder="1" applyAlignment="1">
      <alignment horizontal="center" vertical="center"/>
    </xf>
    <xf numFmtId="0" fontId="5" fillId="3" borderId="18" xfId="0" applyNumberFormat="1" applyFont="1" applyFill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18" fillId="0" borderId="0" xfId="0" applyNumberFormat="1" applyFont="1" applyAlignment="1">
      <alignment horizontal="center"/>
    </xf>
    <xf numFmtId="0" fontId="0" fillId="0" borderId="0" xfId="0" applyBorder="1"/>
    <xf numFmtId="0" fontId="16" fillId="2" borderId="23" xfId="0" applyFont="1" applyFill="1" applyBorder="1"/>
    <xf numFmtId="169" fontId="6" fillId="11" borderId="23" xfId="0" applyNumberFormat="1" applyFont="1" applyFill="1" applyBorder="1" applyAlignment="1">
      <alignment horizontal="center" vertical="center"/>
    </xf>
    <xf numFmtId="0" fontId="0" fillId="15" borderId="5" xfId="0" applyFill="1" applyBorder="1" applyProtection="1">
      <protection hidden="1"/>
    </xf>
    <xf numFmtId="0" fontId="0" fillId="0" borderId="4" xfId="0" applyBorder="1" applyProtection="1">
      <protection hidden="1"/>
    </xf>
    <xf numFmtId="0" fontId="18" fillId="0" borderId="16" xfId="0" applyFont="1" applyBorder="1" applyAlignment="1">
      <alignment horizontal="center" vertical="center"/>
    </xf>
    <xf numFmtId="0" fontId="0" fillId="0" borderId="0" xfId="0" quotePrefix="1" applyNumberFormat="1"/>
    <xf numFmtId="169" fontId="0" fillId="0" borderId="4" xfId="0" applyNumberFormat="1" applyBorder="1" applyProtection="1">
      <protection hidden="1"/>
    </xf>
    <xf numFmtId="0" fontId="0" fillId="0" borderId="4" xfId="0" applyNumberFormat="1" applyBorder="1" applyProtection="1">
      <protection hidden="1"/>
    </xf>
    <xf numFmtId="0" fontId="13" fillId="17" borderId="4" xfId="0" applyNumberFormat="1" applyFont="1" applyFill="1" applyBorder="1" applyProtection="1">
      <protection hidden="1"/>
    </xf>
    <xf numFmtId="0" fontId="0" fillId="0" borderId="0" xfId="0" applyProtection="1"/>
    <xf numFmtId="0" fontId="13" fillId="0" borderId="0" xfId="0" applyFont="1" applyProtection="1"/>
    <xf numFmtId="0" fontId="0" fillId="21" borderId="1" xfId="0" applyFill="1" applyBorder="1" applyProtection="1"/>
    <xf numFmtId="14" fontId="0" fillId="21" borderId="4" xfId="0" applyNumberFormat="1" applyFill="1" applyBorder="1" applyProtection="1"/>
    <xf numFmtId="0" fontId="0" fillId="0" borderId="33" xfId="0" applyBorder="1" applyAlignment="1" applyProtection="1">
      <alignment horizontal="left" vertical="center"/>
    </xf>
    <xf numFmtId="0" fontId="14" fillId="0" borderId="0" xfId="0" applyFont="1" applyAlignment="1" applyProtection="1">
      <alignment horizontal="center"/>
    </xf>
    <xf numFmtId="0" fontId="19" fillId="0" borderId="0" xfId="0" applyFon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69" fontId="0" fillId="0" borderId="29" xfId="0" applyNumberFormat="1" applyBorder="1" applyProtection="1"/>
    <xf numFmtId="169" fontId="0" fillId="0" borderId="32" xfId="0" applyNumberFormat="1" applyBorder="1" applyProtection="1"/>
    <xf numFmtId="169" fontId="0" fillId="0" borderId="3" xfId="0" applyNumberFormat="1" applyBorder="1" applyProtection="1"/>
    <xf numFmtId="169" fontId="0" fillId="0" borderId="1" xfId="0" applyNumberFormat="1" applyBorder="1" applyProtection="1"/>
    <xf numFmtId="169" fontId="0" fillId="0" borderId="9" xfId="0" applyNumberFormat="1" applyBorder="1" applyProtection="1"/>
    <xf numFmtId="169" fontId="0" fillId="0" borderId="4" xfId="0" applyNumberFormat="1" applyBorder="1" applyProtection="1"/>
    <xf numFmtId="0" fontId="0" fillId="22" borderId="2" xfId="0" applyFill="1" applyBorder="1" applyProtection="1"/>
    <xf numFmtId="0" fontId="0" fillId="22" borderId="5" xfId="0" applyFill="1" applyBorder="1" applyProtection="1"/>
    <xf numFmtId="0" fontId="0" fillId="0" borderId="23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169" fontId="0" fillId="0" borderId="2" xfId="0" applyNumberFormat="1" applyBorder="1" applyProtection="1"/>
    <xf numFmtId="169" fontId="0" fillId="0" borderId="12" xfId="0" applyNumberFormat="1" applyBorder="1" applyProtection="1"/>
    <xf numFmtId="169" fontId="0" fillId="0" borderId="5" xfId="0" applyNumberFormat="1" applyBorder="1" applyProtection="1"/>
    <xf numFmtId="0" fontId="0" fillId="0" borderId="2" xfId="0" applyBorder="1" applyAlignment="1" applyProtection="1">
      <alignment horizontal="left" vertical="center"/>
    </xf>
    <xf numFmtId="0" fontId="0" fillId="0" borderId="7" xfId="0" applyBorder="1" applyAlignment="1" applyProtection="1">
      <alignment horizontal="center"/>
    </xf>
    <xf numFmtId="169" fontId="0" fillId="0" borderId="0" xfId="0" applyNumberFormat="1" applyProtection="1"/>
    <xf numFmtId="0" fontId="0" fillId="0" borderId="8" xfId="0" applyBorder="1" applyAlignment="1" applyProtection="1">
      <alignment horizontal="center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3" fillId="0" borderId="0" xfId="0" applyFont="1"/>
    <xf numFmtId="0" fontId="0" fillId="0" borderId="7" xfId="0" applyBorder="1" applyAlignment="1" applyProtection="1">
      <alignment horizontal="center"/>
    </xf>
    <xf numFmtId="14" fontId="0" fillId="0" borderId="0" xfId="0" applyNumberFormat="1" applyProtection="1"/>
    <xf numFmtId="0" fontId="13" fillId="20" borderId="4" xfId="0" applyNumberFormat="1" applyFont="1" applyFill="1" applyBorder="1" applyProtection="1">
      <protection hidden="1"/>
    </xf>
    <xf numFmtId="0" fontId="4" fillId="3" borderId="11" xfId="0" applyFont="1" applyFill="1" applyBorder="1" applyAlignment="1">
      <alignment horizontal="center" vertical="center"/>
    </xf>
    <xf numFmtId="0" fontId="15" fillId="0" borderId="43" xfId="0" applyFont="1" applyBorder="1" applyAlignment="1">
      <alignment horizontal="left" vertical="center"/>
    </xf>
    <xf numFmtId="0" fontId="6" fillId="3" borderId="14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16" fillId="2" borderId="23" xfId="0" applyFont="1" applyFill="1" applyBorder="1" applyProtection="1"/>
    <xf numFmtId="0" fontId="15" fillId="0" borderId="0" xfId="0" applyFont="1" applyBorder="1" applyProtection="1"/>
    <xf numFmtId="0" fontId="0" fillId="0" borderId="0" xfId="0" applyNumberFormat="1"/>
    <xf numFmtId="0" fontId="14" fillId="0" borderId="0" xfId="0" applyFont="1"/>
    <xf numFmtId="0" fontId="14" fillId="0" borderId="0" xfId="0" applyFont="1" applyBorder="1"/>
    <xf numFmtId="0" fontId="0" fillId="21" borderId="4" xfId="0" applyNumberFormat="1" applyFill="1" applyBorder="1" applyAlignment="1" applyProtection="1">
      <alignment horizontal="right"/>
    </xf>
    <xf numFmtId="0" fontId="0" fillId="0" borderId="22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Border="1"/>
    <xf numFmtId="165" fontId="0" fillId="0" borderId="48" xfId="0" applyNumberFormat="1" applyFont="1" applyFill="1" applyBorder="1" applyProtection="1">
      <protection locked="0"/>
    </xf>
    <xf numFmtId="165" fontId="0" fillId="0" borderId="49" xfId="0" applyNumberFormat="1" applyFont="1" applyFill="1" applyBorder="1" applyProtection="1">
      <protection locked="0"/>
    </xf>
    <xf numFmtId="0" fontId="0" fillId="0" borderId="48" xfId="0" applyFont="1" applyFill="1" applyBorder="1" applyProtection="1">
      <protection locked="0"/>
    </xf>
    <xf numFmtId="0" fontId="0" fillId="0" borderId="49" xfId="0" applyFont="1" applyFill="1" applyBorder="1" applyProtection="1">
      <protection locked="0"/>
    </xf>
    <xf numFmtId="0" fontId="0" fillId="0" borderId="48" xfId="0" applyFont="1" applyFill="1" applyBorder="1" applyAlignment="1" applyProtection="1">
      <alignment vertical="center"/>
      <protection locked="0"/>
    </xf>
    <xf numFmtId="0" fontId="0" fillId="0" borderId="49" xfId="0" applyFont="1" applyFill="1" applyBorder="1" applyAlignment="1" applyProtection="1">
      <alignment vertical="center"/>
      <protection locked="0"/>
    </xf>
    <xf numFmtId="0" fontId="0" fillId="0" borderId="48" xfId="0" applyFont="1" applyFill="1" applyBorder="1" applyAlignment="1" applyProtection="1">
      <alignment horizontal="center" vertical="center"/>
      <protection locked="0"/>
    </xf>
    <xf numFmtId="0" fontId="0" fillId="0" borderId="49" xfId="0" applyFont="1" applyFill="1" applyBorder="1" applyAlignment="1" applyProtection="1">
      <alignment horizontal="center" vertical="center"/>
      <protection locked="0"/>
    </xf>
    <xf numFmtId="0" fontId="30" fillId="0" borderId="59" xfId="0" applyFont="1" applyFill="1" applyBorder="1" applyAlignment="1" applyProtection="1">
      <alignment horizontal="center"/>
      <protection locked="0"/>
    </xf>
    <xf numFmtId="0" fontId="30" fillId="0" borderId="36" xfId="0" applyFont="1" applyFill="1" applyBorder="1" applyAlignment="1" applyProtection="1">
      <alignment horizontal="center"/>
      <protection locked="0"/>
    </xf>
    <xf numFmtId="0" fontId="30" fillId="0" borderId="60" xfId="0" applyFont="1" applyFill="1" applyBorder="1" applyAlignment="1" applyProtection="1">
      <alignment horizontal="center"/>
      <protection locked="0"/>
    </xf>
    <xf numFmtId="0" fontId="0" fillId="0" borderId="61" xfId="0" applyFont="1" applyFill="1" applyBorder="1" applyAlignment="1" applyProtection="1">
      <alignment horizontal="center" vertical="center"/>
      <protection locked="0"/>
    </xf>
    <xf numFmtId="0" fontId="0" fillId="0" borderId="62" xfId="0" applyFont="1" applyFill="1" applyBorder="1" applyAlignment="1" applyProtection="1">
      <alignment horizontal="center" vertical="center"/>
      <protection locked="0"/>
    </xf>
    <xf numFmtId="165" fontId="0" fillId="0" borderId="64" xfId="0" applyNumberFormat="1" applyFont="1" applyFill="1" applyBorder="1" applyProtection="1">
      <protection locked="0"/>
    </xf>
    <xf numFmtId="0" fontId="0" fillId="0" borderId="64" xfId="0" applyFont="1" applyFill="1" applyBorder="1" applyProtection="1">
      <protection locked="0"/>
    </xf>
    <xf numFmtId="0" fontId="0" fillId="0" borderId="64" xfId="0" applyFont="1" applyFill="1" applyBorder="1" applyAlignment="1" applyProtection="1">
      <alignment vertical="center"/>
      <protection locked="0"/>
    </xf>
    <xf numFmtId="0" fontId="0" fillId="0" borderId="64" xfId="0" applyFont="1" applyFill="1" applyBorder="1" applyAlignment="1" applyProtection="1">
      <alignment horizontal="center" vertical="center"/>
      <protection locked="0"/>
    </xf>
    <xf numFmtId="0" fontId="30" fillId="0" borderId="67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/>
    <xf numFmtId="0" fontId="0" fillId="0" borderId="0" xfId="0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/>
    </xf>
    <xf numFmtId="0" fontId="33" fillId="27" borderId="0" xfId="0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/>
    <xf numFmtId="0" fontId="33" fillId="25" borderId="0" xfId="0" applyNumberFormat="1" applyFont="1" applyFill="1" applyBorder="1" applyAlignment="1">
      <alignment horizontal="center" vertical="center"/>
    </xf>
    <xf numFmtId="0" fontId="33" fillId="4" borderId="0" xfId="0" applyNumberFormat="1" applyFont="1" applyFill="1" applyBorder="1" applyAlignment="1">
      <alignment horizontal="center" vertical="center"/>
    </xf>
    <xf numFmtId="0" fontId="33" fillId="20" borderId="0" xfId="0" applyNumberFormat="1" applyFont="1" applyFill="1" applyBorder="1" applyAlignment="1">
      <alignment horizontal="center" vertical="center"/>
    </xf>
    <xf numFmtId="0" fontId="13" fillId="0" borderId="0" xfId="0" applyNumberFormat="1" applyFont="1"/>
    <xf numFmtId="0" fontId="0" fillId="0" borderId="0" xfId="0" applyNumberFormat="1" applyFont="1" applyFill="1" applyBorder="1" applyAlignment="1" applyProtection="1">
      <alignment horizontal="right" vertical="center"/>
    </xf>
    <xf numFmtId="0" fontId="0" fillId="0" borderId="0" xfId="0" applyNumberFormat="1" applyFont="1" applyFill="1" applyBorder="1" applyAlignment="1" applyProtection="1">
      <alignment horizontal="right"/>
    </xf>
    <xf numFmtId="3" fontId="0" fillId="0" borderId="0" xfId="0" applyNumberFormat="1" applyFont="1" applyFill="1" applyBorder="1" applyAlignment="1" applyProtection="1">
      <alignment horizontal="right" vertical="center"/>
    </xf>
    <xf numFmtId="3" fontId="0" fillId="0" borderId="0" xfId="0" applyNumberFormat="1" applyFont="1" applyFill="1" applyBorder="1" applyAlignment="1" applyProtection="1">
      <alignment horizontal="right"/>
    </xf>
    <xf numFmtId="0" fontId="32" fillId="28" borderId="0" xfId="0" applyNumberFormat="1" applyFont="1" applyFill="1" applyBorder="1" applyAlignment="1" applyProtection="1">
      <alignment horizontal="center"/>
    </xf>
    <xf numFmtId="0" fontId="32" fillId="4" borderId="0" xfId="0" applyFont="1" applyFill="1" applyBorder="1" applyAlignment="1" applyProtection="1">
      <alignment horizontal="center"/>
    </xf>
    <xf numFmtId="0" fontId="32" fillId="25" borderId="0" xfId="0" applyNumberFormat="1" applyFont="1" applyFill="1" applyBorder="1" applyAlignment="1" applyProtection="1">
      <alignment horizontal="center"/>
    </xf>
    <xf numFmtId="0" fontId="35" fillId="0" borderId="0" xfId="0" applyNumberFormat="1" applyFont="1"/>
    <xf numFmtId="0" fontId="21" fillId="26" borderId="0" xfId="0" applyNumberFormat="1" applyFont="1" applyFill="1" applyAlignment="1">
      <alignment horizontal="center"/>
    </xf>
    <xf numFmtId="0" fontId="35" fillId="9" borderId="0" xfId="0" applyNumberFormat="1" applyFont="1" applyFill="1" applyAlignment="1">
      <alignment horizontal="center"/>
    </xf>
    <xf numFmtId="0" fontId="35" fillId="10" borderId="0" xfId="0" applyNumberFormat="1" applyFont="1" applyFill="1" applyAlignment="1">
      <alignment horizontal="center"/>
    </xf>
    <xf numFmtId="0" fontId="35" fillId="8" borderId="0" xfId="0" applyNumberFormat="1" applyFont="1" applyFill="1" applyAlignment="1">
      <alignment horizontal="center"/>
    </xf>
    <xf numFmtId="0" fontId="35" fillId="7" borderId="0" xfId="0" applyNumberFormat="1" applyFont="1" applyFill="1" applyAlignment="1">
      <alignment horizontal="center"/>
    </xf>
    <xf numFmtId="0" fontId="35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36" fillId="28" borderId="0" xfId="0" applyNumberFormat="1" applyFont="1" applyFill="1" applyAlignment="1">
      <alignment horizontal="center"/>
    </xf>
    <xf numFmtId="0" fontId="36" fillId="25" borderId="0" xfId="0" applyNumberFormat="1" applyFont="1" applyFill="1" applyAlignment="1">
      <alignment horizontal="center"/>
    </xf>
    <xf numFmtId="0" fontId="36" fillId="4" borderId="0" xfId="0" applyNumberFormat="1" applyFont="1" applyFill="1" applyAlignment="1">
      <alignment horizontal="center"/>
    </xf>
    <xf numFmtId="0" fontId="36" fillId="20" borderId="0" xfId="0" applyNumberFormat="1" applyFont="1" applyFill="1" applyAlignment="1">
      <alignment horizontal="center"/>
    </xf>
    <xf numFmtId="0" fontId="36" fillId="27" borderId="0" xfId="0" applyNumberFormat="1" applyFont="1" applyFill="1" applyAlignment="1">
      <alignment horizontal="center"/>
    </xf>
    <xf numFmtId="0" fontId="21" fillId="16" borderId="0" xfId="0" applyNumberFormat="1" applyFont="1" applyFill="1" applyAlignment="1">
      <alignment horizontal="center"/>
    </xf>
    <xf numFmtId="0" fontId="33" fillId="28" borderId="0" xfId="0" applyNumberFormat="1" applyFont="1" applyFill="1" applyBorder="1" applyAlignment="1">
      <alignment horizontal="center" vertical="center"/>
    </xf>
    <xf numFmtId="0" fontId="32" fillId="27" borderId="0" xfId="0" applyNumberFormat="1" applyFont="1" applyFill="1" applyBorder="1" applyAlignment="1" applyProtection="1">
      <alignment horizontal="center"/>
    </xf>
    <xf numFmtId="0" fontId="32" fillId="20" borderId="0" xfId="0" applyNumberFormat="1" applyFont="1" applyFill="1" applyBorder="1" applyAlignment="1" applyProtection="1">
      <alignment horizontal="center"/>
    </xf>
    <xf numFmtId="0" fontId="18" fillId="0" borderId="16" xfId="0" applyFont="1" applyBorder="1" applyAlignment="1" applyProtection="1">
      <alignment horizontal="center" vertical="center"/>
    </xf>
    <xf numFmtId="0" fontId="30" fillId="0" borderId="4" xfId="0" applyFont="1" applyFill="1" applyBorder="1" applyAlignment="1" applyProtection="1">
      <alignment horizontal="center"/>
      <protection locked="0"/>
    </xf>
    <xf numFmtId="0" fontId="0" fillId="0" borderId="38" xfId="0" applyNumberFormat="1" applyBorder="1" applyAlignment="1">
      <alignment horizontal="center" vertical="center"/>
    </xf>
    <xf numFmtId="0" fontId="40" fillId="0" borderId="0" xfId="0" applyNumberFormat="1" applyFont="1"/>
    <xf numFmtId="0" fontId="40" fillId="0" borderId="0" xfId="0" applyNumberFormat="1" applyFont="1" applyAlignment="1">
      <alignment horizontal="center"/>
    </xf>
    <xf numFmtId="0" fontId="0" fillId="0" borderId="70" xfId="0" applyBorder="1" applyAlignment="1">
      <alignment horizontal="center" vertical="center"/>
    </xf>
    <xf numFmtId="0" fontId="41" fillId="26" borderId="0" xfId="0" applyNumberFormat="1" applyFont="1" applyFill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28" borderId="0" xfId="0" applyNumberFormat="1" applyFont="1" applyFill="1" applyAlignment="1">
      <alignment horizontal="center"/>
    </xf>
    <xf numFmtId="0" fontId="42" fillId="27" borderId="0" xfId="0" applyNumberFormat="1" applyFont="1" applyFill="1" applyAlignment="1">
      <alignment horizontal="center"/>
    </xf>
    <xf numFmtId="0" fontId="43" fillId="0" borderId="0" xfId="0" applyNumberFormat="1" applyFont="1" applyFill="1" applyBorder="1"/>
    <xf numFmtId="0" fontId="44" fillId="28" borderId="0" xfId="0" applyNumberFormat="1" applyFont="1" applyFill="1" applyBorder="1" applyAlignment="1" applyProtection="1">
      <alignment horizontal="center"/>
    </xf>
    <xf numFmtId="0" fontId="44" fillId="27" borderId="0" xfId="0" applyNumberFormat="1" applyFont="1" applyFill="1" applyBorder="1" applyAlignment="1" applyProtection="1">
      <alignment horizontal="center"/>
    </xf>
    <xf numFmtId="0" fontId="45" fillId="28" borderId="0" xfId="0" applyNumberFormat="1" applyFont="1" applyFill="1" applyBorder="1" applyAlignment="1">
      <alignment horizontal="center" vertical="center"/>
    </xf>
    <xf numFmtId="0" fontId="45" fillId="27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49" fillId="0" borderId="0" xfId="0" applyNumberFormat="1" applyFont="1"/>
    <xf numFmtId="0" fontId="49" fillId="0" borderId="0" xfId="0" applyNumberFormat="1" applyFont="1" applyAlignment="1">
      <alignment horizontal="center"/>
    </xf>
    <xf numFmtId="0" fontId="50" fillId="26" borderId="0" xfId="0" applyNumberFormat="1" applyFont="1" applyFill="1" applyAlignment="1">
      <alignment horizontal="center"/>
    </xf>
    <xf numFmtId="0" fontId="50" fillId="0" borderId="0" xfId="0" applyNumberFormat="1" applyFont="1" applyAlignment="1">
      <alignment horizontal="center"/>
    </xf>
    <xf numFmtId="0" fontId="51" fillId="28" borderId="0" xfId="0" applyNumberFormat="1" applyFont="1" applyFill="1" applyAlignment="1">
      <alignment horizontal="center"/>
    </xf>
    <xf numFmtId="0" fontId="51" fillId="27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7" xfId="0" applyBorder="1" applyAlignment="1" applyProtection="1">
      <alignment horizontal="center"/>
    </xf>
    <xf numFmtId="0" fontId="12" fillId="0" borderId="0" xfId="2" applyFont="1" applyProtection="1">
      <protection hidden="1"/>
    </xf>
    <xf numFmtId="166" fontId="0" fillId="0" borderId="0" xfId="0" applyNumberFormat="1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52" fillId="0" borderId="0" xfId="0" applyNumberFormat="1" applyFont="1" applyFill="1" applyBorder="1"/>
    <xf numFmtId="0" fontId="53" fillId="27" borderId="0" xfId="0" applyNumberFormat="1" applyFont="1" applyFill="1" applyBorder="1" applyAlignment="1">
      <alignment horizontal="center" vertical="center"/>
    </xf>
    <xf numFmtId="0" fontId="53" fillId="28" borderId="0" xfId="0" applyNumberFormat="1" applyFont="1" applyFill="1" applyBorder="1" applyAlignment="1">
      <alignment horizontal="center" vertical="center"/>
    </xf>
    <xf numFmtId="0" fontId="54" fillId="28" borderId="0" xfId="0" applyNumberFormat="1" applyFont="1" applyFill="1" applyBorder="1" applyAlignment="1" applyProtection="1">
      <alignment horizontal="center"/>
    </xf>
    <xf numFmtId="0" fontId="54" fillId="27" borderId="0" xfId="0" applyNumberFormat="1" applyFont="1" applyFill="1" applyBorder="1" applyAlignment="1" applyProtection="1">
      <alignment horizontal="center"/>
    </xf>
    <xf numFmtId="0" fontId="15" fillId="0" borderId="15" xfId="0" applyFont="1" applyBorder="1" applyAlignment="1">
      <alignment horizontal="left" vertical="center"/>
    </xf>
    <xf numFmtId="0" fontId="28" fillId="0" borderId="21" xfId="0" applyFont="1" applyBorder="1" applyAlignment="1" applyProtection="1">
      <alignment horizontal="right" vertical="center"/>
      <protection locked="0"/>
    </xf>
    <xf numFmtId="0" fontId="28" fillId="0" borderId="71" xfId="0" applyFont="1" applyBorder="1" applyAlignment="1" applyProtection="1">
      <alignment horizontal="right" vertical="center"/>
      <protection locked="0"/>
    </xf>
    <xf numFmtId="0" fontId="0" fillId="0" borderId="0" xfId="0" applyAlignment="1">
      <alignment horizontal="left"/>
    </xf>
    <xf numFmtId="0" fontId="0" fillId="21" borderId="29" xfId="0" applyFill="1" applyBorder="1" applyProtection="1"/>
    <xf numFmtId="169" fontId="13" fillId="23" borderId="3" xfId="0" applyNumberFormat="1" applyFont="1" applyFill="1" applyBorder="1" applyProtection="1">
      <protection locked="0"/>
    </xf>
    <xf numFmtId="0" fontId="0" fillId="21" borderId="4" xfId="0" applyFill="1" applyBorder="1" applyProtection="1"/>
    <xf numFmtId="165" fontId="0" fillId="0" borderId="72" xfId="0" applyNumberFormat="1" applyFont="1" applyFill="1" applyBorder="1" applyProtection="1">
      <protection locked="0"/>
    </xf>
    <xf numFmtId="165" fontId="0" fillId="0" borderId="73" xfId="0" applyNumberFormat="1" applyFont="1" applyFill="1" applyBorder="1" applyProtection="1">
      <protection locked="0"/>
    </xf>
    <xf numFmtId="165" fontId="0" fillId="0" borderId="36" xfId="0" applyNumberFormat="1" applyFont="1" applyFill="1" applyBorder="1" applyProtection="1">
      <protection locked="0"/>
    </xf>
    <xf numFmtId="165" fontId="0" fillId="0" borderId="74" xfId="0" applyNumberFormat="1" applyFont="1" applyFill="1" applyBorder="1" applyProtection="1">
      <protection locked="0"/>
    </xf>
    <xf numFmtId="165" fontId="0" fillId="0" borderId="75" xfId="0" applyNumberFormat="1" applyFont="1" applyFill="1" applyBorder="1" applyProtection="1">
      <protection locked="0"/>
    </xf>
    <xf numFmtId="165" fontId="0" fillId="0" borderId="61" xfId="0" applyNumberFormat="1" applyFont="1" applyFill="1" applyBorder="1" applyProtection="1">
      <protection locked="0"/>
    </xf>
    <xf numFmtId="165" fontId="0" fillId="0" borderId="62" xfId="0" applyNumberFormat="1" applyFont="1" applyFill="1" applyBorder="1" applyProtection="1">
      <protection locked="0"/>
    </xf>
    <xf numFmtId="0" fontId="55" fillId="0" borderId="0" xfId="0" applyNumberFormat="1" applyFont="1"/>
    <xf numFmtId="0" fontId="55" fillId="0" borderId="24" xfId="0" applyNumberFormat="1" applyFont="1" applyBorder="1"/>
    <xf numFmtId="0" fontId="55" fillId="0" borderId="19" xfId="0" applyNumberFormat="1" applyFont="1" applyBorder="1"/>
    <xf numFmtId="0" fontId="55" fillId="0" borderId="26" xfId="0" applyNumberFormat="1" applyFont="1" applyBorder="1"/>
    <xf numFmtId="0" fontId="55" fillId="0" borderId="25" xfId="0" applyNumberFormat="1" applyFont="1" applyBorder="1"/>
    <xf numFmtId="0" fontId="55" fillId="0" borderId="27" xfId="0" applyNumberFormat="1" applyFont="1" applyBorder="1"/>
    <xf numFmtId="0" fontId="55" fillId="18" borderId="24" xfId="0" applyNumberFormat="1" applyFont="1" applyFill="1" applyBorder="1" applyAlignment="1">
      <alignment horizontal="left" vertical="center"/>
    </xf>
    <xf numFmtId="0" fontId="55" fillId="21" borderId="9" xfId="0" applyNumberFormat="1" applyFont="1" applyFill="1" applyBorder="1" applyAlignment="1" applyProtection="1">
      <alignment horizontal="center" vertical="center"/>
      <protection locked="0"/>
    </xf>
    <xf numFmtId="0" fontId="55" fillId="6" borderId="19" xfId="0" applyNumberFormat="1" applyFont="1" applyFill="1" applyBorder="1" applyAlignment="1">
      <alignment horizontal="right" vertical="center"/>
    </xf>
    <xf numFmtId="0" fontId="55" fillId="19" borderId="10" xfId="0" applyNumberFormat="1" applyFont="1" applyFill="1" applyBorder="1" applyAlignment="1">
      <alignment horizontal="left" vertical="center"/>
    </xf>
    <xf numFmtId="0" fontId="55" fillId="12" borderId="9" xfId="0" applyNumberFormat="1" applyFont="1" applyFill="1" applyBorder="1" applyAlignment="1" applyProtection="1">
      <alignment horizontal="center" vertical="center"/>
      <protection locked="0"/>
    </xf>
    <xf numFmtId="0" fontId="55" fillId="3" borderId="15" xfId="0" applyNumberFormat="1" applyFont="1" applyFill="1" applyBorder="1" applyAlignment="1">
      <alignment horizontal="left"/>
    </xf>
    <xf numFmtId="0" fontId="55" fillId="5" borderId="15" xfId="0" applyNumberFormat="1" applyFont="1" applyFill="1" applyBorder="1" applyAlignment="1">
      <alignment horizontal="right"/>
    </xf>
    <xf numFmtId="0" fontId="55" fillId="18" borderId="16" xfId="0" applyNumberFormat="1" applyFont="1" applyFill="1" applyBorder="1" applyAlignment="1">
      <alignment horizontal="left" vertical="center"/>
    </xf>
    <xf numFmtId="0" fontId="55" fillId="21" borderId="12" xfId="0" applyNumberFormat="1" applyFont="1" applyFill="1" applyBorder="1" applyAlignment="1" applyProtection="1">
      <alignment horizontal="center" vertical="center"/>
      <protection locked="0"/>
    </xf>
    <xf numFmtId="0" fontId="55" fillId="0" borderId="16" xfId="0" applyNumberFormat="1" applyFont="1" applyBorder="1"/>
    <xf numFmtId="0" fontId="55" fillId="0" borderId="30" xfId="0" applyNumberFormat="1" applyFont="1" applyBorder="1"/>
    <xf numFmtId="0" fontId="55" fillId="0" borderId="18" xfId="0" applyNumberFormat="1" applyFont="1" applyBorder="1"/>
    <xf numFmtId="0" fontId="55" fillId="20" borderId="31" xfId="0" applyNumberFormat="1" applyFont="1" applyFill="1" applyBorder="1"/>
    <xf numFmtId="0" fontId="0" fillId="0" borderId="0" xfId="0" applyAlignment="1">
      <alignment horizont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61" xfId="0" applyFill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59" fillId="0" borderId="0" xfId="0" applyFont="1"/>
    <xf numFmtId="0" fontId="0" fillId="0" borderId="0" xfId="0" applyNumberFormat="1" applyFont="1"/>
    <xf numFmtId="0" fontId="0" fillId="3" borderId="17" xfId="0" applyNumberFormat="1" applyFont="1" applyFill="1" applyBorder="1" applyAlignment="1">
      <alignment horizontal="right"/>
    </xf>
    <xf numFmtId="0" fontId="0" fillId="5" borderId="17" xfId="0" applyNumberFormat="1" applyFont="1" applyFill="1" applyBorder="1"/>
    <xf numFmtId="0" fontId="6" fillId="0" borderId="9" xfId="0" applyFont="1" applyFill="1" applyBorder="1" applyAlignment="1" applyProtection="1">
      <alignment horizontal="center"/>
    </xf>
    <xf numFmtId="0" fontId="6" fillId="0" borderId="9" xfId="0" applyNumberFormat="1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  <protection hidden="1"/>
    </xf>
    <xf numFmtId="22" fontId="12" fillId="0" borderId="9" xfId="2" applyNumberFormat="1" applyFont="1" applyFill="1" applyBorder="1" applyProtection="1">
      <protection hidden="1"/>
    </xf>
    <xf numFmtId="0" fontId="12" fillId="0" borderId="9" xfId="2" applyFont="1" applyFill="1" applyBorder="1" applyAlignment="1" applyProtection="1">
      <alignment horizontal="center" vertical="center"/>
      <protection hidden="1"/>
    </xf>
    <xf numFmtId="0" fontId="12" fillId="0" borderId="9" xfId="2" applyFont="1" applyFill="1" applyBorder="1" applyProtection="1">
      <protection hidden="1"/>
    </xf>
    <xf numFmtId="0" fontId="12" fillId="0" borderId="9" xfId="2" applyFont="1" applyFill="1" applyBorder="1" applyAlignment="1" applyProtection="1">
      <alignment horizontal="center"/>
      <protection hidden="1"/>
    </xf>
    <xf numFmtId="0" fontId="12" fillId="0" borderId="9" xfId="2" applyNumberFormat="1" applyFont="1" applyFill="1" applyBorder="1" applyAlignment="1" applyProtection="1">
      <alignment horizontal="center"/>
      <protection hidden="1"/>
    </xf>
    <xf numFmtId="14" fontId="12" fillId="0" borderId="9" xfId="2" applyNumberFormat="1" applyFont="1" applyFill="1" applyBorder="1" applyAlignment="1" applyProtection="1">
      <alignment horizontal="center"/>
      <protection hidden="1"/>
    </xf>
    <xf numFmtId="0" fontId="18" fillId="0" borderId="0" xfId="0" applyNumberFormat="1" applyFont="1" applyProtection="1">
      <protection locked="0"/>
    </xf>
    <xf numFmtId="22" fontId="12" fillId="0" borderId="9" xfId="2" applyNumberFormat="1" applyFont="1" applyFill="1" applyBorder="1" applyAlignment="1" applyProtection="1">
      <alignment horizontal="center"/>
      <protection hidden="1"/>
    </xf>
    <xf numFmtId="169" fontId="0" fillId="0" borderId="76" xfId="0" applyNumberFormat="1" applyFill="1" applyBorder="1" applyProtection="1"/>
    <xf numFmtId="0" fontId="6" fillId="3" borderId="21" xfId="0" applyNumberFormat="1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 applyProtection="1">
      <alignment horizontal="center" vertical="center"/>
    </xf>
    <xf numFmtId="0" fontId="5" fillId="3" borderId="16" xfId="0" applyNumberFormat="1" applyFont="1" applyFill="1" applyBorder="1" applyAlignment="1" applyProtection="1">
      <alignment horizontal="center" vertical="center"/>
    </xf>
    <xf numFmtId="0" fontId="5" fillId="3" borderId="17" xfId="0" applyNumberFormat="1" applyFont="1" applyFill="1" applyBorder="1" applyAlignment="1" applyProtection="1">
      <alignment horizontal="center" vertical="center"/>
    </xf>
    <xf numFmtId="0" fontId="5" fillId="3" borderId="69" xfId="0" applyNumberFormat="1" applyFont="1" applyFill="1" applyBorder="1" applyAlignment="1" applyProtection="1">
      <alignment horizontal="center" vertical="center"/>
    </xf>
    <xf numFmtId="0" fontId="12" fillId="0" borderId="9" xfId="2" applyNumberFormat="1" applyFont="1" applyFill="1" applyBorder="1" applyAlignment="1" applyProtection="1">
      <alignment horizontal="center" vertical="center"/>
      <protection hidden="1"/>
    </xf>
    <xf numFmtId="0" fontId="56" fillId="0" borderId="14" xfId="0" applyNumberFormat="1" applyFont="1" applyBorder="1" applyAlignment="1" applyProtection="1">
      <alignment horizontal="center" vertical="center"/>
    </xf>
    <xf numFmtId="0" fontId="56" fillId="0" borderId="18" xfId="0" applyNumberFormat="1" applyFont="1" applyBorder="1" applyAlignment="1" applyProtection="1">
      <alignment horizontal="center" vertical="center"/>
    </xf>
    <xf numFmtId="0" fontId="56" fillId="0" borderId="31" xfId="0" applyNumberFormat="1" applyFont="1" applyBorder="1" applyAlignment="1" applyProtection="1">
      <alignment horizontal="center" vertical="center"/>
    </xf>
    <xf numFmtId="14" fontId="64" fillId="0" borderId="0" xfId="0" applyNumberFormat="1" applyFont="1"/>
    <xf numFmtId="0" fontId="64" fillId="0" borderId="0" xfId="0" applyFont="1" applyAlignment="1">
      <alignment horizontal="right"/>
    </xf>
    <xf numFmtId="0" fontId="64" fillId="0" borderId="77" xfId="0" applyFont="1" applyBorder="1"/>
    <xf numFmtId="0" fontId="64" fillId="0" borderId="78" xfId="0" applyFont="1" applyBorder="1"/>
    <xf numFmtId="0" fontId="64" fillId="0" borderId="76" xfId="0" applyNumberFormat="1" applyFont="1" applyBorder="1" applyAlignment="1">
      <alignment horizontal="center"/>
    </xf>
    <xf numFmtId="14" fontId="64" fillId="0" borderId="79" xfId="0" applyNumberFormat="1" applyFont="1" applyBorder="1" applyAlignment="1">
      <alignment horizontal="center"/>
    </xf>
    <xf numFmtId="0" fontId="64" fillId="0" borderId="28" xfId="0" applyNumberFormat="1" applyFont="1" applyBorder="1" applyAlignment="1">
      <alignment horizontal="center"/>
    </xf>
    <xf numFmtId="0" fontId="0" fillId="0" borderId="70" xfId="0" applyBorder="1"/>
    <xf numFmtId="0" fontId="0" fillId="0" borderId="80" xfId="0" applyNumberFormat="1" applyFont="1" applyBorder="1"/>
    <xf numFmtId="0" fontId="0" fillId="31" borderId="9" xfId="0" applyFill="1" applyBorder="1" applyAlignment="1">
      <alignment horizontal="center" vertical="center"/>
    </xf>
    <xf numFmtId="0" fontId="21" fillId="16" borderId="9" xfId="0" applyNumberFormat="1" applyFont="1" applyFill="1" applyBorder="1" applyAlignment="1">
      <alignment horizontal="center"/>
    </xf>
    <xf numFmtId="0" fontId="35" fillId="29" borderId="9" xfId="0" applyNumberFormat="1" applyFont="1" applyFill="1" applyBorder="1"/>
    <xf numFmtId="0" fontId="35" fillId="32" borderId="9" xfId="0" applyNumberFormat="1" applyFont="1" applyFill="1" applyBorder="1"/>
    <xf numFmtId="0" fontId="65" fillId="3" borderId="9" xfId="0" applyFont="1" applyFill="1" applyBorder="1"/>
    <xf numFmtId="0" fontId="35" fillId="29" borderId="81" xfId="0" applyNumberFormat="1" applyFont="1" applyFill="1" applyBorder="1"/>
    <xf numFmtId="0" fontId="21" fillId="16" borderId="81" xfId="0" applyNumberFormat="1" applyFont="1" applyFill="1" applyBorder="1" applyAlignment="1">
      <alignment horizontal="center"/>
    </xf>
    <xf numFmtId="0" fontId="65" fillId="3" borderId="81" xfId="0" applyFont="1" applyFill="1" applyBorder="1"/>
    <xf numFmtId="0" fontId="0" fillId="31" borderId="81" xfId="0" applyFill="1" applyBorder="1" applyAlignment="1">
      <alignment horizontal="center" vertical="center"/>
    </xf>
    <xf numFmtId="0" fontId="36" fillId="33" borderId="9" xfId="0" applyNumberFormat="1" applyFont="1" applyFill="1" applyBorder="1" applyAlignment="1">
      <alignment horizontal="center"/>
    </xf>
    <xf numFmtId="0" fontId="18" fillId="32" borderId="9" xfId="0" applyFont="1" applyFill="1" applyBorder="1" applyProtection="1">
      <protection locked="0"/>
    </xf>
    <xf numFmtId="0" fontId="18" fillId="29" borderId="9" xfId="0" applyFont="1" applyFill="1" applyBorder="1" applyProtection="1">
      <protection locked="0"/>
    </xf>
    <xf numFmtId="0" fontId="18" fillId="29" borderId="81" xfId="0" applyFont="1" applyFill="1" applyBorder="1" applyProtection="1">
      <protection locked="0"/>
    </xf>
    <xf numFmtId="165" fontId="0" fillId="32" borderId="2" xfId="0" applyNumberFormat="1" applyFont="1" applyFill="1" applyBorder="1" applyProtection="1">
      <protection locked="0"/>
    </xf>
    <xf numFmtId="165" fontId="0" fillId="29" borderId="2" xfId="0" applyNumberFormat="1" applyFont="1" applyFill="1" applyBorder="1" applyProtection="1">
      <protection locked="0"/>
    </xf>
    <xf numFmtId="0" fontId="0" fillId="31" borderId="22" xfId="0" applyFill="1" applyBorder="1" applyAlignment="1">
      <alignment horizontal="center" vertical="center"/>
    </xf>
    <xf numFmtId="0" fontId="21" fillId="16" borderId="38" xfId="0" applyNumberFormat="1" applyFont="1" applyFill="1" applyBorder="1" applyAlignment="1">
      <alignment horizontal="center"/>
    </xf>
    <xf numFmtId="0" fontId="0" fillId="31" borderId="78" xfId="0" applyFill="1" applyBorder="1" applyAlignment="1">
      <alignment horizontal="center" vertical="center"/>
    </xf>
    <xf numFmtId="0" fontId="36" fillId="33" borderId="81" xfId="0" applyNumberFormat="1" applyFont="1" applyFill="1" applyBorder="1" applyAlignment="1">
      <alignment horizontal="center"/>
    </xf>
    <xf numFmtId="0" fontId="21" fillId="16" borderId="77" xfId="0" applyNumberFormat="1" applyFont="1" applyFill="1" applyBorder="1" applyAlignment="1">
      <alignment horizontal="center"/>
    </xf>
    <xf numFmtId="0" fontId="0" fillId="21" borderId="4" xfId="0" applyNumberFormat="1" applyFill="1" applyBorder="1" applyProtection="1"/>
    <xf numFmtId="0" fontId="14" fillId="0" borderId="0" xfId="0" applyNumberFormat="1" applyFont="1"/>
    <xf numFmtId="19" fontId="12" fillId="0" borderId="9" xfId="2" applyNumberFormat="1" applyFont="1" applyFill="1" applyBorder="1" applyAlignment="1" applyProtection="1">
      <alignment horizontal="center" vertical="center"/>
      <protection hidden="1"/>
    </xf>
    <xf numFmtId="22" fontId="12" fillId="0" borderId="38" xfId="2" applyNumberFormat="1" applyFont="1" applyFill="1" applyBorder="1" applyAlignment="1" applyProtection="1">
      <alignment horizontal="center" vertical="center"/>
      <protection hidden="1"/>
    </xf>
    <xf numFmtId="22" fontId="12" fillId="0" borderId="70" xfId="2" applyNumberFormat="1" applyFont="1" applyFill="1" applyBorder="1" applyAlignment="1" applyProtection="1">
      <alignment horizontal="center" vertical="center"/>
      <protection hidden="1"/>
    </xf>
    <xf numFmtId="22" fontId="12" fillId="0" borderId="22" xfId="2" applyNumberFormat="1" applyFont="1" applyFill="1" applyBorder="1" applyAlignment="1" applyProtection="1">
      <alignment horizontal="center" vertical="center"/>
      <protection hidden="1"/>
    </xf>
    <xf numFmtId="0" fontId="35" fillId="35" borderId="0" xfId="0" applyNumberFormat="1" applyFont="1" applyFill="1"/>
    <xf numFmtId="0" fontId="35" fillId="36" borderId="0" xfId="0" applyNumberFormat="1" applyFont="1" applyFill="1"/>
    <xf numFmtId="0" fontId="35" fillId="5" borderId="0" xfId="0" applyNumberFormat="1" applyFont="1" applyFill="1" applyAlignment="1">
      <alignment horizontal="center"/>
    </xf>
    <xf numFmtId="0" fontId="66" fillId="5" borderId="0" xfId="0" applyNumberFormat="1" applyFont="1" applyFill="1" applyAlignment="1">
      <alignment horizontal="center"/>
    </xf>
    <xf numFmtId="0" fontId="66" fillId="0" borderId="0" xfId="0" applyNumberFormat="1" applyFont="1" applyAlignment="1">
      <alignment horizontal="center"/>
    </xf>
    <xf numFmtId="0" fontId="35" fillId="35" borderId="0" xfId="0" applyNumberFormat="1" applyFont="1" applyFill="1" applyProtection="1">
      <protection locked="0"/>
    </xf>
    <xf numFmtId="0" fontId="0" fillId="0" borderId="0" xfId="0" applyNumberFormat="1" applyFont="1" applyBorder="1"/>
    <xf numFmtId="165" fontId="0" fillId="35" borderId="2" xfId="0" applyNumberFormat="1" applyFont="1" applyFill="1" applyBorder="1" applyProtection="1">
      <protection locked="0"/>
    </xf>
    <xf numFmtId="165" fontId="0" fillId="36" borderId="2" xfId="0" applyNumberFormat="1" applyFont="1" applyFill="1" applyBorder="1" applyProtection="1">
      <protection locked="0"/>
    </xf>
    <xf numFmtId="0" fontId="35" fillId="36" borderId="0" xfId="0" applyNumberFormat="1" applyFont="1" applyFill="1" applyProtection="1">
      <protection locked="0"/>
    </xf>
    <xf numFmtId="0" fontId="36" fillId="37" borderId="9" xfId="0" applyNumberFormat="1" applyFont="1" applyFill="1" applyBorder="1" applyAlignment="1">
      <alignment horizontal="center"/>
    </xf>
    <xf numFmtId="0" fontId="36" fillId="37" borderId="81" xfId="0" applyNumberFormat="1" applyFont="1" applyFill="1" applyBorder="1" applyAlignment="1">
      <alignment horizontal="center"/>
    </xf>
    <xf numFmtId="0" fontId="55" fillId="0" borderId="22" xfId="0" applyFont="1" applyBorder="1" applyAlignment="1">
      <alignment horizontal="center" vertical="center"/>
    </xf>
    <xf numFmtId="0" fontId="67" fillId="18" borderId="83" xfId="0" applyNumberFormat="1" applyFont="1" applyFill="1" applyBorder="1"/>
    <xf numFmtId="0" fontId="67" fillId="39" borderId="42" xfId="0" applyNumberFormat="1" applyFont="1" applyFill="1" applyBorder="1"/>
    <xf numFmtId="0" fontId="67" fillId="18" borderId="42" xfId="0" applyNumberFormat="1" applyFont="1" applyFill="1" applyBorder="1"/>
    <xf numFmtId="0" fontId="67" fillId="39" borderId="84" xfId="0" applyNumberFormat="1" applyFont="1" applyFill="1" applyBorder="1"/>
    <xf numFmtId="0" fontId="68" fillId="38" borderId="28" xfId="0" applyNumberFormat="1" applyFont="1" applyFill="1" applyBorder="1" applyAlignment="1">
      <alignment horizontal="center"/>
    </xf>
    <xf numFmtId="0" fontId="68" fillId="38" borderId="38" xfId="0" applyNumberFormat="1" applyFont="1" applyFill="1" applyBorder="1" applyAlignment="1">
      <alignment horizontal="center"/>
    </xf>
    <xf numFmtId="0" fontId="21" fillId="16" borderId="85" xfId="0" applyNumberFormat="1" applyFont="1" applyFill="1" applyBorder="1" applyAlignment="1">
      <alignment horizontal="center"/>
    </xf>
    <xf numFmtId="0" fontId="21" fillId="16" borderId="86" xfId="0" applyNumberFormat="1" applyFont="1" applyFill="1" applyBorder="1" applyAlignment="1">
      <alignment horizontal="center"/>
    </xf>
    <xf numFmtId="0" fontId="21" fillId="16" borderId="87" xfId="0" applyNumberFormat="1" applyFont="1" applyFill="1" applyBorder="1" applyAlignment="1">
      <alignment horizontal="center"/>
    </xf>
    <xf numFmtId="0" fontId="55" fillId="19" borderId="88" xfId="0" applyNumberFormat="1" applyFont="1" applyFill="1" applyBorder="1"/>
    <xf numFmtId="0" fontId="55" fillId="3" borderId="88" xfId="0" applyFont="1" applyFill="1" applyBorder="1"/>
    <xf numFmtId="0" fontId="55" fillId="3" borderId="89" xfId="0" applyFont="1" applyFill="1" applyBorder="1"/>
    <xf numFmtId="0" fontId="0" fillId="0" borderId="13" xfId="0" applyBorder="1" applyAlignment="1">
      <alignment horizontal="center"/>
    </xf>
    <xf numFmtId="0" fontId="0" fillId="0" borderId="90" xfId="0" applyBorder="1" applyAlignment="1">
      <alignment horizontal="center"/>
    </xf>
    <xf numFmtId="0" fontId="55" fillId="18" borderId="23" xfId="0" applyFont="1" applyFill="1" applyBorder="1" applyProtection="1">
      <protection locked="0"/>
    </xf>
    <xf numFmtId="0" fontId="55" fillId="18" borderId="20" xfId="0" applyFont="1" applyFill="1" applyBorder="1" applyProtection="1">
      <protection locked="0"/>
    </xf>
    <xf numFmtId="0" fontId="55" fillId="18" borderId="28" xfId="0" applyFont="1" applyFill="1" applyBorder="1" applyProtection="1">
      <protection locked="0"/>
    </xf>
    <xf numFmtId="0" fontId="55" fillId="39" borderId="1" xfId="0" applyFont="1" applyFill="1" applyBorder="1" applyProtection="1">
      <protection locked="0"/>
    </xf>
    <xf numFmtId="0" fontId="55" fillId="39" borderId="9" xfId="0" applyFont="1" applyFill="1" applyBorder="1" applyProtection="1">
      <protection locked="0"/>
    </xf>
    <xf numFmtId="0" fontId="55" fillId="39" borderId="38" xfId="0" applyFont="1" applyFill="1" applyBorder="1" applyProtection="1">
      <protection locked="0"/>
    </xf>
    <xf numFmtId="0" fontId="55" fillId="18" borderId="1" xfId="0" applyFont="1" applyFill="1" applyBorder="1" applyProtection="1">
      <protection locked="0"/>
    </xf>
    <xf numFmtId="0" fontId="55" fillId="18" borderId="9" xfId="0" applyFont="1" applyFill="1" applyBorder="1" applyProtection="1">
      <protection locked="0"/>
    </xf>
    <xf numFmtId="0" fontId="55" fillId="18" borderId="38" xfId="0" applyFont="1" applyFill="1" applyBorder="1" applyProtection="1">
      <protection locked="0"/>
    </xf>
    <xf numFmtId="0" fontId="55" fillId="39" borderId="6" xfId="0" applyFont="1" applyFill="1" applyBorder="1" applyProtection="1">
      <protection locked="0"/>
    </xf>
    <xf numFmtId="0" fontId="55" fillId="39" borderId="81" xfId="0" applyFont="1" applyFill="1" applyBorder="1" applyProtection="1">
      <protection locked="0"/>
    </xf>
    <xf numFmtId="0" fontId="55" fillId="39" borderId="77" xfId="0" applyFont="1" applyFill="1" applyBorder="1" applyProtection="1">
      <protection locked="0"/>
    </xf>
    <xf numFmtId="0" fontId="55" fillId="0" borderId="22" xfId="0" applyFont="1" applyBorder="1" applyAlignment="1" applyProtection="1">
      <alignment horizontal="center" vertical="center"/>
    </xf>
    <xf numFmtId="0" fontId="67" fillId="18" borderId="83" xfId="0" applyNumberFormat="1" applyFont="1" applyFill="1" applyBorder="1" applyProtection="1"/>
    <xf numFmtId="0" fontId="68" fillId="38" borderId="28" xfId="0" applyNumberFormat="1" applyFont="1" applyFill="1" applyBorder="1" applyAlignment="1" applyProtection="1">
      <alignment horizontal="center"/>
    </xf>
    <xf numFmtId="0" fontId="21" fillId="16" borderId="85" xfId="0" applyNumberFormat="1" applyFont="1" applyFill="1" applyBorder="1" applyAlignment="1" applyProtection="1">
      <alignment horizontal="center"/>
    </xf>
    <xf numFmtId="0" fontId="65" fillId="3" borderId="22" xfId="0" applyFont="1" applyFill="1" applyBorder="1" applyProtection="1"/>
    <xf numFmtId="0" fontId="65" fillId="3" borderId="9" xfId="0" applyFont="1" applyFill="1" applyBorder="1" applyProtection="1"/>
    <xf numFmtId="0" fontId="67" fillId="39" borderId="42" xfId="0" applyNumberFormat="1" applyFont="1" applyFill="1" applyBorder="1" applyProtection="1"/>
    <xf numFmtId="0" fontId="68" fillId="38" borderId="38" xfId="0" applyNumberFormat="1" applyFont="1" applyFill="1" applyBorder="1" applyAlignment="1" applyProtection="1">
      <alignment horizontal="center"/>
    </xf>
    <xf numFmtId="0" fontId="21" fillId="16" borderId="86" xfId="0" applyNumberFormat="1" applyFont="1" applyFill="1" applyBorder="1" applyAlignment="1" applyProtection="1">
      <alignment horizontal="center"/>
    </xf>
    <xf numFmtId="0" fontId="67" fillId="18" borderId="42" xfId="0" applyNumberFormat="1" applyFont="1" applyFill="1" applyBorder="1" applyProtection="1"/>
    <xf numFmtId="0" fontId="67" fillId="39" borderId="84" xfId="0" applyNumberFormat="1" applyFont="1" applyFill="1" applyBorder="1" applyProtection="1"/>
    <xf numFmtId="0" fontId="21" fillId="16" borderId="87" xfId="0" applyNumberFormat="1" applyFont="1" applyFill="1" applyBorder="1" applyAlignment="1" applyProtection="1">
      <alignment horizontal="center"/>
    </xf>
    <xf numFmtId="0" fontId="14" fillId="0" borderId="0" xfId="0" applyNumberFormat="1" applyFont="1" applyAlignment="1">
      <alignment horizontal="center"/>
    </xf>
    <xf numFmtId="0" fontId="37" fillId="0" borderId="0" xfId="0" applyFont="1" applyProtection="1"/>
    <xf numFmtId="0" fontId="37" fillId="0" borderId="0" xfId="0" applyFont="1" applyAlignment="1" applyProtection="1">
      <alignment vertical="center"/>
    </xf>
    <xf numFmtId="0" fontId="7" fillId="3" borderId="13" xfId="0" applyFont="1" applyFill="1" applyBorder="1" applyAlignment="1" applyProtection="1">
      <alignment horizontal="center" vertical="center"/>
    </xf>
    <xf numFmtId="0" fontId="9" fillId="3" borderId="19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/>
    <xf numFmtId="16" fontId="6" fillId="11" borderId="55" xfId="0" applyNumberFormat="1" applyFont="1" applyFill="1" applyBorder="1" applyAlignment="1" applyProtection="1">
      <alignment horizontal="center" vertical="center"/>
    </xf>
    <xf numFmtId="16" fontId="6" fillId="3" borderId="20" xfId="0" applyNumberFormat="1" applyFont="1" applyFill="1" applyBorder="1" applyAlignment="1" applyProtection="1">
      <alignment horizontal="center" vertical="center"/>
    </xf>
    <xf numFmtId="0" fontId="15" fillId="0" borderId="0" xfId="0" applyFont="1" applyProtection="1"/>
    <xf numFmtId="0" fontId="28" fillId="0" borderId="0" xfId="0" applyFont="1" applyProtection="1"/>
    <xf numFmtId="0" fontId="2" fillId="3" borderId="11" xfId="0" applyNumberFormat="1" applyFont="1" applyFill="1" applyBorder="1" applyAlignment="1" applyProtection="1">
      <alignment vertical="center"/>
    </xf>
    <xf numFmtId="0" fontId="2" fillId="3" borderId="19" xfId="0" applyNumberFormat="1" applyFont="1" applyFill="1" applyBorder="1" applyAlignment="1" applyProtection="1">
      <alignment vertical="center"/>
    </xf>
    <xf numFmtId="0" fontId="46" fillId="0" borderId="0" xfId="0" applyFont="1" applyBorder="1" applyAlignment="1" applyProtection="1">
      <alignment vertical="center"/>
    </xf>
    <xf numFmtId="0" fontId="58" fillId="0" borderId="0" xfId="0" applyFont="1" applyBorder="1" applyAlignment="1" applyProtection="1">
      <alignment vertical="center"/>
    </xf>
    <xf numFmtId="0" fontId="2" fillId="3" borderId="39" xfId="0" applyNumberFormat="1" applyFont="1" applyFill="1" applyBorder="1" applyAlignment="1" applyProtection="1">
      <alignment vertical="center"/>
    </xf>
    <xf numFmtId="0" fontId="2" fillId="3" borderId="40" xfId="0" applyNumberFormat="1" applyFont="1" applyFill="1" applyBorder="1" applyAlignment="1" applyProtection="1">
      <alignment vertical="center"/>
    </xf>
    <xf numFmtId="0" fontId="23" fillId="0" borderId="10" xfId="0" applyFont="1" applyBorder="1" applyAlignment="1" applyProtection="1">
      <alignment vertical="center"/>
    </xf>
    <xf numFmtId="0" fontId="23" fillId="0" borderId="0" xfId="0" applyFont="1" applyBorder="1" applyAlignment="1" applyProtection="1">
      <alignment vertical="center"/>
    </xf>
    <xf numFmtId="167" fontId="15" fillId="0" borderId="0" xfId="0" applyNumberFormat="1" applyFont="1" applyProtection="1"/>
    <xf numFmtId="0" fontId="2" fillId="3" borderId="11" xfId="0" applyFont="1" applyFill="1" applyBorder="1" applyAlignment="1" applyProtection="1">
      <alignment vertical="center"/>
    </xf>
    <xf numFmtId="0" fontId="37" fillId="0" borderId="0" xfId="0" applyFont="1" applyAlignment="1" applyProtection="1">
      <alignment horizontal="right" vertical="center"/>
    </xf>
    <xf numFmtId="0" fontId="0" fillId="0" borderId="52" xfId="0" applyNumberFormat="1" applyFont="1" applyFill="1" applyBorder="1" applyProtection="1"/>
    <xf numFmtId="0" fontId="20" fillId="24" borderId="66" xfId="0" applyNumberFormat="1" applyFont="1" applyFill="1" applyBorder="1" applyAlignment="1" applyProtection="1">
      <alignment horizontal="right" vertical="center"/>
    </xf>
    <xf numFmtId="164" fontId="13" fillId="3" borderId="65" xfId="4" applyFont="1" applyFill="1" applyBorder="1" applyAlignment="1" applyProtection="1"/>
    <xf numFmtId="0" fontId="0" fillId="0" borderId="24" xfId="0" applyFont="1" applyFill="1" applyBorder="1" applyAlignment="1" applyProtection="1">
      <alignment horizontal="center"/>
    </xf>
    <xf numFmtId="0" fontId="0" fillId="0" borderId="11" xfId="0" applyFont="1" applyFill="1" applyBorder="1" applyAlignment="1" applyProtection="1">
      <alignment horizontal="center"/>
    </xf>
    <xf numFmtId="0" fontId="0" fillId="0" borderId="19" xfId="0" applyFont="1" applyFill="1" applyBorder="1" applyAlignment="1" applyProtection="1">
      <alignment horizontal="center"/>
    </xf>
    <xf numFmtId="168" fontId="31" fillId="3" borderId="58" xfId="4" applyNumberFormat="1" applyFont="1" applyFill="1" applyBorder="1" applyAlignment="1" applyProtection="1">
      <alignment horizontal="center" vertical="center"/>
    </xf>
    <xf numFmtId="168" fontId="0" fillId="3" borderId="0" xfId="4" applyNumberFormat="1" applyFont="1" applyFill="1" applyBorder="1" applyAlignment="1" applyProtection="1">
      <alignment horizontal="center" vertical="center"/>
    </xf>
    <xf numFmtId="164" fontId="13" fillId="3" borderId="47" xfId="4" applyFont="1" applyFill="1" applyBorder="1" applyAlignment="1" applyProtection="1"/>
    <xf numFmtId="0" fontId="0" fillId="0" borderId="10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36" xfId="0" applyFont="1" applyFill="1" applyBorder="1" applyAlignment="1" applyProtection="1">
      <alignment horizontal="center"/>
    </xf>
    <xf numFmtId="168" fontId="13" fillId="3" borderId="0" xfId="4" applyNumberFormat="1" applyFont="1" applyFill="1" applyBorder="1" applyAlignment="1" applyProtection="1">
      <alignment horizontal="center" vertical="center"/>
    </xf>
    <xf numFmtId="168" fontId="13" fillId="3" borderId="46" xfId="4" applyNumberFormat="1" applyFont="1" applyFill="1" applyBorder="1" applyAlignment="1" applyProtection="1">
      <alignment horizontal="center" vertical="center"/>
    </xf>
    <xf numFmtId="0" fontId="37" fillId="0" borderId="46" xfId="0" applyFont="1" applyBorder="1" applyProtection="1"/>
    <xf numFmtId="0" fontId="15" fillId="0" borderId="46" xfId="0" applyFont="1" applyBorder="1" applyProtection="1"/>
    <xf numFmtId="168" fontId="14" fillId="3" borderId="0" xfId="4" applyNumberFormat="1" applyFont="1" applyFill="1" applyBorder="1" applyAlignment="1" applyProtection="1">
      <alignment horizontal="center" vertical="center"/>
    </xf>
    <xf numFmtId="164" fontId="38" fillId="3" borderId="46" xfId="4" applyFont="1" applyFill="1" applyBorder="1" applyAlignment="1" applyProtection="1"/>
    <xf numFmtId="0" fontId="47" fillId="0" borderId="52" xfId="0" applyNumberFormat="1" applyFont="1" applyFill="1" applyBorder="1" applyProtection="1"/>
    <xf numFmtId="164" fontId="48" fillId="3" borderId="46" xfId="4" applyFont="1" applyFill="1" applyBorder="1" applyAlignment="1" applyProtection="1"/>
    <xf numFmtId="0" fontId="0" fillId="0" borderId="44" xfId="0" applyFont="1" applyFill="1" applyBorder="1" applyAlignment="1" applyProtection="1">
      <alignment horizontal="center"/>
    </xf>
    <xf numFmtId="0" fontId="0" fillId="0" borderId="39" xfId="0" applyFont="1" applyFill="1" applyBorder="1" applyAlignment="1" applyProtection="1">
      <alignment horizontal="center"/>
    </xf>
    <xf numFmtId="0" fontId="0" fillId="0" borderId="40" xfId="0" applyFont="1" applyFill="1" applyBorder="1" applyAlignment="1" applyProtection="1">
      <alignment horizontal="center"/>
    </xf>
    <xf numFmtId="168" fontId="31" fillId="3" borderId="46" xfId="4" applyNumberFormat="1" applyFont="1" applyFill="1" applyBorder="1" applyAlignment="1" applyProtection="1">
      <alignment horizontal="center" vertical="center"/>
    </xf>
    <xf numFmtId="0" fontId="20" fillId="25" borderId="28" xfId="0" applyNumberFormat="1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 vertical="center"/>
    </xf>
    <xf numFmtId="0" fontId="0" fillId="0" borderId="50" xfId="0" applyNumberFormat="1" applyFont="1" applyFill="1" applyBorder="1" applyProtection="1"/>
    <xf numFmtId="0" fontId="20" fillId="25" borderId="51" xfId="0" applyNumberFormat="1" applyFont="1" applyFill="1" applyBorder="1" applyAlignment="1" applyProtection="1">
      <alignment horizontal="right"/>
    </xf>
    <xf numFmtId="164" fontId="13" fillId="3" borderId="68" xfId="4" applyFont="1" applyFill="1" applyBorder="1" applyAlignment="1" applyProtection="1"/>
    <xf numFmtId="168" fontId="14" fillId="0" borderId="0" xfId="4" applyNumberFormat="1" applyFont="1" applyFill="1" applyBorder="1" applyAlignment="1" applyProtection="1">
      <alignment horizontal="center" vertical="center"/>
    </xf>
    <xf numFmtId="0" fontId="17" fillId="4" borderId="28" xfId="0" applyNumberFormat="1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vertical="center"/>
    </xf>
    <xf numFmtId="0" fontId="17" fillId="4" borderId="38" xfId="0" applyNumberFormat="1" applyFont="1" applyFill="1" applyBorder="1" applyAlignment="1" applyProtection="1">
      <alignment horizontal="right"/>
    </xf>
    <xf numFmtId="0" fontId="17" fillId="4" borderId="54" xfId="0" applyNumberFormat="1" applyFont="1" applyFill="1" applyBorder="1" applyAlignment="1" applyProtection="1">
      <alignment horizontal="right"/>
    </xf>
    <xf numFmtId="165" fontId="0" fillId="0" borderId="52" xfId="0" applyNumberFormat="1" applyFont="1" applyFill="1" applyBorder="1" applyProtection="1"/>
    <xf numFmtId="0" fontId="20" fillId="20" borderId="63" xfId="0" applyNumberFormat="1" applyFont="1" applyFill="1" applyBorder="1" applyAlignment="1" applyProtection="1">
      <alignment horizontal="right"/>
    </xf>
    <xf numFmtId="2" fontId="0" fillId="0" borderId="0" xfId="0" applyNumberFormat="1" applyFont="1" applyFill="1" applyBorder="1" applyAlignment="1" applyProtection="1">
      <alignment vertical="center"/>
    </xf>
    <xf numFmtId="165" fontId="0" fillId="0" borderId="50" xfId="0" applyNumberFormat="1" applyFont="1" applyFill="1" applyBorder="1" applyProtection="1"/>
    <xf numFmtId="0" fontId="20" fillId="20" borderId="37" xfId="0" applyNumberFormat="1" applyFont="1" applyFill="1" applyBorder="1" applyAlignment="1" applyProtection="1">
      <alignment horizontal="right"/>
    </xf>
    <xf numFmtId="0" fontId="20" fillId="20" borderId="54" xfId="0" applyNumberFormat="1" applyFont="1" applyFill="1" applyBorder="1" applyAlignment="1" applyProtection="1">
      <alignment horizontal="right"/>
    </xf>
    <xf numFmtId="165" fontId="0" fillId="0" borderId="24" xfId="0" applyNumberFormat="1" applyFont="1" applyFill="1" applyBorder="1" applyProtection="1"/>
    <xf numFmtId="0" fontId="20" fillId="14" borderId="17" xfId="0" applyNumberFormat="1" applyFont="1" applyFill="1" applyBorder="1" applyProtection="1"/>
    <xf numFmtId="165" fontId="0" fillId="0" borderId="0" xfId="0" applyNumberFormat="1" applyFont="1" applyFill="1" applyBorder="1" applyProtection="1"/>
    <xf numFmtId="165" fontId="0" fillId="0" borderId="10" xfId="0" applyNumberFormat="1" applyFont="1" applyFill="1" applyBorder="1" applyProtection="1"/>
    <xf numFmtId="0" fontId="20" fillId="14" borderId="8" xfId="0" applyNumberFormat="1" applyFont="1" applyFill="1" applyBorder="1" applyProtection="1"/>
    <xf numFmtId="165" fontId="20" fillId="14" borderId="8" xfId="0" applyNumberFormat="1" applyFont="1" applyFill="1" applyBorder="1" applyProtection="1"/>
    <xf numFmtId="164" fontId="38" fillId="3" borderId="47" xfId="4" applyFont="1" applyFill="1" applyBorder="1" applyAlignment="1" applyProtection="1"/>
    <xf numFmtId="168" fontId="39" fillId="3" borderId="46" xfId="4" applyNumberFormat="1" applyFont="1" applyFill="1" applyBorder="1" applyAlignment="1" applyProtection="1">
      <alignment horizontal="center" vertical="center"/>
    </xf>
    <xf numFmtId="164" fontId="48" fillId="3" borderId="47" xfId="4" applyFont="1" applyFill="1" applyBorder="1" applyAlignment="1" applyProtection="1"/>
    <xf numFmtId="168" fontId="47" fillId="3" borderId="46" xfId="4" applyNumberFormat="1" applyFont="1" applyFill="1" applyBorder="1" applyAlignment="1" applyProtection="1">
      <alignment horizontal="center" vertical="center"/>
    </xf>
    <xf numFmtId="165" fontId="0" fillId="0" borderId="44" xfId="0" applyNumberFormat="1" applyFont="1" applyFill="1" applyBorder="1" applyProtection="1"/>
    <xf numFmtId="165" fontId="0" fillId="32" borderId="82" xfId="0" applyNumberFormat="1" applyFont="1" applyFill="1" applyBorder="1" applyProtection="1"/>
    <xf numFmtId="0" fontId="20" fillId="33" borderId="2" xfId="0" applyNumberFormat="1" applyFont="1" applyFill="1" applyBorder="1" applyProtection="1"/>
    <xf numFmtId="165" fontId="0" fillId="32" borderId="2" xfId="0" applyNumberFormat="1" applyFont="1" applyFill="1" applyBorder="1" applyProtection="1"/>
    <xf numFmtId="165" fontId="0" fillId="32" borderId="8" xfId="0" applyNumberFormat="1" applyFont="1" applyFill="1" applyBorder="1" applyProtection="1"/>
    <xf numFmtId="165" fontId="0" fillId="29" borderId="82" xfId="0" applyNumberFormat="1" applyFont="1" applyFill="1" applyBorder="1" applyProtection="1"/>
    <xf numFmtId="165" fontId="0" fillId="29" borderId="2" xfId="0" applyNumberFormat="1" applyFont="1" applyFill="1" applyBorder="1" applyProtection="1"/>
    <xf numFmtId="165" fontId="0" fillId="29" borderId="8" xfId="0" applyNumberFormat="1" applyFont="1" applyFill="1" applyBorder="1" applyProtection="1"/>
    <xf numFmtId="0" fontId="22" fillId="34" borderId="21" xfId="0" applyFont="1" applyFill="1" applyBorder="1" applyAlignment="1" applyProtection="1"/>
    <xf numFmtId="165" fontId="0" fillId="35" borderId="2" xfId="0" applyNumberFormat="1" applyFont="1" applyFill="1" applyBorder="1" applyProtection="1"/>
    <xf numFmtId="0" fontId="20" fillId="5" borderId="2" xfId="0" applyNumberFormat="1" applyFont="1" applyFill="1" applyBorder="1" applyProtection="1"/>
    <xf numFmtId="165" fontId="0" fillId="36" borderId="2" xfId="0" applyNumberFormat="1" applyFont="1" applyFill="1" applyBorder="1" applyProtection="1"/>
    <xf numFmtId="0" fontId="69" fillId="18" borderId="45" xfId="0" applyNumberFormat="1" applyFont="1" applyFill="1" applyBorder="1" applyProtection="1"/>
    <xf numFmtId="0" fontId="33" fillId="38" borderId="85" xfId="0" applyNumberFormat="1" applyFont="1" applyFill="1" applyBorder="1" applyAlignment="1" applyProtection="1">
      <alignment horizontal="right"/>
    </xf>
    <xf numFmtId="0" fontId="69" fillId="39" borderId="7" xfId="0" applyNumberFormat="1" applyFont="1" applyFill="1" applyBorder="1" applyProtection="1"/>
    <xf numFmtId="0" fontId="69" fillId="18" borderId="7" xfId="0" applyNumberFormat="1" applyFont="1" applyFill="1" applyBorder="1" applyProtection="1"/>
    <xf numFmtId="0" fontId="69" fillId="39" borderId="8" xfId="0" applyNumberFormat="1" applyFont="1" applyFill="1" applyBorder="1" applyProtection="1"/>
    <xf numFmtId="0" fontId="69" fillId="18" borderId="85" xfId="0" applyNumberFormat="1" applyFont="1" applyFill="1" applyBorder="1" applyProtection="1">
      <protection locked="0"/>
    </xf>
    <xf numFmtId="0" fontId="69" fillId="39" borderId="86" xfId="0" applyNumberFormat="1" applyFont="1" applyFill="1" applyBorder="1" applyProtection="1">
      <protection locked="0"/>
    </xf>
    <xf numFmtId="0" fontId="69" fillId="18" borderId="86" xfId="0" applyNumberFormat="1" applyFont="1" applyFill="1" applyBorder="1" applyProtection="1">
      <protection locked="0"/>
    </xf>
    <xf numFmtId="0" fontId="69" fillId="39" borderId="87" xfId="0" applyNumberFormat="1" applyFont="1" applyFill="1" applyBorder="1" applyProtection="1">
      <protection locked="0"/>
    </xf>
    <xf numFmtId="0" fontId="69" fillId="18" borderId="41" xfId="0" applyNumberFormat="1" applyFont="1" applyFill="1" applyBorder="1" applyProtection="1">
      <protection locked="0"/>
    </xf>
    <xf numFmtId="0" fontId="69" fillId="39" borderId="42" xfId="0" applyNumberFormat="1" applyFont="1" applyFill="1" applyBorder="1" applyProtection="1">
      <protection locked="0"/>
    </xf>
    <xf numFmtId="0" fontId="69" fillId="18" borderId="42" xfId="0" applyNumberFormat="1" applyFont="1" applyFill="1" applyBorder="1" applyProtection="1">
      <protection locked="0"/>
    </xf>
    <xf numFmtId="0" fontId="69" fillId="39" borderId="43" xfId="0" applyNumberFormat="1" applyFont="1" applyFill="1" applyBorder="1" applyProtection="1">
      <protection locked="0"/>
    </xf>
    <xf numFmtId="0" fontId="12" fillId="0" borderId="38" xfId="2" applyFont="1" applyFill="1" applyBorder="1" applyAlignment="1" applyProtection="1">
      <alignment horizontal="center" vertical="center"/>
      <protection hidden="1"/>
    </xf>
    <xf numFmtId="0" fontId="12" fillId="0" borderId="70" xfId="2" applyFont="1" applyFill="1" applyBorder="1" applyAlignment="1" applyProtection="1">
      <alignment horizontal="center" vertical="center"/>
      <protection hidden="1"/>
    </xf>
    <xf numFmtId="0" fontId="12" fillId="0" borderId="22" xfId="2" applyFont="1" applyFill="1" applyBorder="1" applyAlignment="1" applyProtection="1">
      <alignment horizontal="center" vertical="center"/>
      <protection hidden="1"/>
    </xf>
    <xf numFmtId="0" fontId="71" fillId="0" borderId="0" xfId="0" applyFont="1" applyProtection="1">
      <protection locked="0"/>
    </xf>
    <xf numFmtId="168" fontId="31" fillId="3" borderId="47" xfId="4" applyNumberFormat="1" applyFont="1" applyFill="1" applyBorder="1" applyAlignment="1" applyProtection="1">
      <alignment horizontal="center" vertical="center"/>
    </xf>
    <xf numFmtId="168" fontId="31" fillId="3" borderId="95" xfId="4" applyNumberFormat="1" applyFont="1" applyFill="1" applyBorder="1" applyAlignment="1" applyProtection="1">
      <alignment horizontal="center" vertical="center"/>
    </xf>
    <xf numFmtId="0" fontId="55" fillId="0" borderId="11" xfId="0" applyNumberFormat="1" applyFont="1" applyBorder="1" applyAlignment="1">
      <alignment horizontal="center"/>
    </xf>
    <xf numFmtId="0" fontId="6" fillId="19" borderId="91" xfId="0" applyFont="1" applyFill="1" applyBorder="1" applyAlignment="1" applyProtection="1">
      <alignment horizontal="center"/>
    </xf>
    <xf numFmtId="0" fontId="6" fillId="19" borderId="92" xfId="0" applyFont="1" applyFill="1" applyBorder="1" applyAlignment="1" applyProtection="1">
      <alignment horizontal="center"/>
    </xf>
    <xf numFmtId="0" fontId="6" fillId="19" borderId="93" xfId="0" applyFont="1" applyFill="1" applyBorder="1" applyAlignment="1" applyProtection="1">
      <alignment horizontal="center"/>
    </xf>
    <xf numFmtId="0" fontId="6" fillId="19" borderId="94" xfId="0" applyFont="1" applyFill="1" applyBorder="1" applyAlignment="1" applyProtection="1">
      <alignment horizontal="center"/>
    </xf>
    <xf numFmtId="0" fontId="22" fillId="34" borderId="17" xfId="0" applyFont="1" applyFill="1" applyBorder="1" applyAlignment="1" applyProtection="1">
      <alignment horizontal="center"/>
    </xf>
    <xf numFmtId="0" fontId="22" fillId="34" borderId="21" xfId="0" applyFont="1" applyFill="1" applyBorder="1" applyAlignment="1" applyProtection="1">
      <alignment horizontal="center"/>
    </xf>
    <xf numFmtId="0" fontId="22" fillId="30" borderId="17" xfId="0" applyFont="1" applyFill="1" applyBorder="1" applyAlignment="1" applyProtection="1">
      <alignment horizontal="center"/>
    </xf>
    <xf numFmtId="0" fontId="22" fillId="30" borderId="21" xfId="0" applyFont="1" applyFill="1" applyBorder="1" applyAlignment="1" applyProtection="1">
      <alignment horizontal="center"/>
    </xf>
    <xf numFmtId="0" fontId="22" fillId="30" borderId="15" xfId="0" applyFont="1" applyFill="1" applyBorder="1" applyAlignment="1" applyProtection="1">
      <alignment horizontal="center"/>
    </xf>
    <xf numFmtId="0" fontId="15" fillId="0" borderId="39" xfId="0" applyFont="1" applyBorder="1" applyAlignment="1" applyProtection="1">
      <alignment horizontal="center"/>
    </xf>
    <xf numFmtId="0" fontId="22" fillId="8" borderId="17" xfId="0" applyFont="1" applyFill="1" applyBorder="1" applyAlignment="1" applyProtection="1">
      <alignment horizontal="center"/>
    </xf>
    <xf numFmtId="0" fontId="22" fillId="8" borderId="21" xfId="0" applyFont="1" applyFill="1" applyBorder="1" applyAlignment="1" applyProtection="1">
      <alignment horizontal="center"/>
    </xf>
    <xf numFmtId="0" fontId="22" fillId="8" borderId="15" xfId="0" applyFont="1" applyFill="1" applyBorder="1" applyAlignment="1" applyProtection="1">
      <alignment horizontal="center"/>
    </xf>
    <xf numFmtId="0" fontId="22" fillId="13" borderId="17" xfId="0" applyFont="1" applyFill="1" applyBorder="1" applyAlignment="1" applyProtection="1">
      <alignment horizontal="center"/>
    </xf>
    <xf numFmtId="0" fontId="22" fillId="13" borderId="21" xfId="0" applyFont="1" applyFill="1" applyBorder="1" applyAlignment="1" applyProtection="1">
      <alignment horizontal="center"/>
    </xf>
    <xf numFmtId="0" fontId="22" fillId="13" borderId="15" xfId="0" applyFont="1" applyFill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/>
    </xf>
    <xf numFmtId="0" fontId="22" fillId="9" borderId="17" xfId="0" applyFont="1" applyFill="1" applyBorder="1" applyAlignment="1" applyProtection="1">
      <alignment horizontal="center"/>
    </xf>
    <xf numFmtId="0" fontId="22" fillId="9" borderId="21" xfId="0" applyFont="1" applyFill="1" applyBorder="1" applyAlignment="1" applyProtection="1">
      <alignment horizontal="center"/>
    </xf>
    <xf numFmtId="0" fontId="22" fillId="9" borderId="15" xfId="0" applyFont="1" applyFill="1" applyBorder="1" applyAlignment="1" applyProtection="1">
      <alignment horizontal="center"/>
    </xf>
    <xf numFmtId="0" fontId="22" fillId="10" borderId="17" xfId="0" applyFont="1" applyFill="1" applyBorder="1" applyAlignment="1" applyProtection="1">
      <alignment horizontal="center"/>
    </xf>
    <xf numFmtId="0" fontId="22" fillId="10" borderId="21" xfId="0" applyFont="1" applyFill="1" applyBorder="1" applyAlignment="1" applyProtection="1">
      <alignment horizontal="center"/>
    </xf>
    <xf numFmtId="0" fontId="22" fillId="10" borderId="15" xfId="0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2" fillId="3" borderId="50" xfId="0" applyNumberFormat="1" applyFont="1" applyFill="1" applyBorder="1" applyAlignment="1" applyProtection="1">
      <alignment horizontal="center" vertical="center" wrapText="1"/>
    </xf>
    <xf numFmtId="0" fontId="2" fillId="3" borderId="56" xfId="0" applyNumberFormat="1" applyFont="1" applyFill="1" applyBorder="1" applyAlignment="1" applyProtection="1">
      <alignment horizontal="center" vertical="center" wrapText="1"/>
    </xf>
    <xf numFmtId="0" fontId="2" fillId="3" borderId="53" xfId="0" applyNumberFormat="1" applyFont="1" applyFill="1" applyBorder="1" applyAlignment="1" applyProtection="1">
      <alignment horizontal="center" vertical="center" wrapText="1"/>
    </xf>
    <xf numFmtId="0" fontId="2" fillId="3" borderId="57" xfId="0" applyNumberFormat="1" applyFont="1" applyFill="1" applyBorder="1" applyAlignment="1" applyProtection="1">
      <alignment horizontal="center" vertical="center" wrapText="1"/>
    </xf>
    <xf numFmtId="0" fontId="3" fillId="0" borderId="44" xfId="0" applyFont="1" applyBorder="1" applyAlignment="1" applyProtection="1">
      <alignment horizontal="center" vertical="center"/>
    </xf>
    <xf numFmtId="0" fontId="3" fillId="0" borderId="39" xfId="0" applyFont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0" fontId="22" fillId="7" borderId="17" xfId="0" applyFont="1" applyFill="1" applyBorder="1" applyAlignment="1" applyProtection="1">
      <alignment horizontal="center"/>
    </xf>
    <xf numFmtId="0" fontId="22" fillId="7" borderId="21" xfId="0" applyFont="1" applyFill="1" applyBorder="1" applyAlignment="1" applyProtection="1">
      <alignment horizontal="center"/>
    </xf>
    <xf numFmtId="0" fontId="22" fillId="7" borderId="15" xfId="0" applyFont="1" applyFill="1" applyBorder="1" applyAlignment="1" applyProtection="1">
      <alignment horizontal="center"/>
    </xf>
    <xf numFmtId="0" fontId="22" fillId="19" borderId="17" xfId="0" applyFont="1" applyFill="1" applyBorder="1" applyAlignment="1">
      <alignment horizontal="center"/>
    </xf>
    <xf numFmtId="0" fontId="22" fillId="19" borderId="21" xfId="0" applyFont="1" applyFill="1" applyBorder="1" applyAlignment="1">
      <alignment horizontal="center"/>
    </xf>
    <xf numFmtId="0" fontId="22" fillId="19" borderId="15" xfId="0" applyFont="1" applyFill="1" applyBorder="1" applyAlignment="1">
      <alignment horizontal="center"/>
    </xf>
    <xf numFmtId="0" fontId="22" fillId="34" borderId="17" xfId="0" applyFont="1" applyFill="1" applyBorder="1" applyAlignment="1">
      <alignment horizontal="center"/>
    </xf>
    <xf numFmtId="0" fontId="22" fillId="34" borderId="21" xfId="0" applyFont="1" applyFill="1" applyBorder="1" applyAlignment="1">
      <alignment horizontal="center"/>
    </xf>
    <xf numFmtId="0" fontId="22" fillId="34" borderId="15" xfId="0" applyFont="1" applyFill="1" applyBorder="1" applyAlignment="1">
      <alignment horizontal="center"/>
    </xf>
    <xf numFmtId="0" fontId="22" fillId="30" borderId="17" xfId="0" applyFont="1" applyFill="1" applyBorder="1" applyAlignment="1">
      <alignment horizontal="center"/>
    </xf>
    <xf numFmtId="0" fontId="22" fillId="30" borderId="21" xfId="0" applyFont="1" applyFill="1" applyBorder="1" applyAlignment="1">
      <alignment horizontal="center"/>
    </xf>
    <xf numFmtId="0" fontId="22" fillId="30" borderId="15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2" fillId="13" borderId="17" xfId="0" applyFont="1" applyFill="1" applyBorder="1" applyAlignment="1">
      <alignment horizontal="center"/>
    </xf>
    <xf numFmtId="0" fontId="22" fillId="13" borderId="21" xfId="0" applyFont="1" applyFill="1" applyBorder="1" applyAlignment="1">
      <alignment horizontal="center"/>
    </xf>
    <xf numFmtId="0" fontId="22" fillId="13" borderId="15" xfId="0" applyFont="1" applyFill="1" applyBorder="1" applyAlignment="1">
      <alignment horizontal="center"/>
    </xf>
    <xf numFmtId="0" fontId="22" fillId="7" borderId="17" xfId="0" applyFont="1" applyFill="1" applyBorder="1" applyAlignment="1">
      <alignment horizontal="center"/>
    </xf>
    <xf numFmtId="0" fontId="22" fillId="7" borderId="21" xfId="0" applyFont="1" applyFill="1" applyBorder="1" applyAlignment="1">
      <alignment horizontal="center"/>
    </xf>
    <xf numFmtId="0" fontId="22" fillId="7" borderId="15" xfId="0" applyFont="1" applyFill="1" applyBorder="1" applyAlignment="1">
      <alignment horizontal="center"/>
    </xf>
    <xf numFmtId="0" fontId="22" fillId="8" borderId="17" xfId="0" applyFont="1" applyFill="1" applyBorder="1" applyAlignment="1">
      <alignment horizontal="center"/>
    </xf>
    <xf numFmtId="0" fontId="60" fillId="8" borderId="21" xfId="0" applyFont="1" applyFill="1" applyBorder="1" applyAlignment="1">
      <alignment horizontal="center"/>
    </xf>
    <xf numFmtId="0" fontId="22" fillId="8" borderId="21" xfId="0" applyFont="1" applyFill="1" applyBorder="1" applyAlignment="1">
      <alignment horizontal="center"/>
    </xf>
    <xf numFmtId="0" fontId="22" fillId="8" borderId="15" xfId="0" applyFont="1" applyFill="1" applyBorder="1" applyAlignment="1">
      <alignment horizontal="center"/>
    </xf>
    <xf numFmtId="0" fontId="22" fillId="9" borderId="17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2" fillId="9" borderId="15" xfId="0" applyFont="1" applyFill="1" applyBorder="1" applyAlignment="1">
      <alignment horizontal="center"/>
    </xf>
    <xf numFmtId="0" fontId="22" fillId="10" borderId="17" xfId="0" applyFont="1" applyFill="1" applyBorder="1" applyAlignment="1">
      <alignment horizontal="center"/>
    </xf>
    <xf numFmtId="0" fontId="22" fillId="10" borderId="21" xfId="0" applyFont="1" applyFill="1" applyBorder="1" applyAlignment="1">
      <alignment horizontal="center"/>
    </xf>
    <xf numFmtId="0" fontId="22" fillId="10" borderId="15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19" borderId="17" xfId="0" applyFont="1" applyFill="1" applyBorder="1" applyAlignment="1" applyProtection="1">
      <alignment horizontal="center"/>
    </xf>
    <xf numFmtId="0" fontId="22" fillId="19" borderId="21" xfId="0" applyFont="1" applyFill="1" applyBorder="1" applyAlignment="1" applyProtection="1">
      <alignment horizontal="center"/>
    </xf>
    <xf numFmtId="0" fontId="22" fillId="19" borderId="19" xfId="0" applyFont="1" applyFill="1" applyBorder="1" applyAlignment="1" applyProtection="1">
      <alignment horizontal="center"/>
    </xf>
    <xf numFmtId="0" fontId="15" fillId="0" borderId="14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167" fontId="15" fillId="0" borderId="14" xfId="0" applyNumberFormat="1" applyFont="1" applyBorder="1" applyAlignment="1">
      <alignment horizontal="center" vertical="center"/>
    </xf>
    <xf numFmtId="167" fontId="15" fillId="0" borderId="31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27" fillId="3" borderId="21" xfId="0" applyFont="1" applyFill="1" applyBorder="1" applyAlignment="1">
      <alignment horizontal="center" vertical="center"/>
    </xf>
    <xf numFmtId="0" fontId="18" fillId="21" borderId="24" xfId="0" applyFont="1" applyFill="1" applyBorder="1" applyAlignment="1" applyProtection="1">
      <alignment horizontal="center" vertical="center"/>
    </xf>
    <xf numFmtId="0" fontId="18" fillId="21" borderId="19" xfId="0" applyFont="1" applyFill="1" applyBorder="1" applyAlignment="1" applyProtection="1">
      <alignment horizontal="center" vertical="center"/>
    </xf>
    <xf numFmtId="0" fontId="18" fillId="21" borderId="44" xfId="0" applyFont="1" applyFill="1" applyBorder="1" applyAlignment="1" applyProtection="1">
      <alignment horizontal="center" vertical="center"/>
    </xf>
    <xf numFmtId="0" fontId="18" fillId="21" borderId="40" xfId="0" applyFont="1" applyFill="1" applyBorder="1" applyAlignment="1" applyProtection="1">
      <alignment horizontal="center" vertical="center"/>
    </xf>
    <xf numFmtId="170" fontId="0" fillId="0" borderId="17" xfId="0" applyNumberFormat="1" applyBorder="1" applyAlignment="1" applyProtection="1">
      <alignment horizontal="center"/>
    </xf>
    <xf numFmtId="170" fontId="0" fillId="0" borderId="21" xfId="0" applyNumberFormat="1" applyBorder="1" applyAlignment="1" applyProtection="1">
      <alignment horizontal="center"/>
    </xf>
    <xf numFmtId="170" fontId="0" fillId="0" borderId="15" xfId="0" applyNumberFormat="1" applyBorder="1" applyAlignment="1" applyProtection="1">
      <alignment horizontal="center"/>
    </xf>
    <xf numFmtId="0" fontId="24" fillId="11" borderId="24" xfId="0" applyFont="1" applyFill="1" applyBorder="1" applyAlignment="1" applyProtection="1">
      <alignment horizontal="center"/>
    </xf>
    <xf numFmtId="0" fontId="24" fillId="11" borderId="19" xfId="0" applyFont="1" applyFill="1" applyBorder="1" applyAlignment="1" applyProtection="1">
      <alignment horizontal="center"/>
    </xf>
    <xf numFmtId="0" fontId="25" fillId="11" borderId="17" xfId="0" applyFont="1" applyFill="1" applyBorder="1" applyAlignment="1" applyProtection="1">
      <alignment horizontal="center"/>
    </xf>
    <xf numFmtId="0" fontId="25" fillId="11" borderId="15" xfId="0" applyFon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42" xfId="0" applyBorder="1" applyAlignment="1" applyProtection="1">
      <alignment horizontal="center"/>
    </xf>
    <xf numFmtId="0" fontId="0" fillId="0" borderId="45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12" fillId="0" borderId="38" xfId="2" applyFont="1" applyFill="1" applyBorder="1" applyAlignment="1" applyProtection="1">
      <alignment horizontal="center" vertical="center"/>
      <protection hidden="1"/>
    </xf>
    <xf numFmtId="0" fontId="12" fillId="0" borderId="70" xfId="2" applyFont="1" applyFill="1" applyBorder="1" applyAlignment="1" applyProtection="1">
      <alignment horizontal="center" vertical="center"/>
      <protection hidden="1"/>
    </xf>
    <xf numFmtId="0" fontId="12" fillId="0" borderId="22" xfId="2" applyFont="1" applyFill="1" applyBorder="1" applyAlignment="1" applyProtection="1">
      <alignment horizontal="center" vertical="center"/>
      <protection hidden="1"/>
    </xf>
    <xf numFmtId="0" fontId="70" fillId="0" borderId="0" xfId="0" applyFont="1" applyAlignment="1">
      <alignment horizontal="center" vertical="center"/>
    </xf>
  </cellXfs>
  <cellStyles count="9">
    <cellStyle name="Normal" xfId="0" builtinId="0"/>
    <cellStyle name="Normal 2" xfId="1"/>
    <cellStyle name="Normal 2 2" xfId="5"/>
    <cellStyle name="Normal 3" xfId="2"/>
    <cellStyle name="Normal 4" xfId="3"/>
    <cellStyle name="Normal 5" xfId="6"/>
    <cellStyle name="Normal 6" xfId="7"/>
    <cellStyle name="Normal 7" xfId="8"/>
    <cellStyle name="Separador de milhares" xfId="4" builtinId="3"/>
  </cellStyles>
  <dxfs count="16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indexed="64"/>
        </right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indexed="64"/>
        </righ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rgb="FF99FFCC"/>
        </patternFill>
      </fill>
    </dxf>
    <dxf>
      <fill>
        <patternFill>
          <bgColor rgb="FFFF7C8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E6B9B8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6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color theme="0"/>
      </font>
      <fill>
        <gradientFill degree="135">
          <stop position="0">
            <color rgb="FFFFC000"/>
          </stop>
          <stop position="1">
            <color rgb="FFD48A06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F0"/>
        </patternFill>
      </fill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633777886288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F2DDDC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E6B9B8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166" formatCode="&quot;R$ &quot;#,##0.00"/>
      <fill>
        <patternFill patternType="solid">
          <fgColor indexed="64"/>
          <bgColor theme="2" tint="-9.9978637043366805E-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rgb="FFC9FFE1"/>
        </patternFill>
      </fill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rgb="FF00863D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rgb="FFC9FFE1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8" tint="0.79998168889431442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</border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/>
      </font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6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6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0.24994659260841701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32BC6A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5DA65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F8D84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 patternType="solid">
          <fgColor auto="1"/>
          <bgColor rgb="FF22673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5999938962981048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8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32BC6A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0.499984740745262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6"/>
        </patternFill>
      </fill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theme="6"/>
        </patternFill>
      </fill>
      <alignment horizontal="center" vertical="bottom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>
          <bgColor rgb="FFF5DA65"/>
        </patternFill>
      </fill>
    </dxf>
    <dxf>
      <font>
        <b val="0"/>
        <i val="0"/>
        <color theme="1"/>
      </font>
      <fill>
        <patternFill>
          <bgColor rgb="FFF8D84E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/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</font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</font>
      <numFmt numFmtId="0" formatCode="General"/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</font>
      <numFmt numFmtId="165" formatCode="0.00;[Red]0.00"/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indexed="64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rgb="FF00863D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5" formatCode="0.00;[Red]0.0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color theme="8" tint="0.79998168889431442"/>
      </font>
      <fill>
        <patternFill>
          <bgColor rgb="FFFF000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8" tint="0.79998168889431442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B7E7C6"/>
        </patternFill>
      </fill>
    </dxf>
    <dxf>
      <fill>
        <patternFill>
          <bgColor rgb="FF8DE3B0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2" defaultTableStyle="TableStyleMedium9" defaultPivotStyle="PivotStyleLight16">
    <tableStyle name="Estilo Carnes" pivot="0" count="4">
      <tableStyleElement type="wholeTable" dxfId="1616"/>
      <tableStyleElement type="lastColumn" dxfId="1615"/>
      <tableStyleElement type="firstRowStripe" dxfId="1614"/>
      <tableStyleElement type="secondRowStripe" dxfId="1613"/>
    </tableStyle>
    <tableStyle name="Estilo Carnes 2" pivot="0" count="4">
      <tableStyleElement type="wholeTable" dxfId="1612"/>
      <tableStyleElement type="lastColumn" dxfId="1611"/>
      <tableStyleElement type="firstRowStripe" dxfId="1610"/>
      <tableStyleElement type="secondRowStripe" dxfId="1609"/>
    </tableStyle>
    <tableStyle name="Estilo de Tabela 1" pivot="0" count="0"/>
    <tableStyle name="Estilo de Tabela 2" pivot="0" count="0"/>
    <tableStyle name="Estilo de Tabela 3" pivot="0" count="0"/>
    <tableStyle name="Estilo de Tabela 4" pivot="0" count="0"/>
    <tableStyle name="Estilo HortFrut" pivot="0" count="4">
      <tableStyleElement type="wholeTable" dxfId="1608"/>
      <tableStyleElement type="lastColumn" dxfId="1607"/>
      <tableStyleElement type="firstRowStripe" dxfId="1606"/>
      <tableStyleElement type="secondRowStripe" dxfId="1605"/>
    </tableStyle>
    <tableStyle name="Estilo HortFrut " pivot="0" count="4">
      <tableStyleElement type="wholeTable" dxfId="1604"/>
      <tableStyleElement type="lastColumn" dxfId="1603"/>
      <tableStyleElement type="firstRowStripe" dxfId="1602"/>
      <tableStyleElement type="secondRowStripe" dxfId="1601"/>
    </tableStyle>
    <tableStyle name="Estilo Laticinios" pivot="0" count="4">
      <tableStyleElement type="wholeTable" dxfId="1600"/>
      <tableStyleElement type="lastColumn" dxfId="1599"/>
      <tableStyleElement type="firstRowStripe" dxfId="1598"/>
      <tableStyleElement type="secondRowStripe" dxfId="1597"/>
    </tableStyle>
    <tableStyle name="Estilo Laticinios 2" pivot="0" count="4">
      <tableStyleElement type="wholeTable" dxfId="1596"/>
      <tableStyleElement type="lastColumn" dxfId="1595"/>
      <tableStyleElement type="firstRowStripe" dxfId="1594"/>
      <tableStyleElement type="secondRowStripe" dxfId="1593"/>
    </tableStyle>
    <tableStyle name="Estilo Mantimentos" pivot="0" count="4">
      <tableStyleElement type="wholeTable" dxfId="1592"/>
      <tableStyleElement type="lastColumn" dxfId="1591"/>
      <tableStyleElement type="firstRowStripe" dxfId="1590"/>
      <tableStyleElement type="secondRowStripe" dxfId="1589"/>
    </tableStyle>
    <tableStyle name="lIMPEZA" pivot="0" count="0"/>
  </tableStyles>
  <colors>
    <mruColors>
      <color rgb="FFCCFFFF"/>
      <color rgb="FF66CCFF"/>
      <color rgb="FFF5DA65"/>
      <color rgb="FFF8DB62"/>
      <color rgb="FF32BC6A"/>
      <color rgb="FFD48A06"/>
      <color rgb="FF22673D"/>
      <color rgb="FFF5D251"/>
      <color rgb="FFF8D84E"/>
      <color rgb="FFB7E7C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stoque M&#237;nimo'!A1"/><Relationship Id="rId2" Type="http://schemas.openxmlformats.org/officeDocument/2006/relationships/hyperlink" Target="#BAIXAS!A1"/><Relationship Id="rId1" Type="http://schemas.openxmlformats.org/officeDocument/2006/relationships/hyperlink" Target="#ESTOQUE!A1"/><Relationship Id="rId6" Type="http://schemas.openxmlformats.org/officeDocument/2006/relationships/image" Target="../media/image1.png"/><Relationship Id="rId5" Type="http://schemas.openxmlformats.org/officeDocument/2006/relationships/hyperlink" Target="#Previs&#227;o!A1"/><Relationship Id="rId4" Type="http://schemas.openxmlformats.org/officeDocument/2006/relationships/hyperlink" Target="#ENTRADA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hyperlink" Target="#Inici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Inici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8</xdr:row>
      <xdr:rowOff>0</xdr:rowOff>
    </xdr:from>
    <xdr:to>
      <xdr:col>8</xdr:col>
      <xdr:colOff>247650</xdr:colOff>
      <xdr:row>11</xdr:row>
      <xdr:rowOff>28575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914400" y="1524000"/>
          <a:ext cx="421005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Estoque</a:t>
          </a:r>
        </a:p>
      </xdr:txBody>
    </xdr:sp>
    <xdr:clientData/>
  </xdr:twoCellAnchor>
  <xdr:twoCellAnchor>
    <xdr:from>
      <xdr:col>1</xdr:col>
      <xdr:colOff>333375</xdr:colOff>
      <xdr:row>12</xdr:row>
      <xdr:rowOff>28575</xdr:rowOff>
    </xdr:from>
    <xdr:to>
      <xdr:col>4</xdr:col>
      <xdr:colOff>523875</xdr:colOff>
      <xdr:row>15</xdr:row>
      <xdr:rowOff>57150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942975" y="2314575"/>
          <a:ext cx="201930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Baixas</a:t>
          </a:r>
        </a:p>
      </xdr:txBody>
    </xdr:sp>
    <xdr:clientData/>
  </xdr:twoCellAnchor>
  <xdr:twoCellAnchor>
    <xdr:from>
      <xdr:col>1</xdr:col>
      <xdr:colOff>342900</xdr:colOff>
      <xdr:row>16</xdr:row>
      <xdr:rowOff>38100</xdr:rowOff>
    </xdr:from>
    <xdr:to>
      <xdr:col>4</xdr:col>
      <xdr:colOff>533400</xdr:colOff>
      <xdr:row>19</xdr:row>
      <xdr:rowOff>66675</xdr:rowOff>
    </xdr:to>
    <xdr:sp macro="" textlink="">
      <xdr:nvSpPr>
        <xdr:cNvPr id="4" name="Retângulo de cantos arredondados 3">
          <a:hlinkClick xmlns:r="http://schemas.openxmlformats.org/officeDocument/2006/relationships" r:id="rId3"/>
        </xdr:cNvPr>
        <xdr:cNvSpPr/>
      </xdr:nvSpPr>
      <xdr:spPr>
        <a:xfrm>
          <a:off x="952500" y="3086100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 b="1"/>
            <a:t>Estoque Mínimo</a:t>
          </a:r>
          <a:endParaRPr lang="pt-BR" sz="2400" b="1"/>
        </a:p>
      </xdr:txBody>
    </xdr:sp>
    <xdr:clientData/>
  </xdr:twoCellAnchor>
  <xdr:twoCellAnchor>
    <xdr:from>
      <xdr:col>1</xdr:col>
      <xdr:colOff>333375</xdr:colOff>
      <xdr:row>20</xdr:row>
      <xdr:rowOff>9525</xdr:rowOff>
    </xdr:from>
    <xdr:to>
      <xdr:col>4</xdr:col>
      <xdr:colOff>523875</xdr:colOff>
      <xdr:row>23</xdr:row>
      <xdr:rowOff>38100</xdr:rowOff>
    </xdr:to>
    <xdr:sp macro="" textlink="">
      <xdr:nvSpPr>
        <xdr:cNvPr id="5" name="Retângulo de cantos arredondados 4"/>
        <xdr:cNvSpPr/>
      </xdr:nvSpPr>
      <xdr:spPr>
        <a:xfrm>
          <a:off x="942975" y="3819525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Lotação</a:t>
          </a:r>
        </a:p>
      </xdr:txBody>
    </xdr:sp>
    <xdr:clientData/>
  </xdr:twoCellAnchor>
  <xdr:twoCellAnchor>
    <xdr:from>
      <xdr:col>5</xdr:col>
      <xdr:colOff>66675</xdr:colOff>
      <xdr:row>12</xdr:row>
      <xdr:rowOff>19050</xdr:rowOff>
    </xdr:from>
    <xdr:to>
      <xdr:col>8</xdr:col>
      <xdr:colOff>257175</xdr:colOff>
      <xdr:row>15</xdr:row>
      <xdr:rowOff>47625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114675" y="2305050"/>
          <a:ext cx="201930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Entradas</a:t>
          </a:r>
        </a:p>
      </xdr:txBody>
    </xdr:sp>
    <xdr:clientData/>
  </xdr:twoCellAnchor>
  <xdr:twoCellAnchor>
    <xdr:from>
      <xdr:col>5</xdr:col>
      <xdr:colOff>76200</xdr:colOff>
      <xdr:row>16</xdr:row>
      <xdr:rowOff>28575</xdr:rowOff>
    </xdr:from>
    <xdr:to>
      <xdr:col>8</xdr:col>
      <xdr:colOff>266700</xdr:colOff>
      <xdr:row>19</xdr:row>
      <xdr:rowOff>57150</xdr:rowOff>
    </xdr:to>
    <xdr:sp macro="" textlink="">
      <xdr:nvSpPr>
        <xdr:cNvPr id="7" name="Retângulo de cantos arredondados 6">
          <a:hlinkClick xmlns:r="http://schemas.openxmlformats.org/officeDocument/2006/relationships" r:id="rId5"/>
        </xdr:cNvPr>
        <xdr:cNvSpPr/>
      </xdr:nvSpPr>
      <xdr:spPr>
        <a:xfrm>
          <a:off x="3124200" y="3076575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Previsão</a:t>
          </a:r>
        </a:p>
      </xdr:txBody>
    </xdr:sp>
    <xdr:clientData/>
  </xdr:twoCellAnchor>
  <xdr:twoCellAnchor>
    <xdr:from>
      <xdr:col>9</xdr:col>
      <xdr:colOff>523875</xdr:colOff>
      <xdr:row>7</xdr:row>
      <xdr:rowOff>66675</xdr:rowOff>
    </xdr:from>
    <xdr:to>
      <xdr:col>12</xdr:col>
      <xdr:colOff>304800</xdr:colOff>
      <xdr:row>7</xdr:row>
      <xdr:rowOff>85725</xdr:rowOff>
    </xdr:to>
    <xdr:cxnSp macro="">
      <xdr:nvCxnSpPr>
        <xdr:cNvPr id="18" name="Conector reto 17"/>
        <xdr:cNvCxnSpPr/>
      </xdr:nvCxnSpPr>
      <xdr:spPr>
        <a:xfrm flipH="1" flipV="1">
          <a:off x="6010275" y="1400175"/>
          <a:ext cx="1609725" cy="19050"/>
        </a:xfrm>
        <a:prstGeom prst="line">
          <a:avLst/>
        </a:prstGeom>
        <a:ln>
          <a:solidFill>
            <a:srgbClr val="00206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5</xdr:row>
      <xdr:rowOff>142874</xdr:rowOff>
    </xdr:from>
    <xdr:to>
      <xdr:col>20</xdr:col>
      <xdr:colOff>9525</xdr:colOff>
      <xdr:row>24</xdr:row>
      <xdr:rowOff>19050</xdr:rowOff>
    </xdr:to>
    <xdr:grpSp>
      <xdr:nvGrpSpPr>
        <xdr:cNvPr id="20" name="Grupo 19"/>
        <xdr:cNvGrpSpPr/>
      </xdr:nvGrpSpPr>
      <xdr:grpSpPr>
        <a:xfrm>
          <a:off x="6029325" y="1095374"/>
          <a:ext cx="6229350" cy="3495676"/>
          <a:chOff x="6029325" y="1095374"/>
          <a:chExt cx="6172200" cy="3495676"/>
        </a:xfrm>
      </xdr:grpSpPr>
      <xdr:sp macro="" textlink="">
        <xdr:nvSpPr>
          <xdr:cNvPr id="8" name="Retângulo 7"/>
          <xdr:cNvSpPr/>
        </xdr:nvSpPr>
        <xdr:spPr>
          <a:xfrm>
            <a:off x="6105525" y="1524000"/>
            <a:ext cx="6096000" cy="3067050"/>
          </a:xfrm>
          <a:prstGeom prst="rect">
            <a:avLst/>
          </a:prstGeom>
          <a:solidFill>
            <a:sysClr val="window" lastClr="FFFFFF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2400" b="1"/>
          </a:p>
        </xdr:txBody>
      </xdr:sp>
      <xdr:sp macro="" textlink="">
        <xdr:nvSpPr>
          <xdr:cNvPr id="10" name="Retângulo 9"/>
          <xdr:cNvSpPr/>
        </xdr:nvSpPr>
        <xdr:spPr>
          <a:xfrm>
            <a:off x="7610475" y="1419225"/>
            <a:ext cx="4514850" cy="95250"/>
          </a:xfrm>
          <a:prstGeom prst="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2400" b="1"/>
          </a:p>
        </xdr:txBody>
      </xdr:sp>
      <xdr:cxnSp macro="">
        <xdr:nvCxnSpPr>
          <xdr:cNvPr id="12" name="Conector reto 11"/>
          <xdr:cNvCxnSpPr/>
        </xdr:nvCxnSpPr>
        <xdr:spPr>
          <a:xfrm>
            <a:off x="6029325" y="1409700"/>
            <a:ext cx="76200" cy="3133725"/>
          </a:xfrm>
          <a:prstGeom prst="line">
            <a:avLst/>
          </a:prstGeom>
          <a:ln>
            <a:solidFill>
              <a:srgbClr val="002060"/>
            </a:solidFill>
          </a:ln>
          <a:effectLst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9" name="Retângulo com Único Canto Aparado e Arredondado 8"/>
          <xdr:cNvSpPr/>
        </xdr:nvSpPr>
        <xdr:spPr>
          <a:xfrm>
            <a:off x="6105525" y="1095374"/>
            <a:ext cx="1495425" cy="428625"/>
          </a:xfrm>
          <a:prstGeom prst="snip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pt-BR" sz="2000" b="1">
                <a:solidFill>
                  <a:sysClr val="windowText" lastClr="000000"/>
                </a:solidFill>
              </a:rPr>
              <a:t>Anotações</a:t>
            </a:r>
            <a:endParaRPr lang="pt-BR" sz="24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oneCellAnchor>
    <xdr:from>
      <xdr:col>0</xdr:col>
      <xdr:colOff>504825</xdr:colOff>
      <xdr:row>0</xdr:row>
      <xdr:rowOff>47625</xdr:rowOff>
    </xdr:from>
    <xdr:ext cx="5991610" cy="725477"/>
    <xdr:sp macro="" textlink="">
      <xdr:nvSpPr>
        <xdr:cNvPr id="22" name="Retângulo 21"/>
        <xdr:cNvSpPr/>
      </xdr:nvSpPr>
      <xdr:spPr>
        <a:xfrm>
          <a:off x="504825" y="47625"/>
          <a:ext cx="5991610" cy="72547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pt-BR" sz="3600" b="1" cap="all" spc="0">
              <a:ln w="0"/>
              <a:gradFill flip="none" rotWithShape="1">
                <a:gsLst>
                  <a:gs pos="0">
                    <a:srgbClr val="000000"/>
                  </a:gs>
                  <a:gs pos="39999">
                    <a:srgbClr val="0A128C"/>
                  </a:gs>
                  <a:gs pos="70000">
                    <a:srgbClr val="181CC7"/>
                  </a:gs>
                  <a:gs pos="88000">
                    <a:srgbClr val="7005D4"/>
                  </a:gs>
                  <a:gs pos="100000">
                    <a:srgbClr val="8C3D91"/>
                  </a:gs>
                </a:gsLst>
                <a:lin ang="18900000" scaled="1"/>
                <a:tileRect/>
              </a:gradFill>
              <a:effectLst/>
            </a:rPr>
            <a:t>Controle</a:t>
          </a:r>
          <a:r>
            <a:rPr lang="pt-BR" sz="3600" b="1" cap="all" spc="0" baseline="0">
              <a:ln w="0"/>
              <a:gradFill flip="none" rotWithShape="1">
                <a:gsLst>
                  <a:gs pos="0">
                    <a:srgbClr val="000000"/>
                  </a:gs>
                  <a:gs pos="39999">
                    <a:srgbClr val="0A128C"/>
                  </a:gs>
                  <a:gs pos="70000">
                    <a:srgbClr val="181CC7"/>
                  </a:gs>
                  <a:gs pos="88000">
                    <a:srgbClr val="7005D4"/>
                  </a:gs>
                  <a:gs pos="100000">
                    <a:srgbClr val="8C3D91"/>
                  </a:gs>
                </a:gsLst>
                <a:lin ang="18900000" scaled="1"/>
                <a:tileRect/>
              </a:gradFill>
              <a:effectLst/>
            </a:rPr>
            <a:t> de estoque</a:t>
          </a:r>
          <a:endParaRPr lang="pt-BR" sz="3600" b="1" cap="all" spc="0">
            <a:ln w="0"/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18900000" scaled="1"/>
              <a:tileRect/>
            </a:gradFill>
            <a:effectLst/>
          </a:endParaRPr>
        </a:p>
      </xdr:txBody>
    </xdr:sp>
    <xdr:clientData/>
  </xdr:oneCellAnchor>
  <xdr:twoCellAnchor editAs="oneCell">
    <xdr:from>
      <xdr:col>0</xdr:col>
      <xdr:colOff>314326</xdr:colOff>
      <xdr:row>0</xdr:row>
      <xdr:rowOff>114300</xdr:rowOff>
    </xdr:from>
    <xdr:to>
      <xdr:col>1</xdr:col>
      <xdr:colOff>428626</xdr:colOff>
      <xdr:row>3</xdr:row>
      <xdr:rowOff>150061</xdr:rowOff>
    </xdr:to>
    <xdr:pic>
      <xdr:nvPicPr>
        <xdr:cNvPr id="23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314326" y="114300"/>
          <a:ext cx="723900" cy="6072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552450</xdr:colOff>
      <xdr:row>2</xdr:row>
      <xdr:rowOff>95250</xdr:rowOff>
    </xdr:from>
    <xdr:ext cx="1402563" cy="264560"/>
    <xdr:sp macro="" textlink="">
      <xdr:nvSpPr>
        <xdr:cNvPr id="24" name="CaixaDeTexto 23"/>
        <xdr:cNvSpPr txBox="1"/>
      </xdr:nvSpPr>
      <xdr:spPr>
        <a:xfrm>
          <a:off x="1162050" y="476250"/>
          <a:ext cx="140256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pt-BR" sz="1100"/>
            <a:t>Por: Nicolas L. Araujo</a:t>
          </a:r>
        </a:p>
      </xdr:txBody>
    </xdr:sp>
    <xdr:clientData/>
  </xdr:oneCellAnchor>
  <xdr:oneCellAnchor>
    <xdr:from>
      <xdr:col>8</xdr:col>
      <xdr:colOff>409575</xdr:colOff>
      <xdr:row>2</xdr:row>
      <xdr:rowOff>104775</xdr:rowOff>
    </xdr:from>
    <xdr:ext cx="591765" cy="264560"/>
    <xdr:sp macro="" textlink="">
      <xdr:nvSpPr>
        <xdr:cNvPr id="25" name="CaixaDeTexto 24"/>
        <xdr:cNvSpPr txBox="1"/>
      </xdr:nvSpPr>
      <xdr:spPr>
        <a:xfrm>
          <a:off x="5286375" y="485775"/>
          <a:ext cx="59176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pt-BR" sz="1100" b="1" cap="none" spc="0">
              <a:ln w="18000">
                <a:noFill/>
                <a:prstDash val="solid"/>
                <a:miter lim="800000"/>
              </a:ln>
              <a:solidFill>
                <a:srgbClr val="C00000"/>
              </a:solidFill>
              <a:effectLst/>
            </a:rPr>
            <a:t>V20.20</a:t>
          </a:r>
        </a:p>
      </xdr:txBody>
    </xdr:sp>
    <xdr:clientData/>
  </xdr:oneCellAnchor>
  <xdr:twoCellAnchor>
    <xdr:from>
      <xdr:col>10</xdr:col>
      <xdr:colOff>28576</xdr:colOff>
      <xdr:row>8</xdr:row>
      <xdr:rowOff>19050</xdr:rowOff>
    </xdr:from>
    <xdr:to>
      <xdr:col>19</xdr:col>
      <xdr:colOff>600076</xdr:colOff>
      <xdr:row>24</xdr:row>
      <xdr:rowOff>9525</xdr:rowOff>
    </xdr:to>
    <xdr:sp macro="" textlink="">
      <xdr:nvSpPr>
        <xdr:cNvPr id="19" name="CaixaDeTexto 18"/>
        <xdr:cNvSpPr txBox="1"/>
      </xdr:nvSpPr>
      <xdr:spPr>
        <a:xfrm>
          <a:off x="6124576" y="1543050"/>
          <a:ext cx="6057900" cy="3038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*Ctrl + A Vai para a Tela de Início</a:t>
          </a:r>
        </a:p>
        <a:p>
          <a:endParaRPr lang="pt-BR" sz="1100"/>
        </a:p>
        <a:p>
          <a:r>
            <a:rPr lang="pt-BR" sz="1100"/>
            <a:t>// Avisos //</a:t>
          </a:r>
        </a:p>
        <a:p>
          <a:endParaRPr lang="pt-BR" sz="1100"/>
        </a:p>
        <a:p>
          <a:r>
            <a:rPr lang="pt-BR" sz="1100"/>
            <a:t>1- Verificar estoque</a:t>
          </a:r>
          <a:r>
            <a:rPr lang="pt-BR" sz="1100" baseline="0"/>
            <a:t> de Perfex dia 1/12/20</a:t>
          </a:r>
        </a:p>
        <a:p>
          <a:r>
            <a:rPr lang="pt-BR" sz="1100" baseline="0"/>
            <a:t>2- Criar planilha de Diversos e verificar balanço</a:t>
          </a:r>
          <a:endParaRPr lang="pt-BR" sz="1100"/>
        </a:p>
        <a:p>
          <a:r>
            <a:rPr lang="pt-BR" sz="1100"/>
            <a:t>3- Adicionar Itens fora da planilha (Lidia disse que tem a lista)  --  Baixa: Borrifador dia 2/12</a:t>
          </a:r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r>
            <a:rPr lang="pt-BR" sz="1100"/>
            <a:t>Lembre</a:t>
          </a:r>
          <a:r>
            <a:rPr lang="pt-BR" sz="1100" baseline="0"/>
            <a:t> de Habilitar os MACROS</a:t>
          </a:r>
        </a:p>
        <a:p>
          <a:endParaRPr lang="pt-BR" sz="1100" baseline="0"/>
        </a:p>
        <a:p>
          <a:endParaRPr lang="pt-BR" sz="1100" baseline="0"/>
        </a:p>
        <a:p>
          <a:r>
            <a:rPr lang="pt-BR" sz="1100" baseline="0"/>
            <a:t>Se casou houver uma mensagem de erro, clique em "FIM"</a:t>
          </a:r>
        </a:p>
        <a:p>
          <a:endParaRPr lang="pt-BR" sz="1100" baseline="0"/>
        </a:p>
        <a:p>
          <a:r>
            <a:rPr lang="pt-BR" sz="1100" baseline="0"/>
            <a:t>Caso os valore mudem para "#valor" basta clicar em qualquer campo das guias de Estoque, Baixa, Entrada ou Previsão.</a:t>
          </a:r>
        </a:p>
        <a:p>
          <a:endParaRPr lang="pt-BR" sz="1100" baseline="0"/>
        </a:p>
        <a:p>
          <a:r>
            <a:rPr lang="pt-BR" sz="1100" baseline="0"/>
            <a:t>E em hipótese alguma, mude o nome da planliha. Alguns formulas dependem do nome do arquivo.</a:t>
          </a:r>
        </a:p>
        <a:p>
          <a:endParaRPr lang="pt-BR" sz="1100"/>
        </a:p>
      </xdr:txBody>
    </xdr:sp>
    <xdr:clientData/>
  </xdr:twoCellAnchor>
  <xdr:twoCellAnchor>
    <xdr:from>
      <xdr:col>5</xdr:col>
      <xdr:colOff>66675</xdr:colOff>
      <xdr:row>20</xdr:row>
      <xdr:rowOff>0</xdr:rowOff>
    </xdr:from>
    <xdr:to>
      <xdr:col>8</xdr:col>
      <xdr:colOff>257175</xdr:colOff>
      <xdr:row>23</xdr:row>
      <xdr:rowOff>28575</xdr:rowOff>
    </xdr:to>
    <xdr:sp macro="" textlink="">
      <xdr:nvSpPr>
        <xdr:cNvPr id="21" name="Retângulo de cantos arredondados 20"/>
        <xdr:cNvSpPr/>
      </xdr:nvSpPr>
      <xdr:spPr>
        <a:xfrm>
          <a:off x="3114675" y="3810000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Config.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164646</xdr:colOff>
      <xdr:row>13</xdr:row>
      <xdr:rowOff>185058</xdr:rowOff>
    </xdr:from>
    <xdr:to>
      <xdr:col>11</xdr:col>
      <xdr:colOff>64975</xdr:colOff>
      <xdr:row>18</xdr:row>
      <xdr:rowOff>90788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4124325" y="2811237"/>
          <a:ext cx="2444864" cy="926265"/>
        </a:xfrm>
        <a:prstGeom prst="leftArrow">
          <a:avLst/>
        </a:prstGeom>
        <a:solidFill>
          <a:schemeClr val="tx2">
            <a:lumMod val="75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8</xdr:col>
      <xdr:colOff>164646</xdr:colOff>
      <xdr:row>13</xdr:row>
      <xdr:rowOff>185058</xdr:rowOff>
    </xdr:from>
    <xdr:to>
      <xdr:col>11</xdr:col>
      <xdr:colOff>64975</xdr:colOff>
      <xdr:row>18</xdr:row>
      <xdr:rowOff>90788</xdr:rowOff>
    </xdr:to>
    <xdr:sp macro="" textlink="">
      <xdr:nvSpPr>
        <xdr:cNvPr id="3" name="Seta para a esquerda 2">
          <a:hlinkClick xmlns:r="http://schemas.openxmlformats.org/officeDocument/2006/relationships" r:id="rId2"/>
        </xdr:cNvPr>
        <xdr:cNvSpPr/>
      </xdr:nvSpPr>
      <xdr:spPr>
        <a:xfrm>
          <a:off x="4124325" y="2811237"/>
          <a:ext cx="2444864" cy="926265"/>
        </a:xfrm>
        <a:prstGeom prst="leftArrow">
          <a:avLst/>
        </a:prstGeom>
        <a:solidFill>
          <a:schemeClr val="tx2">
            <a:lumMod val="75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57150</xdr:rowOff>
    </xdr:from>
    <xdr:to>
      <xdr:col>5</xdr:col>
      <xdr:colOff>0</xdr:colOff>
      <xdr:row>2</xdr:row>
      <xdr:rowOff>0</xdr:rowOff>
    </xdr:to>
    <xdr:pic>
      <xdr:nvPicPr>
        <xdr:cNvPr id="2" name="Picture 2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1</xdr:row>
      <xdr:rowOff>57150</xdr:rowOff>
    </xdr:from>
    <xdr:to>
      <xdr:col>5</xdr:col>
      <xdr:colOff>0</xdr:colOff>
      <xdr:row>2</xdr:row>
      <xdr:rowOff>0</xdr:rowOff>
    </xdr:to>
    <xdr:pic>
      <xdr:nvPicPr>
        <xdr:cNvPr id="3" name="Picture 3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389283</xdr:colOff>
      <xdr:row>1</xdr:row>
      <xdr:rowOff>36443</xdr:rowOff>
    </xdr:from>
    <xdr:to>
      <xdr:col>11</xdr:col>
      <xdr:colOff>1065558</xdr:colOff>
      <xdr:row>3</xdr:row>
      <xdr:rowOff>131693</xdr:rowOff>
    </xdr:to>
    <xdr:pic>
      <xdr:nvPicPr>
        <xdr:cNvPr id="4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23044" y="301486"/>
          <a:ext cx="676275" cy="5673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436495</xdr:colOff>
      <xdr:row>1</xdr:row>
      <xdr:rowOff>110574</xdr:rowOff>
    </xdr:from>
    <xdr:to>
      <xdr:col>14</xdr:col>
      <xdr:colOff>453060</xdr:colOff>
      <xdr:row>4</xdr:row>
      <xdr:rowOff>216328</xdr:rowOff>
    </xdr:to>
    <xdr:sp macro="" textlink="">
      <xdr:nvSpPr>
        <xdr:cNvPr id="5" name="Seta para a esquerda 4">
          <a:hlinkClick xmlns:r="http://schemas.openxmlformats.org/officeDocument/2006/relationships" r:id="rId3"/>
        </xdr:cNvPr>
        <xdr:cNvSpPr/>
      </xdr:nvSpPr>
      <xdr:spPr>
        <a:xfrm>
          <a:off x="7899125" y="375617"/>
          <a:ext cx="1838739" cy="76836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0</xdr:col>
      <xdr:colOff>190500</xdr:colOff>
      <xdr:row>0</xdr:row>
      <xdr:rowOff>28575</xdr:rowOff>
    </xdr:from>
    <xdr:to>
      <xdr:col>0</xdr:col>
      <xdr:colOff>400049</xdr:colOff>
      <xdr:row>1</xdr:row>
      <xdr:rowOff>0</xdr:rowOff>
    </xdr:to>
    <xdr:sp macro="" textlink="">
      <xdr:nvSpPr>
        <xdr:cNvPr id="6" name="Seta para a esquerda 5">
          <a:hlinkClick xmlns:r="http://schemas.openxmlformats.org/officeDocument/2006/relationships" r:id="rId4"/>
        </xdr:cNvPr>
        <xdr:cNvSpPr/>
      </xdr:nvSpPr>
      <xdr:spPr>
        <a:xfrm>
          <a:off x="190500" y="28575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106</xdr:col>
      <xdr:colOff>0</xdr:colOff>
      <xdr:row>3</xdr:row>
      <xdr:rowOff>0</xdr:rowOff>
    </xdr:from>
    <xdr:to>
      <xdr:col>107</xdr:col>
      <xdr:colOff>0</xdr:colOff>
      <xdr:row>222</xdr:row>
      <xdr:rowOff>0</xdr:rowOff>
    </xdr:to>
    <xdr:sp macro="" textlink="">
      <xdr:nvSpPr>
        <xdr:cNvPr id="5" name="RectangleH">
          <a:extLst>
            <a:ext uri="{FF2B5EF4-FFF2-40B4-BE49-F238E27FC236}"/>
          </a:extLst>
        </xdr:cNvPr>
        <xdr:cNvSpPr/>
      </xdr:nvSpPr>
      <xdr:spPr>
        <a:xfrm>
          <a:off x="55702200" y="0"/>
          <a:ext cx="609600" cy="41033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1</xdr:colOff>
      <xdr:row>1</xdr:row>
      <xdr:rowOff>0</xdr:rowOff>
    </xdr:from>
    <xdr:to>
      <xdr:col>0</xdr:col>
      <xdr:colOff>209550</xdr:colOff>
      <xdr:row>4</xdr:row>
      <xdr:rowOff>0</xdr:rowOff>
    </xdr:to>
    <xdr:sp macro="" textlink="">
      <xdr:nvSpPr>
        <xdr:cNvPr id="6" name="Seta para a esquerda 5">
          <a:hlinkClick xmlns:r="http://schemas.openxmlformats.org/officeDocument/2006/relationships" r:id="rId1"/>
        </xdr:cNvPr>
        <xdr:cNvSpPr/>
      </xdr:nvSpPr>
      <xdr:spPr>
        <a:xfrm>
          <a:off x="1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107</xdr:col>
      <xdr:colOff>0</xdr:colOff>
      <xdr:row>3</xdr:row>
      <xdr:rowOff>0</xdr:rowOff>
    </xdr:from>
    <xdr:to>
      <xdr:col>108</xdr:col>
      <xdr:colOff>0</xdr:colOff>
      <xdr:row>213</xdr:row>
      <xdr:rowOff>0</xdr:rowOff>
    </xdr:to>
    <xdr:sp macro="" textlink="">
      <xdr:nvSpPr>
        <xdr:cNvPr id="3" name="RectangleH">
          <a:extLst>
            <a:ext uri="{FF2B5EF4-FFF2-40B4-BE49-F238E27FC236}"/>
          </a:extLst>
        </xdr:cNvPr>
        <xdr:cNvSpPr/>
      </xdr:nvSpPr>
      <xdr:spPr>
        <a:xfrm>
          <a:off x="55787925" y="276225"/>
          <a:ext cx="609600" cy="411861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19049</xdr:colOff>
      <xdr:row>4</xdr:row>
      <xdr:rowOff>0</xdr:rowOff>
    </xdr:to>
    <xdr:sp macro="" textlink="">
      <xdr:nvSpPr>
        <xdr:cNvPr id="7" name="Seta para a esquerda 6">
          <a:hlinkClick xmlns:r="http://schemas.openxmlformats.org/officeDocument/2006/relationships" r:id="rId1"/>
        </xdr:cNvPr>
        <xdr:cNvSpPr/>
      </xdr:nvSpPr>
      <xdr:spPr>
        <a:xfrm>
          <a:off x="0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57150</xdr:rowOff>
    </xdr:from>
    <xdr:to>
      <xdr:col>4</xdr:col>
      <xdr:colOff>0</xdr:colOff>
      <xdr:row>3</xdr:row>
      <xdr:rowOff>0</xdr:rowOff>
    </xdr:to>
    <xdr:pic>
      <xdr:nvPicPr>
        <xdr:cNvPr id="2" name="Picture 2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1</xdr:row>
      <xdr:rowOff>57150</xdr:rowOff>
    </xdr:from>
    <xdr:to>
      <xdr:col>4</xdr:col>
      <xdr:colOff>0</xdr:colOff>
      <xdr:row>3</xdr:row>
      <xdr:rowOff>0</xdr:rowOff>
    </xdr:to>
    <xdr:pic>
      <xdr:nvPicPr>
        <xdr:cNvPr id="3" name="Picture 3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190500</xdr:colOff>
      <xdr:row>1</xdr:row>
      <xdr:rowOff>152400</xdr:rowOff>
    </xdr:from>
    <xdr:to>
      <xdr:col>1</xdr:col>
      <xdr:colOff>609600</xdr:colOff>
      <xdr:row>4</xdr:row>
      <xdr:rowOff>76200</xdr:rowOff>
    </xdr:to>
    <xdr:pic>
      <xdr:nvPicPr>
        <xdr:cNvPr id="4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00100" y="419100"/>
          <a:ext cx="676275" cy="561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1</xdr:colOff>
      <xdr:row>1</xdr:row>
      <xdr:rowOff>209551</xdr:rowOff>
    </xdr:from>
    <xdr:to>
      <xdr:col>14</xdr:col>
      <xdr:colOff>333376</xdr:colOff>
      <xdr:row>6</xdr:row>
      <xdr:rowOff>10505</xdr:rowOff>
    </xdr:to>
    <xdr:sp macro="" textlink="">
      <xdr:nvSpPr>
        <xdr:cNvPr id="5" name="Seta para a esquerda 4">
          <a:hlinkClick xmlns:r="http://schemas.openxmlformats.org/officeDocument/2006/relationships" r:id="rId3"/>
        </xdr:cNvPr>
        <xdr:cNvSpPr/>
      </xdr:nvSpPr>
      <xdr:spPr>
        <a:xfrm>
          <a:off x="9372601" y="476251"/>
          <a:ext cx="1552575" cy="109635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0</xdr:col>
      <xdr:colOff>161925</xdr:colOff>
      <xdr:row>0</xdr:row>
      <xdr:rowOff>0</xdr:rowOff>
    </xdr:from>
    <xdr:to>
      <xdr:col>0</xdr:col>
      <xdr:colOff>371474</xdr:colOff>
      <xdr:row>0</xdr:row>
      <xdr:rowOff>238125</xdr:rowOff>
    </xdr:to>
    <xdr:sp macro="" textlink="">
      <xdr:nvSpPr>
        <xdr:cNvPr id="6" name="Seta para a esquerda 5">
          <a:hlinkClick xmlns:r="http://schemas.openxmlformats.org/officeDocument/2006/relationships" r:id="rId4"/>
        </xdr:cNvPr>
        <xdr:cNvSpPr/>
      </xdr:nvSpPr>
      <xdr:spPr>
        <a:xfrm>
          <a:off x="161925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0</xdr:colOff>
      <xdr:row>3</xdr:row>
      <xdr:rowOff>0</xdr:rowOff>
    </xdr:from>
    <xdr:to>
      <xdr:col>105</xdr:col>
      <xdr:colOff>0</xdr:colOff>
      <xdr:row>222</xdr:row>
      <xdr:rowOff>0</xdr:rowOff>
    </xdr:to>
    <xdr:sp macro="" textlink="">
      <xdr:nvSpPr>
        <xdr:cNvPr id="2" name="RectangleH">
          <a:extLst>
            <a:ext uri="{FF2B5EF4-FFF2-40B4-BE49-F238E27FC236}"/>
          </a:extLst>
        </xdr:cNvPr>
        <xdr:cNvSpPr/>
      </xdr:nvSpPr>
      <xdr:spPr>
        <a:xfrm>
          <a:off x="56711850" y="0"/>
          <a:ext cx="609600" cy="43319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1</xdr:colOff>
      <xdr:row>2</xdr:row>
      <xdr:rowOff>0</xdr:rowOff>
    </xdr:from>
    <xdr:to>
      <xdr:col>0</xdr:col>
      <xdr:colOff>209550</xdr:colOff>
      <xdr:row>4</xdr:row>
      <xdr:rowOff>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37</xdr:col>
      <xdr:colOff>18490</xdr:colOff>
      <xdr:row>7</xdr:row>
      <xdr:rowOff>12185</xdr:rowOff>
    </xdr:to>
    <xdr:sp macro="" textlink="">
      <xdr:nvSpPr>
        <xdr:cNvPr id="4" name="Seta para a esquerda 3">
          <a:hlinkClick xmlns:r="http://schemas.openxmlformats.org/officeDocument/2006/relationships" r:id="rId2"/>
        </xdr:cNvPr>
        <xdr:cNvSpPr/>
      </xdr:nvSpPr>
      <xdr:spPr>
        <a:xfrm>
          <a:off x="11153775" y="238125"/>
          <a:ext cx="1847290" cy="9170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15</xdr:row>
      <xdr:rowOff>123825</xdr:rowOff>
    </xdr:from>
    <xdr:to>
      <xdr:col>11</xdr:col>
      <xdr:colOff>400050</xdr:colOff>
      <xdr:row>20</xdr:row>
      <xdr:rowOff>77179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7524750" y="3352800"/>
          <a:ext cx="1828800" cy="91537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3" name="Estoque_Hortfrut" displayName="Estoque_Hortfrut" ref="C183:L241" headerRowCount="0" totalsRowShown="0" headerRowDxfId="1583" dataDxfId="1582">
  <tableColumns count="10">
    <tableColumn id="1" name="Colunas1" headerRowDxfId="1581" dataDxfId="1580">
      <calculatedColumnFormula>INDEX(Cadastro_Hortfrut[[#All],[Colunas4]],MATCH(ROW()-5,Cadastro_Hortfrut[[#All],[Colunas2]],0))</calculatedColumnFormula>
    </tableColumn>
    <tableColumn id="2" name="Colunas2" headerRowDxfId="1579" dataDxfId="1578">
      <calculatedColumnFormula>G183+(ENTRADAS!AI183)-(BAIXAS!AI183)</calculatedColumnFormula>
    </tableColumn>
    <tableColumn id="3" name="Colunas3" headerRowDxfId="1577" dataDxfId="1576"/>
    <tableColumn id="4" name="Colunas4" headerRowDxfId="1575" dataDxfId="1574" dataCellStyle="Separador de milhares"/>
    <tableColumn id="5" name="Colunas5" headerRowDxfId="1573" dataDxfId="1572"/>
    <tableColumn id="6" name="Colunas6" headerRowDxfId="1571" dataDxfId="1570"/>
    <tableColumn id="7" name="Colunas7" headerRowDxfId="1569" dataDxfId="1568"/>
    <tableColumn id="8" name="Colunas8" headerRowDxfId="1567" dataDxfId="1566"/>
    <tableColumn id="9" name="Colunas9" headerRowDxfId="1565" dataDxfId="1564"/>
    <tableColumn id="10" name="Colunas10" headerRowDxfId="1563" dataDxfId="1562" dataCellStyle="Separador de milhares">
      <calculatedColumnFormula>IF(Configurações!$G$4="Ligado",IF(AND(Baixas_Hortfrut[[#This Row],[Colunas35]]=0,'Qtd Pessoas'!$K$10=0),"0",Baixas_Hortfrut[[#This Row],[Colunas35]]/'Qtd Pessoas'!$K$10),"")</calculatedColumnFormula>
    </tableColumn>
  </tableColumns>
  <tableStyleInfo name="Estilo HortFrut " showFirstColumn="0" showLastColumn="0" showRowStripes="1" showColumnStripes="0"/>
</table>
</file>

<file path=xl/tables/table2.xml><?xml version="1.0" encoding="utf-8"?>
<table xmlns="http://schemas.openxmlformats.org/spreadsheetml/2006/main" id="14" name="Estoque_Peixes" displayName="Estoque_Peixes" ref="C176:L180" headerRowCount="0" totalsRowShown="0" headerRowDxfId="1561" dataDxfId="1560">
  <tableColumns count="10">
    <tableColumn id="1" name="Colunas1" headerRowDxfId="1559" dataDxfId="1558">
      <calculatedColumnFormula>INDEX(Cadastro_Peixes[[#All],[Colunas4]],MATCH(ROW()-5,Cadastro_Peixes[[#All],[Colunas2]],0))</calculatedColumnFormula>
    </tableColumn>
    <tableColumn id="2" name="Colunas2" headerRowDxfId="1557" dataDxfId="1556">
      <calculatedColumnFormula>G177+(ENTRADAS!AI176)-(BAIXAS!AI176)</calculatedColumnFormula>
    </tableColumn>
    <tableColumn id="3" name="Colunas3" headerRowDxfId="1555" dataDxfId="1554"/>
    <tableColumn id="4" name="Colunas4" headerRowDxfId="1553" dataDxfId="1552" dataCellStyle="Separador de milhares"/>
    <tableColumn id="5" name="Colunas5" headerRowDxfId="1551" dataDxfId="1550"/>
    <tableColumn id="6" name="Colunas6" headerRowDxfId="1549" dataDxfId="1548"/>
    <tableColumn id="7" name="Colunas7" headerRowDxfId="1547" dataDxfId="1546"/>
    <tableColumn id="8" name="Colunas8" headerRowDxfId="1545" dataDxfId="1544"/>
    <tableColumn id="9" name="Colunas9" headerRowDxfId="1543" dataDxfId="1542"/>
    <tableColumn id="10" name="Colunas10" headerRowDxfId="1541" dataDxfId="1540" dataCellStyle="Separador de milhares">
      <calculatedColumnFormula>IF(Configurações!$G$4="Ligado",IF(AND(Baixas_Peixes[[#This Row],[Colunas35]]=0,'Qtd Pessoas'!$K$10=0),"0",Baixas_Peixes[[#This Row],[Colunas35]]/'Qtd Pessoas'!$K$10),"")</calculatedColumnFormula>
    </tableColumn>
  </tableColumns>
  <tableStyleInfo name="Estilo Laticinios 2" showFirstColumn="0" showLastColumn="0" showRowStripes="1" showColumnStripes="0"/>
</table>
</file>

<file path=xl/tables/table3.xml><?xml version="1.0" encoding="utf-8"?>
<table xmlns="http://schemas.openxmlformats.org/spreadsheetml/2006/main" id="15" name="Estoque_Laticinios" displayName="Estoque_Laticinios" ref="C171:L173" headerRowCount="0" totalsRowShown="0" headerRowDxfId="1539" dataDxfId="1538">
  <tableColumns count="10">
    <tableColumn id="1" name="Colunas1" headerRowDxfId="1537" dataDxfId="1536">
      <calculatedColumnFormula>INDEX(Cadastro_Queijo[[#All],[Colunas4]],MATCH(ROW()-5,Cadastro_Queijo[[#All],[Colunas2]],0))</calculatedColumnFormula>
    </tableColumn>
    <tableColumn id="2" name="Colunas2" headerRowDxfId="1535" dataDxfId="1534">
      <calculatedColumnFormula>G172+(ENTRADAS!AI171)-(BAIXAS!AI171)</calculatedColumnFormula>
    </tableColumn>
    <tableColumn id="3" name="Colunas3" headerRowDxfId="1533" dataDxfId="1532"/>
    <tableColumn id="4" name="Colunas4" headerRowDxfId="1531" dataDxfId="1530" dataCellStyle="Separador de milhares"/>
    <tableColumn id="5" name="Colunas5" headerRowDxfId="1529" dataDxfId="1528"/>
    <tableColumn id="6" name="Colunas6" headerRowDxfId="1527" dataDxfId="1526"/>
    <tableColumn id="7" name="Colunas7" headerRowDxfId="1525" dataDxfId="1524"/>
    <tableColumn id="8" name="Colunas8" headerRowDxfId="1523" dataDxfId="1522"/>
    <tableColumn id="9" name="Colunas9" headerRowDxfId="1521" dataDxfId="1520"/>
    <tableColumn id="10" name="Colunas10" headerRowDxfId="1519" dataDxfId="1518" dataCellStyle="Separador de milhares">
      <calculatedColumnFormula>IF(Configurações!$G$4="Ligado",IF(AND(Baixas_Laticionios[[#This Row],[Colunas35]]=0,'Qtd Pessoas'!$K$10=0),"0",Baixas_Laticionios[[#This Row],[Colunas35]]/'Qtd Pessoas'!$K$10),"")</calculatedColumnFormula>
    </tableColumn>
  </tableColumns>
  <tableStyleInfo name="Estilo Laticinios" showFirstColumn="0" showLastColumn="0" showRowStripes="1" showColumnStripes="0"/>
</table>
</file>

<file path=xl/tables/table4.xml><?xml version="1.0" encoding="utf-8"?>
<table xmlns="http://schemas.openxmlformats.org/spreadsheetml/2006/main" id="16" name="Estoque_Carnes" displayName="Estoque_Carnes" ref="C140:L168" headerRowCount="0" totalsRowShown="0" headerRowDxfId="1517" dataDxfId="1516">
  <tableColumns count="10">
    <tableColumn id="1" name="Colunas1" headerRowDxfId="1515" dataDxfId="1514">
      <calculatedColumnFormula>INDEX(Cadastro_Carnes[[#All],[Colunas4]],MATCH(ROW()-5,Cadastro_Carnes[[#All],[Colunas2]],0))</calculatedColumnFormula>
    </tableColumn>
    <tableColumn id="2" name="Colunas2" headerRowDxfId="1513" dataDxfId="1512">
      <calculatedColumnFormula>G140+(ENTRADAS!AI140)-(BAIXAS!AI140)</calculatedColumnFormula>
    </tableColumn>
    <tableColumn id="3" name="Colunas3" headerRowDxfId="1511" dataDxfId="1510"/>
    <tableColumn id="4" name="Colunas4" headerRowDxfId="1509" dataDxfId="1508" dataCellStyle="Separador de milhares"/>
    <tableColumn id="5" name="Colunas5" headerRowDxfId="1507" dataDxfId="1506"/>
    <tableColumn id="6" name="Colunas6" headerRowDxfId="1505" dataDxfId="1504"/>
    <tableColumn id="7" name="Colunas7" headerRowDxfId="1503" dataDxfId="1502"/>
    <tableColumn id="8" name="Colunas8" headerRowDxfId="1501" dataDxfId="1500"/>
    <tableColumn id="9" name="Colunas9" headerRowDxfId="1499" dataDxfId="1498"/>
    <tableColumn id="10" name="Colunas10" headerRowDxfId="1497" dataDxfId="1496" dataCellStyle="Separador de milhares">
      <calculatedColumnFormula>IF(Configurações!$G$4="Ligado",IF(AND(Baixas_Carnes[[#This Row],[Colunas35]]=0,'Qtd Pessoas'!$K$10=0),"0",Baixas_Carnes[[#This Row],[Colunas35]]/'Qtd Pessoas'!$K$10),"")</calculatedColumnFormula>
    </tableColumn>
  </tableColumns>
  <tableStyleInfo name="Estilo HortFrut" showFirstColumn="0" showLastColumn="0" showRowStripes="1" showColumnStripes="0"/>
</table>
</file>

<file path=xl/tables/table5.xml><?xml version="1.0" encoding="utf-8"?>
<table xmlns="http://schemas.openxmlformats.org/spreadsheetml/2006/main" id="17" name="Estoque_Mantimentos" displayName="Estoque_Mantimentos" ref="C6:L137" headerRowCount="0" totalsRowShown="0" headerRowDxfId="1495" dataDxfId="1494">
  <tableColumns count="10">
    <tableColumn id="1" name="Colunas1" headerRowDxfId="1493" dataDxfId="1492">
      <calculatedColumnFormula>INDEX(Cadastro_Mantimentos[[#All],[Colunas4]],MATCH(ROW()-5,Cadastro_Mantimentos[[#All],[Colunas2]],0))</calculatedColumnFormula>
    </tableColumn>
    <tableColumn id="2" name="Colunas2" headerRowDxfId="1491" dataDxfId="1490">
      <calculatedColumnFormula>G6+(ENTRADAS!AI6)-(BAIXAS!AI6)</calculatedColumnFormula>
    </tableColumn>
    <tableColumn id="3" name="Colunas3" headerRowDxfId="1489" dataDxfId="1488"/>
    <tableColumn id="4" name="Colunas4" headerRowDxfId="1487" dataDxfId="1486" dataCellStyle="Separador de milhares"/>
    <tableColumn id="5" name="Colunas5" headerRowDxfId="1485" dataDxfId="1484"/>
    <tableColumn id="6" name="Colunas6" headerRowDxfId="1483" dataDxfId="1482"/>
    <tableColumn id="7" name="Colunas7" headerRowDxfId="1481" dataDxfId="1480"/>
    <tableColumn id="8" name="Colunas8" headerRowDxfId="1479" dataDxfId="1478"/>
    <tableColumn id="9" name="Colunas9" headerRowDxfId="1477" dataDxfId="1476"/>
    <tableColumn id="10" name="Colunas10" headerRowDxfId="1475" dataDxfId="1474" dataCellStyle="Separador de milhares">
      <calculatedColumnFormula>IF(Configurações!$G$4="Ligado",IF(AND(Baixas_Mantimentos[[#This Row],[Total]]=0,'Qtd Pessoas'!$K$10=0),"0",Baixas_Mantimentos[[#This Row],[Total]]/'Qtd Pessoas'!$K$10),"")</calculatedColumnFormula>
    </tableColumn>
  </tableColumns>
  <tableStyleInfo name="Estilo Mantimentos" showFirstColumn="0" showLastColumn="0" showRowStripes="1" showColumnStripes="0"/>
</table>
</file>

<file path=xl/tables/table6.xml><?xml version="1.0" encoding="utf-8"?>
<table xmlns="http://schemas.openxmlformats.org/spreadsheetml/2006/main" id="33" name="Estoque_Limpeza" displayName="Estoque_Limpeza" ref="C244:K315" headerRowCount="0" totalsRowShown="0" headerRowDxfId="1473" dataDxfId="1472" tableBorderDxfId="1471">
  <tableColumns count="9">
    <tableColumn id="1" name="Colunas1" headerRowDxfId="1470" dataDxfId="1469">
      <calculatedColumnFormula>INDEX(Cadastro_Limpeza[[#All],[Colunas4]],MATCH(ROW()-5,Cadastro_Limpeza[[#All],[Colunas2]],0))</calculatedColumnFormula>
    </tableColumn>
    <tableColumn id="2" name="Colunas2" headerRowDxfId="1468" dataDxfId="1467">
      <calculatedColumnFormula>G245+(ENTRADAS!AI244)-(BAIXAS!AI244)</calculatedColumnFormula>
    </tableColumn>
    <tableColumn id="3" name="Colunas3" headerRowDxfId="1466" dataDxfId="1465"/>
    <tableColumn id="4" name="Colunas4" headerRowDxfId="1464" dataDxfId="1463"/>
    <tableColumn id="5" name="Colunas5" headerRowDxfId="1462" dataDxfId="1461"/>
    <tableColumn id="6" name="Colunas6" headerRowDxfId="1460" dataDxfId="1459"/>
    <tableColumn id="7" name="Colunas7" headerRowDxfId="1458" dataDxfId="1457"/>
    <tableColumn id="8" name="Colunas8" headerRowDxfId="1456" dataDxfId="1455"/>
    <tableColumn id="9" name="Colunas9" headerRowDxfId="1454" dataDxfId="1453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id="1" name="Baixas_Mantimentos" displayName="Baixas_Mantimentos" ref="A6:AJ137" headerRowCount="0" totalsRowShown="0">
  <tableColumns count="36">
    <tableColumn id="36" name="Colunas2" dataDxfId="1445" totalsRowDxfId="1444">
      <calculatedColumnFormula>COUNT(INDEX($C:$AH,ROW(),1):INDEX($C:$AH,ROW(),$AI$3+1))</calculatedColumnFormula>
    </tableColumn>
    <tableColumn id="1" name="Colunas1" dataDxfId="1443">
      <calculatedColumnFormula>INDEX(Cadastro_Mantimentos[[#All],[Colunas4]],MATCH(ROW()-5,Cadastro_Mantimentos[[#All],[Colunas2]],0))</calculatedColumnFormula>
    </tableColumn>
    <tableColumn id="2" name="0" dataDxfId="1442" totalsRowDxfId="1441"/>
    <tableColumn id="3" name="1" dataDxfId="1440" totalsRowDxfId="1439"/>
    <tableColumn id="4" name="2" dataDxfId="1438" totalsRowDxfId="1437"/>
    <tableColumn id="5" name="3" dataDxfId="1436" totalsRowDxfId="1435"/>
    <tableColumn id="6" name="4" dataDxfId="1434" totalsRowDxfId="1433"/>
    <tableColumn id="7" name="5" dataDxfId="1432" totalsRowDxfId="1431"/>
    <tableColumn id="8" name="6" dataDxfId="1430" totalsRowDxfId="1429"/>
    <tableColumn id="9" name="7" dataDxfId="1428" totalsRowDxfId="1427"/>
    <tableColumn id="10" name="8" dataDxfId="1426" totalsRowDxfId="1425"/>
    <tableColumn id="11" name="9" dataDxfId="1424" totalsRowDxfId="1423"/>
    <tableColumn id="12" name="10" dataDxfId="1422" totalsRowDxfId="1421"/>
    <tableColumn id="13" name="11" dataDxfId="1420" totalsRowDxfId="1419"/>
    <tableColumn id="14" name="12" dataDxfId="1418" totalsRowDxfId="1417"/>
    <tableColumn id="15" name="13" dataDxfId="1416" totalsRowDxfId="1415"/>
    <tableColumn id="16" name="14" dataDxfId="1414" totalsRowDxfId="1413"/>
    <tableColumn id="17" name="15" dataDxfId="1412" totalsRowDxfId="1411"/>
    <tableColumn id="18" name="16" dataDxfId="1410" totalsRowDxfId="1409"/>
    <tableColumn id="19" name="17" dataDxfId="1408" totalsRowDxfId="1407"/>
    <tableColumn id="20" name="18" dataDxfId="1406" totalsRowDxfId="1405"/>
    <tableColumn id="21" name="19" dataDxfId="1404" totalsRowDxfId="1403"/>
    <tableColumn id="22" name="20" dataDxfId="1402" totalsRowDxfId="1401"/>
    <tableColumn id="23" name="21" dataDxfId="1400" totalsRowDxfId="1399"/>
    <tableColumn id="24" name="22" dataDxfId="1398" totalsRowDxfId="1397"/>
    <tableColumn id="25" name="23" dataDxfId="1396" totalsRowDxfId="1395"/>
    <tableColumn id="26" name="24" dataDxfId="1394" totalsRowDxfId="1393"/>
    <tableColumn id="27" name="25" dataDxfId="1392" totalsRowDxfId="1391"/>
    <tableColumn id="28" name="26" dataDxfId="1390" totalsRowDxfId="1389"/>
    <tableColumn id="29" name="27" dataDxfId="1388" totalsRowDxfId="1387"/>
    <tableColumn id="30" name="28" dataDxfId="1386" totalsRowDxfId="1385"/>
    <tableColumn id="31" name="29" dataDxfId="1384" totalsRowDxfId="1383"/>
    <tableColumn id="32" name="30" dataDxfId="1382" totalsRowDxfId="1381"/>
    <tableColumn id="33" name="31" dataDxfId="1380" totalsRowDxfId="1379"/>
    <tableColumn id="34" name="Total" dataDxfId="1378" totalsRowDxfId="1377">
      <calculatedColumnFormula>IF(Configurações!$G$10="Ligado",SUMIFS(C6:AH6,$C$4:$AH$4,"&lt;="&amp;Configurações!$C$5,$C$4:$AH$4,"&lt;="&amp;$AI$3),"")</calculatedColumnFormula>
    </tableColumn>
    <tableColumn id="35" name="Média" dataDxfId="1376" totalsRowDxfId="1375">
      <calculatedColumnFormula>IF(Configurações!$G$12="Ligado",IF(AI6&lt;=0,"Vazio",IF(Configurações!$G$11="Dia",IF(C6="",BAIXAS!AI6/(Configurações!$C$5),BAIXAS!AI6/(Configurações!$C$5+1)),BAIXAS!AI6/BAIXAS!A6)),"")</calculatedColumnFormula>
    </tableColumn>
  </tableColumns>
  <tableStyleInfo name="Estilo Mantimentos" showFirstColumn="0" showLastColumn="1" showRowStripes="1" showColumnStripes="0"/>
</table>
</file>

<file path=xl/tables/table8.xml><?xml version="1.0" encoding="utf-8"?>
<table xmlns="http://schemas.openxmlformats.org/spreadsheetml/2006/main" id="2" name="Baixas_Carnes" displayName="Baixas_Carnes" ref="A140:AJ168" headerRowCount="0" totalsRowShown="0">
  <tableColumns count="36">
    <tableColumn id="1" name="Colunas1" headerRowDxfId="1374" dataDxfId="1373">
      <calculatedColumnFormula>COUNT(INDEX($C:$AH,ROW(),1):INDEX($C:$AH,ROW(),$AI$3+1))</calculatedColumnFormula>
    </tableColumn>
    <tableColumn id="2" name="Colunas2" dataDxfId="1372">
      <calculatedColumnFormula>INDEX(Cadastro_Carnes[[#All],[Colunas4]],MATCH(ROW()-5,Cadastro_Carnes[[#All],[Colunas2]],0))</calculatedColumnFormula>
    </tableColumn>
    <tableColumn id="3" name="Colunas3" dataDxfId="1371"/>
    <tableColumn id="4" name="Colunas4" dataDxfId="1370"/>
    <tableColumn id="5" name="Colunas5" dataDxfId="1369"/>
    <tableColumn id="6" name="Colunas6" dataDxfId="1368"/>
    <tableColumn id="7" name="Colunas7" dataDxfId="1367"/>
    <tableColumn id="8" name="Colunas8" dataDxfId="1366"/>
    <tableColumn id="9" name="Colunas9" dataDxfId="1365"/>
    <tableColumn id="10" name="Colunas10" dataDxfId="1364"/>
    <tableColumn id="11" name="Colunas11" dataDxfId="1363"/>
    <tableColumn id="12" name="Colunas12" dataDxfId="1362"/>
    <tableColumn id="13" name="Colunas13" dataDxfId="1361"/>
    <tableColumn id="14" name="Colunas14" dataDxfId="1360"/>
    <tableColumn id="15" name="Colunas15" dataDxfId="1359"/>
    <tableColumn id="16" name="Colunas16" dataDxfId="1358"/>
    <tableColumn id="17" name="Colunas17" dataDxfId="1357"/>
    <tableColumn id="18" name="Colunas18" dataDxfId="1356"/>
    <tableColumn id="19" name="Colunas19" dataDxfId="1355"/>
    <tableColumn id="20" name="Colunas20" dataDxfId="1354"/>
    <tableColumn id="21" name="Colunas21" dataDxfId="1353"/>
    <tableColumn id="22" name="Colunas22" dataDxfId="1352"/>
    <tableColumn id="23" name="Colunas23" dataDxfId="1351"/>
    <tableColumn id="24" name="Colunas24" dataDxfId="1350"/>
    <tableColumn id="25" name="Colunas25" dataDxfId="1349"/>
    <tableColumn id="26" name="Colunas26" dataDxfId="1348"/>
    <tableColumn id="27" name="Colunas27" dataDxfId="1347"/>
    <tableColumn id="28" name="Colunas28" dataDxfId="1346"/>
    <tableColumn id="29" name="Colunas29" dataDxfId="1345"/>
    <tableColumn id="30" name="Colunas30" dataDxfId="1344"/>
    <tableColumn id="31" name="Colunas31" dataDxfId="1343"/>
    <tableColumn id="32" name="Colunas32" dataDxfId="1342"/>
    <tableColumn id="33" name="Colunas33" dataDxfId="1341"/>
    <tableColumn id="34" name="Colunas34" dataDxfId="1340"/>
    <tableColumn id="35" name="Colunas35" dataDxfId="1339">
      <calculatedColumnFormula>IF(Configurações!$G$10="Ligado",SUMIFS(C140:AH140,$C$4:$AH$4,"&lt;="&amp;Configurações!$C$5,$C$4:$AH$4,"&lt;="&amp;$AI$3),"")</calculatedColumnFormula>
    </tableColumn>
    <tableColumn id="36" name="Colunas36" dataDxfId="1338">
      <calculatedColumnFormula>IF(Configurações!$G$12="Ligado",IF(AI140&lt;=0,"Vazio",IF(Configurações!$G$11="Dia",IF(C140="",BAIXAS!AI140/(Configurações!$C$5),BAIXAS!AI140/(Configurações!$C$5+1)),BAIXAS!AI140/BAIXAS!A140)),"")</calculatedColumnFormula>
    </tableColumn>
  </tableColumns>
  <tableStyleInfo name="Estilo Carnes" showFirstColumn="0" showLastColumn="1" showRowStripes="1" showColumnStripes="0"/>
</table>
</file>

<file path=xl/tables/table9.xml><?xml version="1.0" encoding="utf-8"?>
<table xmlns="http://schemas.openxmlformats.org/spreadsheetml/2006/main" id="3" name="Baixas_Laticionios" displayName="Baixas_Laticionios" ref="A171:AJ173" headerRowCount="0" totalsRowShown="0" tableBorderDxfId="1337">
  <tableColumns count="36">
    <tableColumn id="1" name="Colunas1" headerRowDxfId="1336" dataDxfId="1335">
      <calculatedColumnFormula>COUNT(INDEX($C:$AH,ROW(),1):INDEX($C:$AH,ROW(),$AI$3+1))</calculatedColumnFormula>
    </tableColumn>
    <tableColumn id="2" name="Colunas2" dataDxfId="1334">
      <calculatedColumnFormula>INDEX(Cadastro_Queijo[[#All],[Colunas4]],MATCH(ROW()-5,Cadastro_Queijo[[#All],[Colunas2]],0))</calculatedColumnFormula>
    </tableColumn>
    <tableColumn id="3" name="Colunas3" dataDxfId="1333"/>
    <tableColumn id="4" name="Colunas4" dataDxfId="1332"/>
    <tableColumn id="5" name="Colunas5" dataDxfId="1331"/>
    <tableColumn id="6" name="Colunas6" dataDxfId="1330"/>
    <tableColumn id="7" name="Colunas7" dataDxfId="1329"/>
    <tableColumn id="8" name="Colunas8" dataDxfId="1328"/>
    <tableColumn id="9" name="Colunas9" dataDxfId="1327"/>
    <tableColumn id="10" name="Colunas10" dataDxfId="1326"/>
    <tableColumn id="11" name="Colunas11" dataDxfId="1325"/>
    <tableColumn id="12" name="Colunas12" dataDxfId="1324"/>
    <tableColumn id="13" name="Colunas13" dataDxfId="1323"/>
    <tableColumn id="14" name="Colunas14" dataDxfId="1322"/>
    <tableColumn id="15" name="Colunas15" dataDxfId="1321"/>
    <tableColumn id="16" name="Colunas16" dataDxfId="1320"/>
    <tableColumn id="17" name="Colunas17" dataDxfId="1319"/>
    <tableColumn id="18" name="Colunas18" dataDxfId="1318"/>
    <tableColumn id="19" name="Colunas19" dataDxfId="1317"/>
    <tableColumn id="20" name="Colunas20" dataDxfId="1316"/>
    <tableColumn id="21" name="Colunas21" dataDxfId="1315"/>
    <tableColumn id="22" name="Colunas22" dataDxfId="1314"/>
    <tableColumn id="23" name="Colunas23" dataDxfId="1313"/>
    <tableColumn id="24" name="Colunas24" dataDxfId="1312"/>
    <tableColumn id="25" name="Colunas25" dataDxfId="1311"/>
    <tableColumn id="26" name="Colunas26" dataDxfId="1310"/>
    <tableColumn id="27" name="Colunas27" dataDxfId="1309"/>
    <tableColumn id="28" name="Colunas28" dataDxfId="1308"/>
    <tableColumn id="29" name="Colunas29" dataDxfId="1307"/>
    <tableColumn id="30" name="Colunas30" dataDxfId="1306"/>
    <tableColumn id="31" name="Colunas31" dataDxfId="1305"/>
    <tableColumn id="32" name="Colunas32" dataDxfId="1304"/>
    <tableColumn id="33" name="Colunas33" dataDxfId="1303"/>
    <tableColumn id="34" name="Colunas34" dataDxfId="1302"/>
    <tableColumn id="35" name="Colunas35" dataDxfId="1301">
      <calculatedColumnFormula>IF(Configurações!$G$10="Ligado",SUMIFS(C171:AH171,$C$4:$AH$4,"&lt;="&amp;Configurações!$C$5,$C$4:$AH$4,"&lt;="&amp;$AI$3),"")</calculatedColumnFormula>
    </tableColumn>
    <tableColumn id="36" name="Colunas36" dataDxfId="1300">
      <calculatedColumnFormula>IF(Configurações!$G$12="Ligado",IF(AI171&lt;=0,"Vazio",IF(Configurações!$G$11="Dia",IF(C171="",BAIXAS!AI171/(Configurações!$C$5),BAIXAS!AI171/(Configurações!$C$5+1)),BAIXAS!AI171/BAIXAS!A171)),"")</calculatedColumnFormula>
    </tableColumn>
  </tableColumns>
  <tableStyleInfo name="Estilo Laticinios" showFirstColumn="0" showLastColumn="1" showRowStripes="1" showColumnStripes="0"/>
</table>
</file>

<file path=xl/tables/table10.xml><?xml version="1.0" encoding="utf-8"?>
<table xmlns="http://schemas.openxmlformats.org/spreadsheetml/2006/main" id="4" name="Baixas_Hortfrut" displayName="Baixas_Hortfrut" ref="A183:AJ241" headerRowCount="0" totalsRowShown="0" tableBorderDxfId="1299">
  <tableColumns count="36">
    <tableColumn id="1" name="Colunas1" headerRowDxfId="1298" dataDxfId="1297">
      <calculatedColumnFormula>COUNT(INDEX($C:$AH,ROW(),1):INDEX($C:$AH,ROW(),$AI$3+1))</calculatedColumnFormula>
    </tableColumn>
    <tableColumn id="2" name="Colunas2" dataDxfId="1296">
      <calculatedColumnFormula>INDEX(Cadastro_Hortfrut[[#All],[Colunas4]],MATCH(ROW()-5,Cadastro_Hortfrut[[#All],[Colunas2]],0))</calculatedColumnFormula>
    </tableColumn>
    <tableColumn id="3" name="Colunas3" dataDxfId="1295"/>
    <tableColumn id="4" name="Colunas4" dataDxfId="1294"/>
    <tableColumn id="5" name="Colunas5" dataDxfId="1293"/>
    <tableColumn id="6" name="Colunas6" dataDxfId="1292"/>
    <tableColumn id="7" name="Colunas7" dataDxfId="1291"/>
    <tableColumn id="8" name="Colunas8" dataDxfId="1290"/>
    <tableColumn id="9" name="Colunas9" dataDxfId="1289"/>
    <tableColumn id="10" name="Colunas10" dataDxfId="1288"/>
    <tableColumn id="11" name="Colunas11" dataDxfId="1287"/>
    <tableColumn id="12" name="Colunas12" dataDxfId="1286"/>
    <tableColumn id="13" name="Colunas13" dataDxfId="1285"/>
    <tableColumn id="14" name="Colunas14" dataDxfId="1284"/>
    <tableColumn id="15" name="Colunas15" dataDxfId="1283"/>
    <tableColumn id="16" name="Colunas16" dataDxfId="1282"/>
    <tableColumn id="17" name="Colunas17" dataDxfId="1281"/>
    <tableColumn id="18" name="Colunas18" dataDxfId="1280"/>
    <tableColumn id="19" name="Colunas19" dataDxfId="1279"/>
    <tableColumn id="20" name="Colunas20" dataDxfId="1278"/>
    <tableColumn id="21" name="Colunas21" dataDxfId="1277"/>
    <tableColumn id="22" name="Colunas22" dataDxfId="1276"/>
    <tableColumn id="23" name="Colunas23" dataDxfId="1275"/>
    <tableColumn id="24" name="Colunas24" dataDxfId="1274"/>
    <tableColumn id="25" name="Colunas25" dataDxfId="1273"/>
    <tableColumn id="26" name="Colunas26" dataDxfId="1272"/>
    <tableColumn id="27" name="Colunas27" dataDxfId="1271"/>
    <tableColumn id="28" name="Colunas28" dataDxfId="1270"/>
    <tableColumn id="29" name="Colunas29" dataDxfId="1269"/>
    <tableColumn id="30" name="Colunas30" dataDxfId="1268"/>
    <tableColumn id="31" name="Colunas31" dataDxfId="1267"/>
    <tableColumn id="32" name="Colunas32" dataDxfId="1266"/>
    <tableColumn id="33" name="Colunas33" dataDxfId="1265"/>
    <tableColumn id="34" name="Colunas34" dataDxfId="1264"/>
    <tableColumn id="35" name="Colunas35" dataDxfId="1263">
      <calculatedColumnFormula>IF(Configurações!$G$10="Ligado",SUMIFS(C183:AH183,$C$4:$AH$4,"&lt;="&amp;Configurações!$C$5,$C$4:$AH$4,"&lt;="&amp;$AI$3),"")</calculatedColumnFormula>
    </tableColumn>
    <tableColumn id="36" name="Colunas36" dataDxfId="1262">
      <calculatedColumnFormula>IF(Configurações!$G$12="Ligado",IF(AI183&lt;=0,"Vazio",IF(Configurações!$G$11="Dia",IF(C183="",BAIXAS!AI183/(Configurações!$C$5),BAIXAS!AI183/(Configurações!$C$5+1)),BAIXAS!AI183/BAIXAS!A183)),"")</calculatedColumnFormula>
    </tableColumn>
  </tableColumns>
  <tableStyleInfo name="Estilo HortFrut " showFirstColumn="0" showLastColumn="1" showRowStripes="1" showColumnStripes="0"/>
</table>
</file>

<file path=xl/tables/table11.xml><?xml version="1.0" encoding="utf-8"?>
<table xmlns="http://schemas.openxmlformats.org/spreadsheetml/2006/main" id="5" name="Baixas_Peixes" displayName="Baixas_Peixes" ref="A176:AJ180" headerRowCount="0" totalsRowShown="0" tableBorderDxfId="1261">
  <tableColumns count="36">
    <tableColumn id="1" name="Colunas1" headerRowDxfId="1260" dataDxfId="1259">
      <calculatedColumnFormula>COUNT(INDEX($C:$AH,ROW(),1):INDEX($C:$AH,ROW(),$AI$3+1))</calculatedColumnFormula>
    </tableColumn>
    <tableColumn id="2" name="Colunas2" dataDxfId="1258">
      <calculatedColumnFormula>INDEX(Cadastro_Peixes[[#All],[Colunas4]],MATCH(ROW()-5,Cadastro_Peixes[[#All],[Colunas2]],0))</calculatedColumnFormula>
    </tableColumn>
    <tableColumn id="3" name="Colunas3" dataDxfId="1257"/>
    <tableColumn id="4" name="Colunas4" dataDxfId="1256"/>
    <tableColumn id="5" name="Colunas5" dataDxfId="1255"/>
    <tableColumn id="6" name="Colunas6" dataDxfId="1254"/>
    <tableColumn id="7" name="Colunas7" dataDxfId="1253"/>
    <tableColumn id="8" name="Colunas8" dataDxfId="1252"/>
    <tableColumn id="9" name="Colunas9" dataDxfId="1251"/>
    <tableColumn id="10" name="Colunas10" dataDxfId="1250"/>
    <tableColumn id="11" name="Colunas11" dataDxfId="1249"/>
    <tableColumn id="12" name="Colunas12" dataDxfId="1248"/>
    <tableColumn id="13" name="Colunas13" dataDxfId="1247"/>
    <tableColumn id="14" name="Colunas14" dataDxfId="1246"/>
    <tableColumn id="15" name="Colunas15" dataDxfId="1245"/>
    <tableColumn id="16" name="Colunas16" dataDxfId="1244"/>
    <tableColumn id="17" name="Colunas17" dataDxfId="1243"/>
    <tableColumn id="18" name="Colunas18" dataDxfId="1242"/>
    <tableColumn id="19" name="Colunas19" dataDxfId="1241"/>
    <tableColumn id="20" name="Colunas20" dataDxfId="1240"/>
    <tableColumn id="21" name="Colunas21" dataDxfId="1239"/>
    <tableColumn id="22" name="Colunas22" dataDxfId="1238"/>
    <tableColumn id="23" name="Colunas23" dataDxfId="1237"/>
    <tableColumn id="24" name="Colunas24" dataDxfId="1236"/>
    <tableColumn id="25" name="Colunas25" dataDxfId="1235"/>
    <tableColumn id="26" name="Colunas26" dataDxfId="1234"/>
    <tableColumn id="27" name="Colunas27" dataDxfId="1233"/>
    <tableColumn id="28" name="Colunas28" dataDxfId="1232"/>
    <tableColumn id="29" name="Colunas29" dataDxfId="1231"/>
    <tableColumn id="30" name="Colunas30" dataDxfId="1230"/>
    <tableColumn id="31" name="Colunas31" dataDxfId="1229"/>
    <tableColumn id="32" name="Colunas32" dataDxfId="1228"/>
    <tableColumn id="33" name="Colunas33" dataDxfId="1227"/>
    <tableColumn id="34" name="Colunas34" dataDxfId="1226"/>
    <tableColumn id="35" name="Colunas35" dataDxfId="1225">
      <calculatedColumnFormula>IF(Configurações!$G$10="Ligado",SUMIFS(C176:AH176,$C$4:$AH$4,"&lt;="&amp;Configurações!$C$5,$C$4:$AH$4,"&lt;="&amp;$AI$3),"")</calculatedColumnFormula>
    </tableColumn>
    <tableColumn id="36" name="Colunas36" dataDxfId="1224">
      <calculatedColumnFormula>IF(Configurações!$G$12="Ligado",IF(AI176&lt;=0,"Vazio",IF(Configurações!$G$11="Dia",IF(C176="",BAIXAS!AI176/(Configurações!$C$5),BAIXAS!AI176/(Configurações!$C$5+1)),BAIXAS!AI176/BAIXAS!A176)),"")</calculatedColumnFormula>
    </tableColumn>
  </tableColumns>
  <tableStyleInfo name="Estilo Laticinios 2" showFirstColumn="0" showLastColumn="1" showRowStripes="1" showColumnStripes="0"/>
</table>
</file>

<file path=xl/tables/table12.xml><?xml version="1.0" encoding="utf-8"?>
<table xmlns="http://schemas.openxmlformats.org/spreadsheetml/2006/main" id="25" name="Baixas_Limpeza" displayName="Baixas_Limpeza" ref="A244:AJ315" headerRowCount="0" totalsRowShown="0" headerRowDxfId="1223" dataDxfId="1221" headerRowBorderDxfId="1222" tableBorderDxfId="1220" totalsRowBorderDxfId="1219">
  <tableColumns count="36">
    <tableColumn id="1" name="Colunas1" headerRowDxfId="1218" dataDxfId="1217">
      <calculatedColumnFormula>COUNT(INDEX($C:$AH,ROW(),1):INDEX($C:$AH,ROW(),$AI$3+1))</calculatedColumnFormula>
    </tableColumn>
    <tableColumn id="2" name="Colunas2" headerRowDxfId="1216" dataDxfId="1215">
      <calculatedColumnFormula>INDEX(Cadastro_Limpeza[[#All],[Colunas4]],MATCH(ROW()-5,Cadastro_Limpeza[[#All],[Colunas2]],0))</calculatedColumnFormula>
    </tableColumn>
    <tableColumn id="3" name="Colunas3" headerRowDxfId="1214" dataDxfId="1213"/>
    <tableColumn id="4" name="Colunas4" headerRowDxfId="1212" dataDxfId="1211"/>
    <tableColumn id="5" name="Colunas5" headerRowDxfId="1210" dataDxfId="1209"/>
    <tableColumn id="6" name="Colunas6" headerRowDxfId="1208" dataDxfId="1207"/>
    <tableColumn id="7" name="Colunas7" headerRowDxfId="1206" dataDxfId="1205"/>
    <tableColumn id="8" name="Colunas8" headerRowDxfId="1204" dataDxfId="1203"/>
    <tableColumn id="9" name="Colunas9" headerRowDxfId="1202" dataDxfId="1201"/>
    <tableColumn id="10" name="Colunas10" headerRowDxfId="1200" dataDxfId="1199"/>
    <tableColumn id="11" name="Colunas11" headerRowDxfId="1198" dataDxfId="1197"/>
    <tableColumn id="12" name="Colunas12" headerRowDxfId="1196" dataDxfId="1195"/>
    <tableColumn id="13" name="Colunas13" headerRowDxfId="1194" dataDxfId="1193"/>
    <tableColumn id="14" name="Colunas14" headerRowDxfId="1192" dataDxfId="1191"/>
    <tableColumn id="15" name="Colunas15" headerRowDxfId="1190" dataDxfId="1189"/>
    <tableColumn id="16" name="Colunas16" headerRowDxfId="1188" dataDxfId="1187"/>
    <tableColumn id="17" name="Colunas17" headerRowDxfId="1186" dataDxfId="1185"/>
    <tableColumn id="18" name="Colunas18" headerRowDxfId="1184" dataDxfId="1183"/>
    <tableColumn id="19" name="Colunas19" headerRowDxfId="1182" dataDxfId="1181"/>
    <tableColumn id="20" name="Colunas20" headerRowDxfId="1180" dataDxfId="1179"/>
    <tableColumn id="21" name="Colunas21" headerRowDxfId="1178" dataDxfId="1177"/>
    <tableColumn id="22" name="Colunas22" headerRowDxfId="1176" dataDxfId="1175"/>
    <tableColumn id="23" name="Colunas23" headerRowDxfId="1174" dataDxfId="1173"/>
    <tableColumn id="24" name="Colunas24" headerRowDxfId="1172" dataDxfId="1171"/>
    <tableColumn id="25" name="Colunas25" headerRowDxfId="1170" dataDxfId="1169"/>
    <tableColumn id="26" name="Colunas26" headerRowDxfId="1168" dataDxfId="1167"/>
    <tableColumn id="27" name="Colunas27" headerRowDxfId="1166" dataDxfId="1165"/>
    <tableColumn id="28" name="Colunas28" headerRowDxfId="1164" dataDxfId="1163"/>
    <tableColumn id="29" name="Colunas29" headerRowDxfId="1162" dataDxfId="1161"/>
    <tableColumn id="30" name="Colunas30" headerRowDxfId="1160" dataDxfId="1159"/>
    <tableColumn id="31" name="Colunas31" headerRowDxfId="1158" dataDxfId="1157"/>
    <tableColumn id="32" name="Colunas32" headerRowDxfId="1156" dataDxfId="1155"/>
    <tableColumn id="33" name="Colunas33" headerRowDxfId="1154" dataDxfId="1153"/>
    <tableColumn id="34" name="Colunas34" headerRowDxfId="1152" dataDxfId="1151"/>
    <tableColumn id="35" name="Colunas35" headerRowDxfId="1150" dataDxfId="1149">
      <calculatedColumnFormula>IF(Configurações!$G$10="Ligado",SUMIFS(C245:AH245,$C$4:$AH$4,"&lt;="&amp;Configurações!$C$5,$C$4:$AH$4,"&lt;="&amp;$AI$3),"")</calculatedColumnFormula>
    </tableColumn>
    <tableColumn id="36" name="Colunas36" headerRowDxfId="1148" dataDxfId="1147">
      <calculatedColumnFormula>IF(Configurações!$G$12="Ligado",IF(AI245&lt;=0,"Vazio",IF(Configurações!$G$11="Dia",IF(C242="",BAIXAS!AI245/(Configurações!$C$5),BAIXAS!AI245/(Configurações!$C$5+1)),BAIXAS!AI245/BAIXAS!A245)),"")</calculatedColumnFormula>
    </tableColumn>
  </tableColumns>
  <tableStyleInfo name="lIMPEZA" showFirstColumn="0" showLastColumn="0" showRowStripes="1" showColumnStripes="0"/>
</table>
</file>

<file path=xl/tables/table13.xml><?xml version="1.0" encoding="utf-8"?>
<table xmlns="http://schemas.openxmlformats.org/spreadsheetml/2006/main" id="36" name="Baixas_Piscina" displayName="Baixas_Piscina" ref="A318:AJ329" headerRowCount="0" totalsRowShown="0" tableBorderDxfId="1146">
  <tableColumns count="36">
    <tableColumn id="1" name="Colunas1" headerRowDxfId="1145" dataDxfId="1144">
      <calculatedColumnFormula>COUNT(INDEX($C:$AH,ROW(),1):INDEX($C:$AH,ROW(),$AI$3+1))</calculatedColumnFormula>
    </tableColumn>
    <tableColumn id="2" name="Colunas2" dataDxfId="1143">
      <calculatedColumnFormula>INDEX(Cadastro_Piscina[[#All],[Colunas4]],MATCH(ROW()-5,Cadastro_Piscina[[#All],[Colunas2]],0))</calculatedColumnFormula>
    </tableColumn>
    <tableColumn id="3" name="Colunas3" dataDxfId="1142"/>
    <tableColumn id="4" name="Colunas4" dataDxfId="1141"/>
    <tableColumn id="5" name="Colunas5" dataDxfId="1140"/>
    <tableColumn id="6" name="Colunas6" dataDxfId="1139"/>
    <tableColumn id="7" name="Colunas7" dataDxfId="1138"/>
    <tableColumn id="8" name="Colunas8" dataDxfId="1137"/>
    <tableColumn id="9" name="Colunas9" dataDxfId="1136"/>
    <tableColumn id="10" name="Colunas10" dataDxfId="1135"/>
    <tableColumn id="11" name="Colunas11" dataDxfId="1134"/>
    <tableColumn id="12" name="Colunas12" dataDxfId="1133"/>
    <tableColumn id="13" name="Colunas13" dataDxfId="1132"/>
    <tableColumn id="14" name="Colunas14" dataDxfId="1131"/>
    <tableColumn id="15" name="Colunas15" dataDxfId="1130"/>
    <tableColumn id="16" name="Colunas16" dataDxfId="1129"/>
    <tableColumn id="17" name="Colunas17" dataDxfId="1128"/>
    <tableColumn id="18" name="Colunas18" dataDxfId="1127"/>
    <tableColumn id="19" name="Colunas19" dataDxfId="1126"/>
    <tableColumn id="20" name="Colunas20" dataDxfId="1125"/>
    <tableColumn id="21" name="Colunas21" dataDxfId="1124"/>
    <tableColumn id="22" name="Colunas22" dataDxfId="1123"/>
    <tableColumn id="23" name="Colunas23" dataDxfId="1122"/>
    <tableColumn id="24" name="Colunas24" dataDxfId="1121"/>
    <tableColumn id="25" name="Colunas25" dataDxfId="1120"/>
    <tableColumn id="26" name="Colunas26" dataDxfId="1119"/>
    <tableColumn id="27" name="Colunas27" dataDxfId="1118"/>
    <tableColumn id="28" name="Colunas28" dataDxfId="1117"/>
    <tableColumn id="29" name="Colunas29" dataDxfId="1116"/>
    <tableColumn id="30" name="Colunas30" dataDxfId="1115"/>
    <tableColumn id="31" name="Colunas31" dataDxfId="1114"/>
    <tableColumn id="32" name="Colunas32" dataDxfId="1113"/>
    <tableColumn id="33" name="Colunas33" dataDxfId="1112"/>
    <tableColumn id="34" name="Colunas34" dataDxfId="1111"/>
    <tableColumn id="35" name="Colunas35" dataDxfId="1110">
      <calculatedColumnFormula>IF(Configurações!$G$10="Ligado",SUMIFS(C318:AH318,$C$4:$AH$4,"&lt;="&amp;Configurações!$C$5,$C$4:$AH$4,"&lt;="&amp;$AI$3),"")</calculatedColumnFormula>
    </tableColumn>
    <tableColumn id="36" name="Colunas36" dataDxfId="1109">
      <calculatedColumnFormula>IF(Configurações!$G$12="Ligado",IF(AI318&lt;=0,"Vazio",IF(Configurações!$G$11="Dia",IF(C318="",BAIXAS!AI318/(Configurações!$C$5),BAIXAS!AI318/(Configurações!$C$5+1)),BAIXAS!AI318/BAIXAS!A318)),"")</calculatedColumnFormula>
    </tableColumn>
  </tableColumns>
  <tableStyleInfo name="Estilo Laticinios" showFirstColumn="0" showLastColumn="1" showRowStripes="1" showColumnStripes="0"/>
</table>
</file>

<file path=xl/tables/table14.xml><?xml version="1.0" encoding="utf-8"?>
<table xmlns="http://schemas.openxmlformats.org/spreadsheetml/2006/main" id="38" name="Baixas_covid" displayName="Baixas_covid" ref="A332:AI347" headerRowCount="0" totalsRowShown="0" headerRowDxfId="1108" dataDxfId="1106" headerRowBorderDxfId="1107" tableBorderDxfId="1105">
  <tableColumns count="35">
    <tableColumn id="35" name="Colunas35" headerRowDxfId="1104" dataDxfId="1103">
      <calculatedColumnFormula>COUNT(INDEX($C:$AH,ROW(),1):INDEX($C:$AH,ROW(),$AI$3+1))</calculatedColumnFormula>
    </tableColumn>
    <tableColumn id="1" name="Colunas1" headerRowDxfId="1102" dataDxfId="1101">
      <calculatedColumnFormula>INDEX(Cadastro_covid[[#All],[Colunas4]],MATCH(ROW()-5,Cadastro_covid[[#All],[Colunas2]],0))</calculatedColumnFormula>
    </tableColumn>
    <tableColumn id="2" name="Colunas2" headerRowDxfId="1100" dataDxfId="1099"/>
    <tableColumn id="3" name="Colunas3" headerRowDxfId="1098" dataDxfId="1097"/>
    <tableColumn id="4" name="Colunas4" headerRowDxfId="1096" dataDxfId="1095"/>
    <tableColumn id="5" name="Colunas5" headerRowDxfId="1094" dataDxfId="1093"/>
    <tableColumn id="6" name="Colunas6" headerRowDxfId="1092" dataDxfId="1091"/>
    <tableColumn id="7" name="Colunas7" headerRowDxfId="1090" dataDxfId="1089"/>
    <tableColumn id="8" name="Colunas8" headerRowDxfId="1088" dataDxfId="1087"/>
    <tableColumn id="9" name="Colunas9" headerRowDxfId="1086" dataDxfId="1085"/>
    <tableColumn id="10" name="Colunas10" headerRowDxfId="1084" dataDxfId="1083"/>
    <tableColumn id="11" name="Colunas11" headerRowDxfId="1082" dataDxfId="1081"/>
    <tableColumn id="12" name="Colunas12" headerRowDxfId="1080" dataDxfId="1079"/>
    <tableColumn id="13" name="Colunas13" headerRowDxfId="1078" dataDxfId="1077"/>
    <tableColumn id="14" name="Colunas14" headerRowDxfId="1076" dataDxfId="1075"/>
    <tableColumn id="15" name="Colunas15" headerRowDxfId="1074" dataDxfId="1073"/>
    <tableColumn id="16" name="Colunas16" headerRowDxfId="1072" dataDxfId="1071"/>
    <tableColumn id="17" name="Colunas17" headerRowDxfId="1070" dataDxfId="1069"/>
    <tableColumn id="18" name="Colunas18" headerRowDxfId="1068" dataDxfId="1067"/>
    <tableColumn id="19" name="Colunas19" headerRowDxfId="1066" dataDxfId="1065"/>
    <tableColumn id="20" name="Colunas20" headerRowDxfId="1064" dataDxfId="1063"/>
    <tableColumn id="21" name="Colunas21" headerRowDxfId="1062" dataDxfId="1061"/>
    <tableColumn id="22" name="Colunas22" headerRowDxfId="1060" dataDxfId="1059"/>
    <tableColumn id="23" name="Colunas23" headerRowDxfId="1058" dataDxfId="1057"/>
    <tableColumn id="24" name="Colunas24" headerRowDxfId="1056" dataDxfId="1055"/>
    <tableColumn id="25" name="Colunas25" headerRowDxfId="1054" dataDxfId="1053"/>
    <tableColumn id="26" name="Colunas26" headerRowDxfId="1052" dataDxfId="1051"/>
    <tableColumn id="27" name="Colunas27" headerRowDxfId="1050" dataDxfId="1049"/>
    <tableColumn id="28" name="Colunas28" headerRowDxfId="1048" dataDxfId="1047"/>
    <tableColumn id="29" name="Colunas29" headerRowDxfId="1046" dataDxfId="1045"/>
    <tableColumn id="30" name="Colunas30" headerRowDxfId="1044" dataDxfId="1043"/>
    <tableColumn id="31" name="Colunas31" headerRowDxfId="1042" dataDxfId="1041"/>
    <tableColumn id="32" name="Colunas32" headerRowDxfId="1040" dataDxfId="1039"/>
    <tableColumn id="33" name="Colunas33" headerRowDxfId="1038" dataDxfId="1037"/>
    <tableColumn id="34" name="Colunas34" headerRowDxfId="1036" dataDxfId="1035">
      <calculatedColumnFormula>IF(Configurações!$G$10="Ligado",SUMIFS(C332:AH332,$C$4:$AH$4,"&lt;="&amp;Configurações!$C$5,$C$4:$AH$4,"&lt;="&amp;$AI$3),"")</calculatedColumnFormula>
    </tableColumn>
  </tableColumns>
  <tableStyleInfo name="TableStyleLight7" showFirstColumn="0" showLastColumn="0" showRowStripes="1" showColumnStripes="0"/>
</table>
</file>

<file path=xl/tables/table15.xml><?xml version="1.0" encoding="utf-8"?>
<table xmlns="http://schemas.openxmlformats.org/spreadsheetml/2006/main" id="6" name="Entradas_Hortfrut" displayName="Entradas_Hortfrut" ref="A183:AN241" headerRowCount="0" totalsRowShown="0">
  <tableColumns count="40">
    <tableColumn id="1" name="Colunas1" headerRowDxfId="1011">
      <calculatedColumnFormula>COUNT(INDEX($C:$AH,ROW(),1):INDEX($C:$AH,ROW(),$AI$3+1))</calculatedColumnFormula>
    </tableColumn>
    <tableColumn id="2" name="Colunas2" headerRowDxfId="1010" dataDxfId="1009">
      <calculatedColumnFormula>INDEX(Cadastro_Hortfrut[[#All],[Colunas4]],MATCH(ROW()-5,Cadastro_Hortfrut[[#All],[Colunas2]],0))</calculatedColumnFormula>
    </tableColumn>
    <tableColumn id="3" name="Colunas3" headerRowDxfId="1008" dataDxfId="1007"/>
    <tableColumn id="4" name="Colunas4" headerRowDxfId="1006" dataDxfId="1005"/>
    <tableColumn id="5" name="Colunas5" headerRowDxfId="1004" dataDxfId="1003"/>
    <tableColumn id="6" name="Colunas6" headerRowDxfId="1002" dataDxfId="1001"/>
    <tableColumn id="7" name="Colunas7" headerRowDxfId="1000" dataDxfId="999"/>
    <tableColumn id="8" name="Colunas8" headerRowDxfId="998" dataDxfId="997"/>
    <tableColumn id="9" name="Colunas9" headerRowDxfId="996" dataDxfId="995"/>
    <tableColumn id="10" name="Colunas10" headerRowDxfId="994" dataDxfId="993"/>
    <tableColumn id="11" name="Colunas11" headerRowDxfId="992" dataDxfId="991"/>
    <tableColumn id="12" name="Colunas12" headerRowDxfId="990" dataDxfId="989"/>
    <tableColumn id="13" name="Colunas13" headerRowDxfId="988" dataDxfId="987"/>
    <tableColumn id="14" name="Colunas14" headerRowDxfId="986" dataDxfId="985"/>
    <tableColumn id="15" name="Colunas15" headerRowDxfId="984" dataDxfId="983"/>
    <tableColumn id="16" name="Colunas16" headerRowDxfId="982" dataDxfId="981"/>
    <tableColumn id="17" name="Colunas17" headerRowDxfId="980" dataDxfId="979"/>
    <tableColumn id="18" name="Colunas18" headerRowDxfId="978" dataDxfId="977"/>
    <tableColumn id="19" name="Colunas19" headerRowDxfId="976" dataDxfId="975"/>
    <tableColumn id="20" name="Colunas20" headerRowDxfId="974" dataDxfId="973"/>
    <tableColumn id="21" name="Colunas21" headerRowDxfId="972" dataDxfId="971"/>
    <tableColumn id="22" name="Colunas22" headerRowDxfId="970" dataDxfId="969"/>
    <tableColumn id="23" name="Colunas23" headerRowDxfId="968" dataDxfId="967"/>
    <tableColumn id="24" name="Colunas24" headerRowDxfId="966" dataDxfId="965"/>
    <tableColumn id="25" name="Colunas25" headerRowDxfId="964" dataDxfId="963"/>
    <tableColumn id="26" name="Colunas26" headerRowDxfId="962" dataDxfId="961"/>
    <tableColumn id="27" name="Colunas27" headerRowDxfId="960" dataDxfId="959"/>
    <tableColumn id="28" name="Colunas28" headerRowDxfId="958" dataDxfId="957"/>
    <tableColumn id="29" name="Colunas29" headerRowDxfId="956" dataDxfId="955"/>
    <tableColumn id="30" name="Colunas30" headerRowDxfId="954" dataDxfId="953"/>
    <tableColumn id="31" name="Colunas31" headerRowDxfId="952" dataDxfId="951"/>
    <tableColumn id="32" name="Colunas32" headerRowDxfId="950" dataDxfId="949"/>
    <tableColumn id="33" name="Colunas33" headerRowDxfId="948" dataDxfId="947"/>
    <tableColumn id="34" name="Colunas34" headerRowDxfId="946" dataDxfId="945"/>
    <tableColumn id="35" name="Colunas35" headerRowDxfId="944" dataDxfId="943">
      <calculatedColumnFormula>IF(Configurações!$G$10="Ligado",SUMIFS(C183:AH183,$C$4:$AH$4,"&lt;="&amp;Configurações!$C$5,$C$4:$AH$4,"&lt;="&amp;$AI$3),"")</calculatedColumnFormula>
    </tableColumn>
    <tableColumn id="36" name="Colunas36" headerRowDxfId="942" dataDxfId="941">
      <calculatedColumnFormula>IF(Configurações!$G$20="Ligado",IF(AI183&lt;=0,"Vazio",IF(Configurações!$G$18="Semana",IF(Configurações!$G$19="Contar",ENTRADAS!AI183/Configurações!$C$18,AI183/SUM(AK183:AN183)),AI183/A183)),"")</calculatedColumnFormula>
    </tableColumn>
    <tableColumn id="37" name="Colunas37" headerRowDxfId="940" dataDxfId="939">
      <calculatedColumnFormula>IF(SUM(C183:J183)&gt;0,1,0)</calculatedColumnFormula>
    </tableColumn>
    <tableColumn id="38" name="Colunas38" headerRowDxfId="938" dataDxfId="937">
      <calculatedColumnFormula>IF(SUM(K183:Q183)&gt;0,1,0)</calculatedColumnFormula>
    </tableColumn>
    <tableColumn id="39" name="Colunas39" headerRowDxfId="936" dataDxfId="935">
      <calculatedColumnFormula>IF(SUM(R183:X183)&gt;0,1,0)</calculatedColumnFormula>
    </tableColumn>
    <tableColumn id="40" name="Colunas40" headerRowDxfId="934" dataDxfId="933">
      <calculatedColumnFormula>IF(SUMIF($Y$4:$AH$4,"&lt;=" &amp; $AJ$3,ENTRADAS!Y183:AH183)&gt;0,1,0)</calculatedColumnFormula>
    </tableColumn>
  </tableColumns>
  <tableStyleInfo name="Estilo HortFrut " showFirstColumn="0" showLastColumn="1" showRowStripes="1" showColumnStripes="0"/>
</table>
</file>

<file path=xl/tables/table16.xml><?xml version="1.0" encoding="utf-8"?>
<table xmlns="http://schemas.openxmlformats.org/spreadsheetml/2006/main" id="7" name="Entradas_Peixes" displayName="Entradas_Peixes" ref="A176:AN180" headerRowCount="0" totalsRowShown="0">
  <tableColumns count="40">
    <tableColumn id="1" name="Colunas1" headerRowDxfId="932">
      <calculatedColumnFormula>COUNT(INDEX($C:$AH,ROW(),1):INDEX($C:$AH,ROW(),$AI$3+1))</calculatedColumnFormula>
    </tableColumn>
    <tableColumn id="2" name="Colunas2" headerRowDxfId="931" dataDxfId="930">
      <calculatedColumnFormula>INDEX(Cadastro_Peixes[[#All],[Colunas4]],MATCH(ROW()-5,Cadastro_Peixes[[#All],[Colunas2]],0))</calculatedColumnFormula>
    </tableColumn>
    <tableColumn id="3" name="Colunas3" headerRowDxfId="929" dataDxfId="928"/>
    <tableColumn id="4" name="Colunas4" headerRowDxfId="927" dataDxfId="926"/>
    <tableColumn id="5" name="Colunas5" headerRowDxfId="925" dataDxfId="924"/>
    <tableColumn id="6" name="Colunas6" headerRowDxfId="923" dataDxfId="922"/>
    <tableColumn id="7" name="Colunas7" headerRowDxfId="921" dataDxfId="920"/>
    <tableColumn id="8" name="Colunas8" headerRowDxfId="919" dataDxfId="918"/>
    <tableColumn id="9" name="Colunas9" headerRowDxfId="917" dataDxfId="916"/>
    <tableColumn id="10" name="Colunas10" headerRowDxfId="915" dataDxfId="914"/>
    <tableColumn id="11" name="Colunas11" headerRowDxfId="913" dataDxfId="912"/>
    <tableColumn id="12" name="Colunas12" headerRowDxfId="911" dataDxfId="910"/>
    <tableColumn id="13" name="Colunas13" headerRowDxfId="909" dataDxfId="908"/>
    <tableColumn id="14" name="Colunas14" headerRowDxfId="907" dataDxfId="906"/>
    <tableColumn id="15" name="Colunas15" headerRowDxfId="905" dataDxfId="904"/>
    <tableColumn id="16" name="Colunas16" headerRowDxfId="903" dataDxfId="902"/>
    <tableColumn id="17" name="Colunas17" headerRowDxfId="901" dataDxfId="900"/>
    <tableColumn id="18" name="Colunas18" headerRowDxfId="899" dataDxfId="898"/>
    <tableColumn id="19" name="Colunas19" headerRowDxfId="897" dataDxfId="896"/>
    <tableColumn id="20" name="Colunas20" headerRowDxfId="895" dataDxfId="894"/>
    <tableColumn id="21" name="Colunas21" headerRowDxfId="893" dataDxfId="892"/>
    <tableColumn id="22" name="Colunas22" headerRowDxfId="891" dataDxfId="890"/>
    <tableColumn id="23" name="Colunas23" headerRowDxfId="889" dataDxfId="888"/>
    <tableColumn id="24" name="Colunas24" headerRowDxfId="887" dataDxfId="886"/>
    <tableColumn id="25" name="Colunas25" headerRowDxfId="885" dataDxfId="884"/>
    <tableColumn id="26" name="Colunas26" headerRowDxfId="883" dataDxfId="882"/>
    <tableColumn id="27" name="Colunas27" headerRowDxfId="881" dataDxfId="880"/>
    <tableColumn id="28" name="Colunas28" headerRowDxfId="879" dataDxfId="878"/>
    <tableColumn id="29" name="Colunas29" headerRowDxfId="877" dataDxfId="876"/>
    <tableColumn id="30" name="Colunas30" headerRowDxfId="875" dataDxfId="874"/>
    <tableColumn id="31" name="Colunas31" headerRowDxfId="873" dataDxfId="872"/>
    <tableColumn id="32" name="Colunas32" headerRowDxfId="871" dataDxfId="870"/>
    <tableColumn id="33" name="Colunas33" headerRowDxfId="869" dataDxfId="868"/>
    <tableColumn id="34" name="Colunas34" headerRowDxfId="867" dataDxfId="866"/>
    <tableColumn id="35" name="Colunas35" headerRowDxfId="865" dataDxfId="864">
      <calculatedColumnFormula>IF(Configurações!$G$10="Ligado",SUMIFS(C176:AH176,$C$4:$AH$4,"&lt;="&amp;Configurações!$C$5,$C$4:$AH$4,"&lt;="&amp;$AI$3),"")</calculatedColumnFormula>
    </tableColumn>
    <tableColumn id="36" name="Colunas36" headerRowDxfId="863" dataDxfId="862">
      <calculatedColumnFormula>IF(Configurações!$G$20="Ligado",IF(AI177&lt;=0,"Vazio",IF(Configurações!$G$18="Semana",IF(Configurações!$G$19="Contar",ENTRADAS!AI177/Configurações!$C$18,AI177/SUM(AK177:AN177)),AI177/A177)),"")</calculatedColumnFormula>
    </tableColumn>
    <tableColumn id="37" name="Colunas37" headerRowDxfId="861" dataDxfId="860">
      <calculatedColumnFormula>IF(SUM(C177:J177)&gt;0,1,0)</calculatedColumnFormula>
    </tableColumn>
    <tableColumn id="38" name="Colunas38" headerRowDxfId="859" dataDxfId="858">
      <calculatedColumnFormula>IF(SUM(K177:Q177)&gt;0,1,0)</calculatedColumnFormula>
    </tableColumn>
    <tableColumn id="39" name="Colunas39" headerRowDxfId="857" dataDxfId="856">
      <calculatedColumnFormula>IF(SUM(R177:X177)&gt;0,1,0)</calculatedColumnFormula>
    </tableColumn>
    <tableColumn id="40" name="Colunas40" headerRowDxfId="855" dataDxfId="854">
      <calculatedColumnFormula>IF(SUMIF($Y$4:$AH$4,"&lt;=" &amp; $AJ$3,ENTRADAS!Y177:AH177)&gt;0,1,0)</calculatedColumnFormula>
    </tableColumn>
  </tableColumns>
  <tableStyleInfo name="Estilo Laticinios 2" showFirstColumn="0" showLastColumn="0" showRowStripes="1" showColumnStripes="0"/>
</table>
</file>

<file path=xl/tables/table17.xml><?xml version="1.0" encoding="utf-8"?>
<table xmlns="http://schemas.openxmlformats.org/spreadsheetml/2006/main" id="8" name="Entradas_Laticinios" displayName="Entradas_Laticinios" ref="A171:AN173" headerRowCount="0" totalsRowShown="0">
  <tableColumns count="40">
    <tableColumn id="1" name="Colunas1" headerRowDxfId="853">
      <calculatedColumnFormula>COUNT(INDEX($C:$AH,ROW(),1):INDEX($C:$AH,ROW(),$AI$3+1))</calculatedColumnFormula>
    </tableColumn>
    <tableColumn id="2" name="Colunas2" headerRowDxfId="852" dataDxfId="851">
      <calculatedColumnFormula>INDEX(Cadastro_Queijo[[#All],[Colunas4]],MATCH(ROW()-5,Cadastro_Queijo[[#All],[Colunas2]],0))</calculatedColumnFormula>
    </tableColumn>
    <tableColumn id="3" name="Colunas3" headerRowDxfId="850" dataDxfId="849"/>
    <tableColumn id="4" name="Colunas4" headerRowDxfId="848" dataDxfId="847"/>
    <tableColumn id="5" name="Colunas5" headerRowDxfId="846" dataDxfId="845"/>
    <tableColumn id="6" name="Colunas6" headerRowDxfId="844" dataDxfId="843"/>
    <tableColumn id="7" name="Colunas7" headerRowDxfId="842" dataDxfId="841"/>
    <tableColumn id="8" name="Colunas8" headerRowDxfId="840" dataDxfId="839"/>
    <tableColumn id="9" name="Colunas9" headerRowDxfId="838" dataDxfId="837"/>
    <tableColumn id="10" name="Colunas10" headerRowDxfId="836" dataDxfId="835"/>
    <tableColumn id="11" name="Colunas11" headerRowDxfId="834" dataDxfId="833"/>
    <tableColumn id="12" name="Colunas12" headerRowDxfId="832" dataDxfId="831"/>
    <tableColumn id="13" name="Colunas13" headerRowDxfId="830" dataDxfId="829"/>
    <tableColumn id="14" name="Colunas14" headerRowDxfId="828" dataDxfId="827"/>
    <tableColumn id="15" name="Colunas15" headerRowDxfId="826" dataDxfId="825"/>
    <tableColumn id="16" name="Colunas16" headerRowDxfId="824" dataDxfId="823"/>
    <tableColumn id="17" name="Colunas17" headerRowDxfId="822" dataDxfId="821"/>
    <tableColumn id="18" name="Colunas18" headerRowDxfId="820" dataDxfId="819"/>
    <tableColumn id="19" name="Colunas19" headerRowDxfId="818" dataDxfId="817"/>
    <tableColumn id="20" name="Colunas20" headerRowDxfId="816" dataDxfId="815"/>
    <tableColumn id="21" name="Colunas21" headerRowDxfId="814" dataDxfId="813"/>
    <tableColumn id="22" name="Colunas22" headerRowDxfId="812" dataDxfId="811"/>
    <tableColumn id="23" name="Colunas23" headerRowDxfId="810" dataDxfId="809"/>
    <tableColumn id="24" name="Colunas24" headerRowDxfId="808" dataDxfId="807"/>
    <tableColumn id="25" name="Colunas25" headerRowDxfId="806" dataDxfId="805"/>
    <tableColumn id="26" name="Colunas26" headerRowDxfId="804" dataDxfId="803"/>
    <tableColumn id="27" name="Colunas27" headerRowDxfId="802" dataDxfId="801"/>
    <tableColumn id="28" name="Colunas28" headerRowDxfId="800" dataDxfId="799"/>
    <tableColumn id="29" name="Colunas29" headerRowDxfId="798" dataDxfId="797"/>
    <tableColumn id="30" name="Colunas30" headerRowDxfId="796" dataDxfId="795"/>
    <tableColumn id="31" name="Colunas31" headerRowDxfId="794" dataDxfId="793"/>
    <tableColumn id="32" name="Colunas32" headerRowDxfId="792" dataDxfId="791"/>
    <tableColumn id="33" name="Colunas33" headerRowDxfId="790" dataDxfId="789"/>
    <tableColumn id="34" name="Colunas34" headerRowDxfId="788" dataDxfId="787"/>
    <tableColumn id="35" name="Colunas35" headerRowDxfId="786" dataDxfId="785">
      <calculatedColumnFormula>IF(Configurações!$G$10="Ligado",SUMIFS(C171:AH171,$C$4:$AH$4,"&lt;="&amp;Configurações!$C$5,$C$4:$AH$4,"&lt;="&amp;$AI$3),"")</calculatedColumnFormula>
    </tableColumn>
    <tableColumn id="36" name="Colunas36" headerRowDxfId="784" dataDxfId="783">
      <calculatedColumnFormula>IF(Configurações!$G$20="Ligado",IF(AI172&lt;=0,"Vazio",IF(Configurações!$G$18="Semana",IF(Configurações!$G$19="Contar",ENTRADAS!AI172/Configurações!$C$18,AI172/SUM(AK172:AN172)),AI172/A172)),"")</calculatedColumnFormula>
    </tableColumn>
    <tableColumn id="37" name="Colunas37" headerRowDxfId="782" dataDxfId="781">
      <calculatedColumnFormula>IF(SUM(C172:J172)&gt;0,1,0)</calculatedColumnFormula>
    </tableColumn>
    <tableColumn id="38" name="Colunas38" headerRowDxfId="780" dataDxfId="779">
      <calculatedColumnFormula>IF(SUM(K172:Q172)&gt;0,1,0)</calculatedColumnFormula>
    </tableColumn>
    <tableColumn id="39" name="Colunas39" headerRowDxfId="778" dataDxfId="777">
      <calculatedColumnFormula>IF(SUM(R172:X172)&gt;0,1,0)</calculatedColumnFormula>
    </tableColumn>
    <tableColumn id="40" name="Colunas40" headerRowDxfId="776" dataDxfId="775">
      <calculatedColumnFormula>IF(SUMIF($Y$4:$AH$4,"&lt;=" &amp; $AJ$3,ENTRADAS!Y172:AH172)&gt;0,1,0)</calculatedColumnFormula>
    </tableColumn>
  </tableColumns>
  <tableStyleInfo name="Estilo Laticinios" showFirstColumn="0" showLastColumn="0" showRowStripes="1" showColumnStripes="0"/>
</table>
</file>

<file path=xl/tables/table18.xml><?xml version="1.0" encoding="utf-8"?>
<table xmlns="http://schemas.openxmlformats.org/spreadsheetml/2006/main" id="9" name="Entradas_Carnes" displayName="Entradas_Carnes" ref="A140:AN168" headerRowCount="0" totalsRowShown="0">
  <tableColumns count="40">
    <tableColumn id="1" name="Colunas1" headerRowDxfId="774">
      <calculatedColumnFormula>COUNT(INDEX($C:$AH,ROW(),1):INDEX($C:$AH,ROW(),$AI$3+1))</calculatedColumnFormula>
    </tableColumn>
    <tableColumn id="2" name="Colunas2" headerRowDxfId="773" dataDxfId="772">
      <calculatedColumnFormula>INDEX(Cadastro_Carnes[[#All],[Colunas4]],MATCH(ROW()-5,Cadastro_Carnes[[#All],[Colunas2]],0))</calculatedColumnFormula>
    </tableColumn>
    <tableColumn id="3" name="Colunas3" headerRowDxfId="771" dataDxfId="770"/>
    <tableColumn id="4" name="Colunas4" headerRowDxfId="769" dataDxfId="768"/>
    <tableColumn id="5" name="Colunas5" headerRowDxfId="767" dataDxfId="766"/>
    <tableColumn id="6" name="Colunas6" headerRowDxfId="765" dataDxfId="764"/>
    <tableColumn id="7" name="Colunas7" headerRowDxfId="763" dataDxfId="762"/>
    <tableColumn id="8" name="Colunas8" headerRowDxfId="761" dataDxfId="760"/>
    <tableColumn id="9" name="Colunas9" headerRowDxfId="759" dataDxfId="758"/>
    <tableColumn id="10" name="Colunas10" headerRowDxfId="757" dataDxfId="756"/>
    <tableColumn id="11" name="Colunas11" headerRowDxfId="755" dataDxfId="754"/>
    <tableColumn id="12" name="Colunas12" headerRowDxfId="753" dataDxfId="752"/>
    <tableColumn id="13" name="Colunas13" headerRowDxfId="751" dataDxfId="750"/>
    <tableColumn id="14" name="Colunas14" headerRowDxfId="749" dataDxfId="748"/>
    <tableColumn id="15" name="Colunas15" headerRowDxfId="747" dataDxfId="746"/>
    <tableColumn id="16" name="Colunas16" headerRowDxfId="745" dataDxfId="744"/>
    <tableColumn id="17" name="Colunas17" headerRowDxfId="743" dataDxfId="742"/>
    <tableColumn id="18" name="Colunas18" headerRowDxfId="741" dataDxfId="740"/>
    <tableColumn id="19" name="Colunas19" headerRowDxfId="739" dataDxfId="738"/>
    <tableColumn id="20" name="Colunas20" headerRowDxfId="737" dataDxfId="736"/>
    <tableColumn id="21" name="Colunas21" headerRowDxfId="735" dataDxfId="734"/>
    <tableColumn id="22" name="Colunas22" headerRowDxfId="733" dataDxfId="732"/>
    <tableColumn id="23" name="Colunas23" headerRowDxfId="731" dataDxfId="730"/>
    <tableColumn id="24" name="Colunas24" headerRowDxfId="729" dataDxfId="728"/>
    <tableColumn id="25" name="Colunas25" headerRowDxfId="727" dataDxfId="726"/>
    <tableColumn id="26" name="Colunas26" headerRowDxfId="725" dataDxfId="724"/>
    <tableColumn id="27" name="Colunas27" headerRowDxfId="723" dataDxfId="722"/>
    <tableColumn id="28" name="Colunas28" headerRowDxfId="721" dataDxfId="720"/>
    <tableColumn id="29" name="Colunas29" headerRowDxfId="719" dataDxfId="718"/>
    <tableColumn id="30" name="Colunas30" headerRowDxfId="717" dataDxfId="716"/>
    <tableColumn id="31" name="Colunas31" headerRowDxfId="715" dataDxfId="714"/>
    <tableColumn id="32" name="Colunas32" headerRowDxfId="713" dataDxfId="712"/>
    <tableColumn id="33" name="Colunas33" headerRowDxfId="711" dataDxfId="710"/>
    <tableColumn id="34" name="Colunas34" headerRowDxfId="709" dataDxfId="708"/>
    <tableColumn id="35" name="Colunas35" headerRowDxfId="707" dataDxfId="706">
      <calculatedColumnFormula>IF(Configurações!$G$10="Ligado",SUMIFS(C140:AH140,$C$4:$AH$4,"&lt;="&amp;Configurações!$C$5,$C$4:$AH$4,"&lt;="&amp;$AI$3),"")</calculatedColumnFormula>
    </tableColumn>
    <tableColumn id="36" name="Colunas36" headerRowDxfId="705" dataDxfId="704">
      <calculatedColumnFormula>IF(Configurações!$G$20="Ligado",IF(AI141&lt;=0,"Vazio",IF(Configurações!$G$18="Semana",IF(Configurações!$G$19="Contar",ENTRADAS!AI141/Configurações!$C$18,AI141/SUM(AK141:AN141)),AI141/A141)),"")</calculatedColumnFormula>
    </tableColumn>
    <tableColumn id="37" name="Colunas37" headerRowDxfId="703" dataDxfId="702">
      <calculatedColumnFormula>IF(SUM(C141:J141)&gt;0,1,0)</calculatedColumnFormula>
    </tableColumn>
    <tableColumn id="38" name="Colunas38" headerRowDxfId="701" dataDxfId="700">
      <calculatedColumnFormula>IF(SUM(K141:Q141)&gt;0,1,0)</calculatedColumnFormula>
    </tableColumn>
    <tableColumn id="39" name="Colunas39" headerRowDxfId="699" dataDxfId="698">
      <calculatedColumnFormula>IF(SUM(R141:X141)&gt;0,1,0)</calculatedColumnFormula>
    </tableColumn>
    <tableColumn id="40" name="Colunas40" headerRowDxfId="697" dataDxfId="696">
      <calculatedColumnFormula>IF(SUMIF($Y$4:$AH$4,"&lt;=" &amp; $AJ$3,ENTRADAS!Y141:AH141)&gt;0,1,0)</calculatedColumnFormula>
    </tableColumn>
  </tableColumns>
  <tableStyleInfo name="Estilo HortFrut" showFirstColumn="0" showLastColumn="0" showRowStripes="1" showColumnStripes="0"/>
</table>
</file>

<file path=xl/tables/table19.xml><?xml version="1.0" encoding="utf-8"?>
<table xmlns="http://schemas.openxmlformats.org/spreadsheetml/2006/main" id="10" name="Entradas_Mantimentos" displayName="Entradas_Mantimentos" ref="A6:AN137" headerRowCount="0" totalsRowShown="0">
  <tableColumns count="40">
    <tableColumn id="1" name="Colunas1" headerRowDxfId="695">
      <calculatedColumnFormula>Configurações!$C$5-(Configurações!$C$5-(COUNT(C7:AH7)))</calculatedColumnFormula>
    </tableColumn>
    <tableColumn id="2" name="Colunas2" headerRowDxfId="694" dataDxfId="693">
      <calculatedColumnFormula>INDEX(Cadastro_Mantimentos[[#All],[Colunas4]],MATCH(ROW()-5,Cadastro_Mantimentos[[#All],[Colunas2]],0))</calculatedColumnFormula>
    </tableColumn>
    <tableColumn id="3" name="Colunas3" headerRowDxfId="692" dataDxfId="691"/>
    <tableColumn id="4" name="Colunas4" headerRowDxfId="690" dataDxfId="689"/>
    <tableColumn id="5" name="Colunas5" headerRowDxfId="688" dataDxfId="687"/>
    <tableColumn id="6" name="Colunas6" headerRowDxfId="686" dataDxfId="685"/>
    <tableColumn id="7" name="Colunas7" headerRowDxfId="684" dataDxfId="683"/>
    <tableColumn id="8" name="Colunas8" headerRowDxfId="682" dataDxfId="681"/>
    <tableColumn id="9" name="Colunas9" headerRowDxfId="680" dataDxfId="679"/>
    <tableColumn id="10" name="Colunas10" headerRowDxfId="678" dataDxfId="677"/>
    <tableColumn id="11" name="Colunas11" headerRowDxfId="676" dataDxfId="675"/>
    <tableColumn id="12" name="Colunas12" headerRowDxfId="674" dataDxfId="673"/>
    <tableColumn id="13" name="Colunas13" headerRowDxfId="672" dataDxfId="671"/>
    <tableColumn id="14" name="Colunas14" headerRowDxfId="670" dataDxfId="669"/>
    <tableColumn id="15" name="Colunas15" headerRowDxfId="668" dataDxfId="667"/>
    <tableColumn id="16" name="Colunas16" headerRowDxfId="666" dataDxfId="665"/>
    <tableColumn id="17" name="Colunas17" headerRowDxfId="664" dataDxfId="663"/>
    <tableColumn id="18" name="Colunas18" headerRowDxfId="662" dataDxfId="661"/>
    <tableColumn id="19" name="Colunas19" headerRowDxfId="660" dataDxfId="659"/>
    <tableColumn id="20" name="Colunas20" headerRowDxfId="658" dataDxfId="657"/>
    <tableColumn id="21" name="Colunas21" headerRowDxfId="656" dataDxfId="655"/>
    <tableColumn id="22" name="Colunas22" headerRowDxfId="654" dataDxfId="653"/>
    <tableColumn id="23" name="Colunas23" headerRowDxfId="652" dataDxfId="651"/>
    <tableColumn id="24" name="Colunas24" headerRowDxfId="650" dataDxfId="649"/>
    <tableColumn id="25" name="Colunas25" headerRowDxfId="648" dataDxfId="647"/>
    <tableColumn id="26" name="Colunas26" headerRowDxfId="646" dataDxfId="645"/>
    <tableColumn id="27" name="Colunas27" headerRowDxfId="644" dataDxfId="643"/>
    <tableColumn id="28" name="Colunas28" headerRowDxfId="642" dataDxfId="641"/>
    <tableColumn id="29" name="Colunas29" headerRowDxfId="640" dataDxfId="639"/>
    <tableColumn id="30" name="Colunas30" headerRowDxfId="638" dataDxfId="637"/>
    <tableColumn id="31" name="Colunas31" headerRowDxfId="636" dataDxfId="635"/>
    <tableColumn id="32" name="Colunas32" headerRowDxfId="634" dataDxfId="633"/>
    <tableColumn id="33" name="Colunas33" headerRowDxfId="632" dataDxfId="631"/>
    <tableColumn id="34" name="Colunas34" headerRowDxfId="630" dataDxfId="629"/>
    <tableColumn id="35" name="Colunas35" headerRowDxfId="628" dataDxfId="627">
      <calculatedColumnFormula>IF(Configurações!$G$10="Ligado",SUMIFS(C6:AH6,$C$4:$AH$4,"&lt;="&amp;Configurações!$C$5,$C$4:$AH$4,"&lt;="&amp;$AI$3),"")</calculatedColumnFormula>
    </tableColumn>
    <tableColumn id="36" name="Colunas36" headerRowDxfId="626" dataDxfId="625">
      <calculatedColumnFormula>IF(Configurações!$G$20="Ligado",IF(AI7&lt;=0,"Vazio",IF(Configurações!$G$18="Semana",IF(Configurações!$G$19="Contar",ENTRADAS!AI7/Configurações!$C$18,AI7/SUM(AK7:AN7)),AI7/A7)),"")</calculatedColumnFormula>
    </tableColumn>
    <tableColumn id="37" name="Colunas37" headerRowDxfId="624" dataDxfId="623">
      <calculatedColumnFormula>IF(SUM(C6:J6)&gt;0,1,0)</calculatedColumnFormula>
    </tableColumn>
    <tableColumn id="38" name="Colunas38" headerRowDxfId="622" dataDxfId="621">
      <calculatedColumnFormula>IF(SUM(K6:Q6)&gt;0,1,0)</calculatedColumnFormula>
    </tableColumn>
    <tableColumn id="39" name="Colunas39" headerRowDxfId="620" dataDxfId="619">
      <calculatedColumnFormula>IF(SUM(R6:X6)&gt;0,1,0)</calculatedColumnFormula>
    </tableColumn>
    <tableColumn id="40" name="Colunas40" headerRowDxfId="618" dataDxfId="617">
      <calculatedColumnFormula>IF(SUMIF($Y$4:$AH$4,"&lt;=" &amp; $AJ$3,ENTRADAS!Y6:AH6)&gt;0,1,0)</calculatedColumnFormula>
    </tableColumn>
  </tableColumns>
  <tableStyleInfo name="Estilo Mantimentos" showFirstColumn="0" showLastColumn="0" showRowStripes="1" showColumnStripes="0"/>
</table>
</file>

<file path=xl/tables/table20.xml><?xml version="1.0" encoding="utf-8"?>
<table xmlns="http://schemas.openxmlformats.org/spreadsheetml/2006/main" id="35" name="Entradas_Limpeza" displayName="Entradas_Limpeza" ref="A244:AN315" headerRowCount="0" totalsRowShown="0" dataDxfId="616" tableBorderDxfId="615">
  <tableColumns count="40">
    <tableColumn id="1" name="Colunas1" dataDxfId="614">
      <calculatedColumnFormula>COUNT(INDEX($C:$AH,ROW(),1):INDEX($C:$AH,ROW(),$AI$3+1))</calculatedColumnFormula>
    </tableColumn>
    <tableColumn id="2" name="Colunas2" headerRowDxfId="613" dataDxfId="612">
      <calculatedColumnFormula>INDEX(Cadastro_Limpeza[[#All],[Colunas4]],MATCH(ROW()-5,Cadastro_Limpeza[[#All],[Colunas2]],0))</calculatedColumnFormula>
    </tableColumn>
    <tableColumn id="3" name="Colunas3" headerRowDxfId="611" dataDxfId="610"/>
    <tableColumn id="4" name="Colunas4" headerRowDxfId="609" dataDxfId="608"/>
    <tableColumn id="5" name="Colunas5" headerRowDxfId="607" dataDxfId="606"/>
    <tableColumn id="6" name="Colunas6" headerRowDxfId="605" dataDxfId="604"/>
    <tableColumn id="7" name="Colunas7" headerRowDxfId="603" dataDxfId="602"/>
    <tableColumn id="8" name="Colunas8" headerRowDxfId="601" dataDxfId="600"/>
    <tableColumn id="9" name="Colunas9" headerRowDxfId="599" dataDxfId="598"/>
    <tableColumn id="10" name="Colunas10" headerRowDxfId="597" dataDxfId="596"/>
    <tableColumn id="11" name="Colunas11" headerRowDxfId="595" dataDxfId="594"/>
    <tableColumn id="12" name="Colunas12" headerRowDxfId="593" dataDxfId="592"/>
    <tableColumn id="13" name="Colunas13" headerRowDxfId="591" dataDxfId="590"/>
    <tableColumn id="14" name="Colunas14" headerRowDxfId="589" dataDxfId="588"/>
    <tableColumn id="15" name="Colunas15" headerRowDxfId="587" dataDxfId="586"/>
    <tableColumn id="16" name="Colunas16" headerRowDxfId="585" dataDxfId="584"/>
    <tableColumn id="17" name="Colunas17" headerRowDxfId="583" dataDxfId="582"/>
    <tableColumn id="18" name="Colunas18" headerRowDxfId="581" dataDxfId="580"/>
    <tableColumn id="19" name="Colunas19" headerRowDxfId="579" dataDxfId="578"/>
    <tableColumn id="20" name="Colunas20" headerRowDxfId="577" dataDxfId="576"/>
    <tableColumn id="21" name="Colunas21" headerRowDxfId="575" dataDxfId="574"/>
    <tableColumn id="22" name="Colunas22" headerRowDxfId="573" dataDxfId="572"/>
    <tableColumn id="23" name="Colunas23" headerRowDxfId="571" dataDxfId="570"/>
    <tableColumn id="24" name="Colunas24" headerRowDxfId="569" dataDxfId="568"/>
    <tableColumn id="25" name="Colunas25" headerRowDxfId="567" dataDxfId="566"/>
    <tableColumn id="26" name="Colunas26" headerRowDxfId="565" dataDxfId="564"/>
    <tableColumn id="27" name="Colunas27" headerRowDxfId="563" dataDxfId="562"/>
    <tableColumn id="28" name="Colunas28" headerRowDxfId="561" dataDxfId="560"/>
    <tableColumn id="29" name="Colunas29" headerRowDxfId="559" dataDxfId="558"/>
    <tableColumn id="30" name="Colunas30" headerRowDxfId="557" dataDxfId="556"/>
    <tableColumn id="31" name="Colunas31" headerRowDxfId="555" dataDxfId="554"/>
    <tableColumn id="32" name="Colunas32" headerRowDxfId="553" dataDxfId="552"/>
    <tableColumn id="33" name="Colunas33" headerRowDxfId="551" dataDxfId="550"/>
    <tableColumn id="34" name="Colunas34" headerRowDxfId="549" dataDxfId="548"/>
    <tableColumn id="35" name="Colunas35" headerRowDxfId="547" dataDxfId="546">
      <calculatedColumnFormula>IF(Configurações!$G$10="Ligado",SUMIFS(C246:AH246,$C$4:$AH$4,"&lt;="&amp;Configurações!$C$5,$C$4:$AH$4,"&lt;="&amp;$AI$3),"")</calculatedColumnFormula>
    </tableColumn>
    <tableColumn id="36" name="Colunas36" headerRowDxfId="545" dataDxfId="544">
      <calculatedColumnFormula>IF(Configurações!$G$20="Ligado",IF(AI246&lt;=0,"Vazio",IF(Configurações!$G$18="Semana",IF(Configurações!$G$19="Contar",ENTRADAS!AI246/Configurações!$C$18,AI246/SUM(AK246:AN246)),AI246/A246)),"")</calculatedColumnFormula>
    </tableColumn>
    <tableColumn id="37" name="Colunas37" dataDxfId="543">
      <calculatedColumnFormula>IF(SUM(C246:J246)&gt;0,1,0)</calculatedColumnFormula>
    </tableColumn>
    <tableColumn id="38" name="Colunas38" dataDxfId="542">
      <calculatedColumnFormula>IF(SUM(K246:Q246)&gt;0,1,0)</calculatedColumnFormula>
    </tableColumn>
    <tableColumn id="39" name="Colunas39" dataDxfId="541">
      <calculatedColumnFormula>IF(SUM(R246:X246)&gt;0,1,0)</calculatedColumnFormula>
    </tableColumn>
    <tableColumn id="40" name="Colunas40" dataDxfId="540">
      <calculatedColumnFormula>IF(SUMIF($Y$4:$AH$4,"&lt;=" &amp; $AJ$3,ENTRADAS!Y246:AH246)&gt;0,1,0)</calculatedColumnFormula>
    </tableColumn>
  </tableColumns>
  <tableStyleInfo name="lIMPEZA" showFirstColumn="0" showLastColumn="0" showRowStripes="1" showColumnStripes="0"/>
</table>
</file>

<file path=xl/tables/table21.xml><?xml version="1.0" encoding="utf-8"?>
<table xmlns="http://schemas.openxmlformats.org/spreadsheetml/2006/main" id="37" name="Baixas_Piscina38" displayName="Baixas_Piscina38" ref="A318:AN329" headerRowCount="0" totalsRowShown="0" tableBorderDxfId="539">
  <tableColumns count="40">
    <tableColumn id="1" name="Colunas1" headerRowDxfId="538" dataDxfId="537">
      <calculatedColumnFormula>COUNT(INDEX($C:$AH,ROW(),1):INDEX($C:$AH,ROW(),$AI$3+1))</calculatedColumnFormula>
    </tableColumn>
    <tableColumn id="2" name="Colunas2" dataDxfId="536">
      <calculatedColumnFormula>INDEX(Cadastro_Piscina[[#All],[Colunas4]],MATCH(ROW()-5,Cadastro_Piscina[[#All],[Colunas2]],0))</calculatedColumnFormula>
    </tableColumn>
    <tableColumn id="3" name="Colunas3" dataDxfId="535"/>
    <tableColumn id="4" name="Colunas4" dataDxfId="534"/>
    <tableColumn id="5" name="Colunas5" dataDxfId="533"/>
    <tableColumn id="6" name="Colunas6" dataDxfId="532"/>
    <tableColumn id="7" name="Colunas7" dataDxfId="531"/>
    <tableColumn id="8" name="Colunas8" dataDxfId="530"/>
    <tableColumn id="9" name="Colunas9" dataDxfId="529"/>
    <tableColumn id="10" name="Colunas10" dataDxfId="528"/>
    <tableColumn id="11" name="Colunas11" dataDxfId="527"/>
    <tableColumn id="12" name="Colunas12" dataDxfId="526"/>
    <tableColumn id="13" name="Colunas13" dataDxfId="525"/>
    <tableColumn id="14" name="Colunas14" dataDxfId="524"/>
    <tableColumn id="15" name="Colunas15" dataDxfId="523"/>
    <tableColumn id="16" name="Colunas16" dataDxfId="522"/>
    <tableColumn id="17" name="Colunas17" dataDxfId="521"/>
    <tableColumn id="18" name="Colunas18" dataDxfId="520"/>
    <tableColumn id="19" name="Colunas19" dataDxfId="519"/>
    <tableColumn id="20" name="Colunas20" dataDxfId="518"/>
    <tableColumn id="21" name="Colunas21" dataDxfId="517"/>
    <tableColumn id="22" name="Colunas22" dataDxfId="516"/>
    <tableColumn id="23" name="Colunas23" dataDxfId="515"/>
    <tableColumn id="24" name="Colunas24" dataDxfId="514"/>
    <tableColumn id="25" name="Colunas25" dataDxfId="513"/>
    <tableColumn id="26" name="Colunas26" dataDxfId="512"/>
    <tableColumn id="27" name="Colunas27" dataDxfId="511"/>
    <tableColumn id="28" name="Colunas28" dataDxfId="510"/>
    <tableColumn id="29" name="Colunas29" dataDxfId="509"/>
    <tableColumn id="30" name="Colunas30" dataDxfId="508"/>
    <tableColumn id="31" name="Colunas31" dataDxfId="507"/>
    <tableColumn id="32" name="Colunas32" dataDxfId="506"/>
    <tableColumn id="33" name="Colunas33" dataDxfId="505"/>
    <tableColumn id="34" name="Colunas34" dataDxfId="504"/>
    <tableColumn id="35" name="Colunas35" dataDxfId="503">
      <calculatedColumnFormula>IF(Configurações!$G$10="Ligado",SUMIFS(C318:AH318,$C$4:$AH$4,"&lt;="&amp;Configurações!$C$5,$C$4:$AH$4,"&lt;="&amp;$AI$3),"")</calculatedColumnFormula>
    </tableColumn>
    <tableColumn id="36" name="Colunas36" dataDxfId="502">
      <calculatedColumnFormula>IF(Configurações!$G$20="Ligado",IF(AI318&lt;=0,"Vazio",IF(Configurações!$G$18="Semana",IF(Configurações!$G$19="Contar",ENTRADAS!AI318/Configurações!$C$18,AI318/SUM(AK318:AN318)),AI318/A318)),"")</calculatedColumnFormula>
    </tableColumn>
    <tableColumn id="37" name="Colunas37" dataDxfId="501">
      <calculatedColumnFormula>IF(SUM(C318:J318)&gt;0,1,0)</calculatedColumnFormula>
    </tableColumn>
    <tableColumn id="38" name="Colunas38" dataDxfId="500">
      <calculatedColumnFormula>IF(SUM(K318:Q318)&gt;0,1,0)</calculatedColumnFormula>
    </tableColumn>
    <tableColumn id="39" name="Colunas39" dataDxfId="499">
      <calculatedColumnFormula>IF(SUM(R318:X318)&gt;0,1,0)</calculatedColumnFormula>
    </tableColumn>
    <tableColumn id="40" name="Colunas40" dataDxfId="498">
      <calculatedColumnFormula>IF(SUMIF($Y$4:$AH$4,"&lt;=" &amp; $AJ$3,ENTRADAS!Y318:AH318)&gt;0,1,0)</calculatedColumnFormula>
    </tableColumn>
  </tableColumns>
  <tableStyleInfo name="Estilo Laticinios" showFirstColumn="0" showLastColumn="1" showRowStripes="1" showColumnStripes="0"/>
</table>
</file>

<file path=xl/tables/table22.xml><?xml version="1.0" encoding="utf-8"?>
<table xmlns="http://schemas.openxmlformats.org/spreadsheetml/2006/main" id="40" name="Entrada_covid" displayName="Entrada_covid" ref="A332:AI347" headerRowCount="0" totalsRowShown="0" headerRowDxfId="497" dataDxfId="495" headerRowBorderDxfId="496" tableBorderDxfId="494">
  <tableColumns count="35">
    <tableColumn id="35" name="Colunas35" headerRowDxfId="493" dataDxfId="492">
      <calculatedColumnFormula>COUNT(INDEX($C:$AH,ROW(),1):INDEX($C:$AH,ROW(),$AI$3+1))</calculatedColumnFormula>
    </tableColumn>
    <tableColumn id="1" name="Colunas1" headerRowDxfId="491" dataDxfId="490">
      <calculatedColumnFormula>INDEX(Cadastro_covid[[#All],[Colunas4]],MATCH(ROW()-5,Cadastro_covid[[#All],[Colunas2]],0))</calculatedColumnFormula>
    </tableColumn>
    <tableColumn id="2" name="Colunas2" headerRowDxfId="489" dataDxfId="488"/>
    <tableColumn id="3" name="Colunas3" headerRowDxfId="487" dataDxfId="486"/>
    <tableColumn id="4" name="Colunas4" headerRowDxfId="485" dataDxfId="484"/>
    <tableColumn id="5" name="Colunas5" headerRowDxfId="483" dataDxfId="482"/>
    <tableColumn id="6" name="Colunas6" headerRowDxfId="481" dataDxfId="480"/>
    <tableColumn id="7" name="Colunas7" headerRowDxfId="479" dataDxfId="478"/>
    <tableColumn id="8" name="Colunas8" headerRowDxfId="477" dataDxfId="476"/>
    <tableColumn id="9" name="Colunas9" headerRowDxfId="475" dataDxfId="474"/>
    <tableColumn id="10" name="Colunas10" headerRowDxfId="473" dataDxfId="472"/>
    <tableColumn id="11" name="Colunas11" headerRowDxfId="471" dataDxfId="470"/>
    <tableColumn id="12" name="Colunas12" headerRowDxfId="469" dataDxfId="468"/>
    <tableColumn id="13" name="Colunas13" headerRowDxfId="467" dataDxfId="466"/>
    <tableColumn id="14" name="Colunas14" headerRowDxfId="465" dataDxfId="464"/>
    <tableColumn id="15" name="Colunas15" headerRowDxfId="463" dataDxfId="462"/>
    <tableColumn id="16" name="Colunas16" headerRowDxfId="461" dataDxfId="460"/>
    <tableColumn id="17" name="Colunas17" headerRowDxfId="459" dataDxfId="458"/>
    <tableColumn id="18" name="Colunas18" headerRowDxfId="457" dataDxfId="456"/>
    <tableColumn id="19" name="Colunas19" headerRowDxfId="455" dataDxfId="454"/>
    <tableColumn id="20" name="Colunas20" headerRowDxfId="453" dataDxfId="452"/>
    <tableColumn id="21" name="Colunas21" headerRowDxfId="451" dataDxfId="450"/>
    <tableColumn id="22" name="Colunas22" headerRowDxfId="449" dataDxfId="448"/>
    <tableColumn id="23" name="Colunas23" headerRowDxfId="447" dataDxfId="446"/>
    <tableColumn id="24" name="Colunas24" headerRowDxfId="445" dataDxfId="444"/>
    <tableColumn id="25" name="Colunas25" headerRowDxfId="443" dataDxfId="442"/>
    <tableColumn id="26" name="Colunas26" headerRowDxfId="441" dataDxfId="440"/>
    <tableColumn id="27" name="Colunas27" headerRowDxfId="439" dataDxfId="438"/>
    <tableColumn id="28" name="Colunas28" headerRowDxfId="437" dataDxfId="436"/>
    <tableColumn id="29" name="Colunas29" headerRowDxfId="435" dataDxfId="434"/>
    <tableColumn id="30" name="Colunas30" headerRowDxfId="433" dataDxfId="432"/>
    <tableColumn id="31" name="Colunas31" headerRowDxfId="431" dataDxfId="430"/>
    <tableColumn id="32" name="Colunas32" headerRowDxfId="429" dataDxfId="428"/>
    <tableColumn id="33" name="Colunas33" headerRowDxfId="427" dataDxfId="426"/>
    <tableColumn id="34" name="Colunas34" headerRowDxfId="425" dataDxfId="424">
      <calculatedColumnFormula>IF(Configurações!$G$10="Ligado",SUMIFS(C332:AH332,$C$4:$AH$4,"&lt;="&amp;Configurações!$C$5,$C$4:$AH$4,"&lt;="&amp;$AI$3),"")</calculatedColumnFormula>
    </tableColumn>
  </tableColumns>
  <tableStyleInfo name="TableStyleLight7" showFirstColumn="0" showLastColumn="0" showRowStripes="1" showColumnStripes="0"/>
</table>
</file>

<file path=xl/tables/table23.xml><?xml version="1.0" encoding="utf-8"?>
<table xmlns="http://schemas.openxmlformats.org/spreadsheetml/2006/main" id="11" name="Estoque_min_Mantimentos" displayName="Estoque_min_Mantimentos" ref="B7:D138" headerRowCount="0" totalsRowShown="0" tableBorderDxfId="421">
  <tableColumns count="3">
    <tableColumn id="1" name="Colunas1" headerRowDxfId="420" dataDxfId="419">
      <calculatedColumnFormula>INDEX(Cadastro_Mantimentos[[#All],[Colunas4]],MATCH(ROW()-6,Cadastro_Mantimentos[[#All],[Colunas2]],0))</calculatedColumnFormula>
    </tableColumn>
    <tableColumn id="2" name="Colunas2" headerRowDxfId="418" dataDxfId="417">
      <calculatedColumnFormula>IF(BAIXAS!AJ6="Vazio","Info",ROUNDUP(BAIXAS!AI6/DAY(Configurações!$C$5)*'Estoque Mínimo'!$K$1*(1+('Estoque Mínimo'!$G$1/100)),0))</calculatedColumnFormula>
    </tableColumn>
    <tableColumn id="3" name="Colunas3" headerRowDxfId="416" dataDxfId="415">
      <calculatedColumnFormula>IF(ESTOQUE!E6="","",ESTOQUE!E6)</calculatedColumnFormula>
    </tableColumn>
  </tableColumns>
  <tableStyleInfo name="Estilo Mantimentos" showFirstColumn="0" showLastColumn="0" showRowStripes="1" showColumnStripes="0"/>
</table>
</file>

<file path=xl/tables/table24.xml><?xml version="1.0" encoding="utf-8"?>
<table xmlns="http://schemas.openxmlformats.org/spreadsheetml/2006/main" id="12" name="Estoque_min_Hortfruti" displayName="Estoque_min_Hortfruti" ref="B184:D242" headerRowCount="0" totalsRowShown="0" tableBorderDxfId="414">
  <tableColumns count="3">
    <tableColumn id="1" name="Colunas1" headerRowDxfId="413" dataDxfId="412">
      <calculatedColumnFormula>INDEX(Cadastro_Hortfrut[[#All],[Colunas4]],MATCH(ROW()-6,Cadastro_Hortfrut[[#All],[Colunas2]],0))</calculatedColumnFormula>
    </tableColumn>
    <tableColumn id="2" name="Colunas2" headerRowDxfId="411" dataDxfId="410">
      <calculatedColumnFormula>IF(BAIXAS!AJ183="Vazio","Info",ROUNDUP(BAIXAS!AI183/DAY(Configurações!$C$5)*'Estoque Mínimo'!$K$1*(1+('Estoque Mínimo'!$G$1/100)),0))</calculatedColumnFormula>
    </tableColumn>
    <tableColumn id="3" name="Colunas3" headerRowDxfId="409" dataDxfId="408">
      <calculatedColumnFormula>IF(ESTOQUE!E183="","",ESTOQUE!E183)</calculatedColumnFormula>
    </tableColumn>
  </tableColumns>
  <tableStyleInfo name="Estilo HortFrut " showFirstColumn="0" showLastColumn="0" showRowStripes="1" showColumnStripes="0"/>
</table>
</file>

<file path=xl/tables/table25.xml><?xml version="1.0" encoding="utf-8"?>
<table xmlns="http://schemas.openxmlformats.org/spreadsheetml/2006/main" id="24" name="Estoque_min_Laticinios" displayName="Estoque_min_Laticinios" ref="B172:D174" headerRowCount="0" totalsRowShown="0" tableBorderDxfId="407">
  <tableColumns count="3">
    <tableColumn id="1" name="Colunas1" headerRowDxfId="406" dataDxfId="405">
      <calculatedColumnFormula>INDEX(Cadastro_Queijo[[#All],[Colunas4]],MATCH(ROW()-6,Cadastro_Queijo[[#All],[Colunas2]],0))</calculatedColumnFormula>
    </tableColumn>
    <tableColumn id="2" name="Colunas2" headerRowDxfId="404" dataDxfId="403">
      <calculatedColumnFormula>IF(BAIXAS!AJ171="Vazio","Info",ROUNDUP(BAIXAS!AI171/DAY(Configurações!$C$5)*'Estoque Mínimo'!$K$1*(1+('Estoque Mínimo'!$G$1/100)),0))</calculatedColumnFormula>
    </tableColumn>
    <tableColumn id="3" name="Colunas3" headerRowDxfId="402" dataDxfId="401">
      <calculatedColumnFormula>IF(ESTOQUE!E167="","",ESTOQUE!E167)</calculatedColumnFormula>
    </tableColumn>
  </tableColumns>
  <tableStyleInfo name="Estilo Carnes 2" showFirstColumn="0" showLastColumn="0" showRowStripes="1" showColumnStripes="0"/>
</table>
</file>

<file path=xl/tables/table26.xml><?xml version="1.0" encoding="utf-8"?>
<table xmlns="http://schemas.openxmlformats.org/spreadsheetml/2006/main" id="26" name="Estoque_min_Carnes" displayName="Estoque_min_Carnes" ref="B141:D169" headerRowCount="0" totalsRowShown="0" tableBorderDxfId="400">
  <tableColumns count="3">
    <tableColumn id="1" name="Colunas1" headerRowDxfId="399" dataDxfId="398">
      <calculatedColumnFormula>INDEX(Cadastro_Carnes[[#All],[Colunas4]],MATCH(ROW()-6,Cadastro_Carnes[[#All],[Colunas2]],0))</calculatedColumnFormula>
    </tableColumn>
    <tableColumn id="2" name="Colunas2" headerRowDxfId="397" dataDxfId="396">
      <calculatedColumnFormula>IF(BAIXAS!AJ140="Vazio","Info",ROUNDUP(BAIXAS!AI140/DAY(Configurações!$C$5)*'Estoque Mínimo'!$K$1*(1+('Estoque Mínimo'!$G$1/100)),0))</calculatedColumnFormula>
    </tableColumn>
    <tableColumn id="3" name="Colunas3" headerRowDxfId="395" dataDxfId="394">
      <calculatedColumnFormula>IF(ESTOQUE!E140="","",ESTOQUE!E140)</calculatedColumnFormula>
    </tableColumn>
  </tableColumns>
  <tableStyleInfo name="Estilo Carnes" showFirstColumn="0" showLastColumn="0" showRowStripes="1" showColumnStripes="0"/>
</table>
</file>

<file path=xl/tables/table27.xml><?xml version="1.0" encoding="utf-8"?>
<table xmlns="http://schemas.openxmlformats.org/spreadsheetml/2006/main" id="27" name="Estoque_min_Peixes" displayName="Estoque_min_Peixes" ref="B177:D181" headerRowCount="0" totalsRowShown="0" tableBorderDxfId="393">
  <tableColumns count="3">
    <tableColumn id="1" name="Colunas1" headerRowDxfId="392" dataDxfId="391">
      <calculatedColumnFormula>INDEX(Cadastro_Peixes[[#All],[Colunas4]],MATCH(ROW()-6,Cadastro_Peixes[[#All],[Colunas2]],0))</calculatedColumnFormula>
    </tableColumn>
    <tableColumn id="2" name="Colunas2" headerRowDxfId="390" dataDxfId="389">
      <calculatedColumnFormula>IF(BAIXAS!AJ176="Vazio","Info",ROUNDUP(BAIXAS!AI176/DAY(Configurações!$C$5)*'Estoque Mínimo'!$K$1*(1+('Estoque Mínimo'!$G$1/100)),0))</calculatedColumnFormula>
    </tableColumn>
    <tableColumn id="3" name="Colunas3" headerRowDxfId="388" dataDxfId="387">
      <calculatedColumnFormula>IF(ESTOQUE!E176="","",ESTOQUE!E176)</calculatedColumnFormula>
    </tableColumn>
  </tableColumns>
  <tableStyleInfo name="Estilo Laticinios 2" showFirstColumn="0" showLastColumn="0" showRowStripes="1" showColumnStripes="0"/>
</table>
</file>

<file path=xl/tables/table28.xml><?xml version="1.0" encoding="utf-8"?>
<table xmlns="http://schemas.openxmlformats.org/spreadsheetml/2006/main" id="28" name="Previsao_Mantimentos" displayName="Previsao_Mantimentos" ref="B6:AH137" headerRowCount="0" totalsRowShown="0" tableBorderDxfId="384">
  <tableColumns count="33">
    <tableColumn id="1" name="Colunas1" headerRowDxfId="383" dataDxfId="382">
      <calculatedColumnFormula>INDEX(Cadastro_Mantimentos[[#All],[Colunas4]],MATCH(ROW()-5,Cadastro_Mantimentos[[#All],[Colunas2]],0))</calculatedColumnFormula>
    </tableColumn>
    <tableColumn id="2" name="Colunas2" headerRowDxfId="381" dataDxfId="380">
      <calculatedColumnFormula>IF(Estoque_Mantimentos[[#This Row],[Colunas10]]=0,"",Estoque_Mantimentos[[#This Row],[Colunas10]]*(SUMIF('Qtd Pessoas'!$B$6:$B$36,"&lt;="&amp;C$4,'Qtd Pessoas'!$F$6:$F$36)-SUMIF('Qtd Pessoas'!$B$6:$B$36,"&lt;="&amp;C$4-1,'Qtd Pessoas'!$F$6:$F$36)))</calculatedColumnFormula>
    </tableColumn>
    <tableColumn id="3" name="Colunas3" headerRowDxfId="379" dataDxfId="378">
      <calculatedColumnFormula>IF(Estoque_Mantimentos[[#This Row],[Colunas10]]=0,"",Estoque_Mantimentos[[#This Row],[Colunas10]]*(SUMIF('Qtd Pessoas'!$B$6:$B$36,"&lt;="&amp;D$4,'Qtd Pessoas'!$F$6:$F$36)-SUMIF('Qtd Pessoas'!$B$6:$B$36,"&lt;="&amp;D$4-1,'Qtd Pessoas'!$F$6:$F$36)))</calculatedColumnFormula>
    </tableColumn>
    <tableColumn id="4" name="Colunas4" headerRowDxfId="377" dataDxfId="376">
      <calculatedColumnFormula>IF(Estoque_Mantimentos[[#This Row],[Colunas10]]=0,"",Estoque_Mantimentos[[#This Row],[Colunas10]]*(SUMIF('Qtd Pessoas'!$B$6:$B$36,"&lt;="&amp;E$4,'Qtd Pessoas'!$F$6:$F$36)-SUMIF('Qtd Pessoas'!$B$6:$B$36,"&lt;="&amp;E$4-1,'Qtd Pessoas'!$F$6:$F$36)))</calculatedColumnFormula>
    </tableColumn>
    <tableColumn id="5" name="Colunas5" headerRowDxfId="375" dataDxfId="374">
      <calculatedColumnFormula>IF(Estoque_Mantimentos[[#This Row],[Colunas10]]=0,"",Estoque_Mantimentos[[#This Row],[Colunas10]]*(SUMIF('Qtd Pessoas'!$B$6:$B$36,"&lt;="&amp;F$4,'Qtd Pessoas'!$F$6:$F$36)-SUMIF('Qtd Pessoas'!$B$6:$B$36,"&lt;="&amp;F$4-1,'Qtd Pessoas'!$F$6:$F$36)))</calculatedColumnFormula>
    </tableColumn>
    <tableColumn id="6" name="Colunas6" headerRowDxfId="373" dataDxfId="372">
      <calculatedColumnFormula>IF(Estoque_Mantimentos[[#This Row],[Colunas10]]=0,"",Estoque_Mantimentos[[#This Row],[Colunas10]]*(SUMIF('Qtd Pessoas'!$B$6:$B$36,"&lt;="&amp;G$4,'Qtd Pessoas'!$F$6:$F$36)-SUMIF('Qtd Pessoas'!$B$6:$B$36,"&lt;="&amp;G$4-1,'Qtd Pessoas'!$F$6:$F$36)))</calculatedColumnFormula>
    </tableColumn>
    <tableColumn id="7" name="Colunas7" headerRowDxfId="371" dataDxfId="370">
      <calculatedColumnFormula>IF(Estoque_Mantimentos[[#This Row],[Colunas10]]=0,"",Estoque_Mantimentos[[#This Row],[Colunas10]]*(SUMIF('Qtd Pessoas'!$B$6:$B$36,"&lt;="&amp;H$4,'Qtd Pessoas'!$F$6:$F$36)-SUMIF('Qtd Pessoas'!$B$6:$B$36,"&lt;="&amp;H$4-1,'Qtd Pessoas'!$F$6:$F$36)))</calculatedColumnFormula>
    </tableColumn>
    <tableColumn id="8" name="Colunas8" headerRowDxfId="369" dataDxfId="368">
      <calculatedColumnFormula>IF(Estoque_Mantimentos[[#This Row],[Colunas10]]=0,"",Estoque_Mantimentos[[#This Row],[Colunas10]]*(SUMIF('Qtd Pessoas'!$B$6:$B$36,"&lt;="&amp;I$4,'Qtd Pessoas'!$F$6:$F$36)-SUMIF('Qtd Pessoas'!$B$6:$B$36,"&lt;="&amp;I$4-1,'Qtd Pessoas'!$F$6:$F$36)))</calculatedColumnFormula>
    </tableColumn>
    <tableColumn id="9" name="Colunas9" headerRowDxfId="367" dataDxfId="366">
      <calculatedColumnFormula>IF(Estoque_Mantimentos[[#This Row],[Colunas10]]=0,"",Estoque_Mantimentos[[#This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365" dataDxfId="364">
      <calculatedColumnFormula>IF(Estoque_Mantimentos[[#This Row],[Colunas10]]=0,"",Estoque_Mantimentos[[#This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363" dataDxfId="362">
      <calculatedColumnFormula>IF(Estoque_Mantimentos[[#This Row],[Colunas10]]=0,"",Estoque_Mantimentos[[#This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361" dataDxfId="360">
      <calculatedColumnFormula>IF(Estoque_Mantimentos[[#This Row],[Colunas10]]=0,"",Estoque_Mantimentos[[#This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359" dataDxfId="358">
      <calculatedColumnFormula>IF(Estoque_Mantimentos[[#This Row],[Colunas10]]=0,"",Estoque_Mantimentos[[#This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357" dataDxfId="356">
      <calculatedColumnFormula>IF(Estoque_Mantimentos[[#This Row],[Colunas10]]=0,"",Estoque_Mantimentos[[#This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355" dataDxfId="354">
      <calculatedColumnFormula>IF(Estoque_Mantimentos[[#This Row],[Colunas10]]=0,"",Estoque_Mantimentos[[#This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353" dataDxfId="352">
      <calculatedColumnFormula>IF(Estoque_Mantimentos[[#This Row],[Colunas10]]=0,"",Estoque_Mantimentos[[#This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351" dataDxfId="350">
      <calculatedColumnFormula>IF(Estoque_Mantimentos[[#This Row],[Colunas10]]=0,"",Estoque_Mantimentos[[#This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349" dataDxfId="348">
      <calculatedColumnFormula>IF(Estoque_Mantimentos[[#This Row],[Colunas10]]=0,"",Estoque_Mantimentos[[#This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347" dataDxfId="346">
      <calculatedColumnFormula>IF(Estoque_Mantimentos[[#This Row],[Colunas10]]=0,"",Estoque_Mantimentos[[#This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345" dataDxfId="344">
      <calculatedColumnFormula>IF(Estoque_Mantimentos[[#This Row],[Colunas10]]=0,"",Estoque_Mantimentos[[#This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343" dataDxfId="342">
      <calculatedColumnFormula>IF(Estoque_Mantimentos[[#This Row],[Colunas10]]=0,"",Estoque_Mantimentos[[#This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341" dataDxfId="340">
      <calculatedColumnFormula>IF(Estoque_Mantimentos[[#This Row],[Colunas10]]=0,"",Estoque_Mantimentos[[#This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339" dataDxfId="338">
      <calculatedColumnFormula>IF(Estoque_Mantimentos[[#This Row],[Colunas10]]=0,"",Estoque_Mantimentos[[#This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337" dataDxfId="336">
      <calculatedColumnFormula>IF(Estoque_Mantimentos[[#This Row],[Colunas10]]=0,"",Estoque_Mantimentos[[#This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335" dataDxfId="334">
      <calculatedColumnFormula>IF(Estoque_Mantimentos[[#This Row],[Colunas10]]=0,"",Estoque_Mantimentos[[#This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333" dataDxfId="332">
      <calculatedColumnFormula>IF(Estoque_Mantimentos[[#This Row],[Colunas10]]=0,"",Estoque_Mantimentos[[#This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331" dataDxfId="330">
      <calculatedColumnFormula>IF(Estoque_Mantimentos[[#This Row],[Colunas10]]=0,"",Estoque_Mantimentos[[#This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329" dataDxfId="328">
      <calculatedColumnFormula>IF(Estoque_Mantimentos[[#This Row],[Colunas10]]=0,"",Estoque_Mantimentos[[#This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327" dataDxfId="326">
      <calculatedColumnFormula>IF(Estoque_Mantimentos[[#This Row],[Colunas10]]=0,"",Estoque_Mantimentos[[#This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325" dataDxfId="324">
      <calculatedColumnFormula>IF(Estoque_Mantimentos[[#This Row],[Colunas10]]=0,"",Estoque_Mantimentos[[#This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323" dataDxfId="322">
      <calculatedColumnFormula>IF(Estoque_Mantimentos[[#This Row],[Colunas10]]=0,"",Estoque_Mantimentos[[#This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321" dataDxfId="320">
      <calculatedColumnFormula>IF(Estoque_Mantimentos[[#This Row],[Colunas10]]=0,"",Estoque_Mantimentos[[#This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319" dataDxfId="318">
      <calculatedColumnFormula>ROUNDUP(SUMIF($C$4:$AG$4,"&lt;="&amp;$B$3,Previsao_Mantimentos[[#This Row],[Colunas2]:[Colunas32]]),0)</calculatedColumnFormula>
    </tableColumn>
  </tableColumns>
  <tableStyleInfo name="Estilo Mantimentos" showFirstColumn="0" showLastColumn="0" showRowStripes="1" showColumnStripes="0"/>
</table>
</file>

<file path=xl/tables/table29.xml><?xml version="1.0" encoding="utf-8"?>
<table xmlns="http://schemas.openxmlformats.org/spreadsheetml/2006/main" id="29" name="Previsao_Carnes" displayName="Previsao_Carnes" ref="B140:AH168" headerRowCount="0" totalsRowShown="0" tableBorderDxfId="317">
  <tableColumns count="33">
    <tableColumn id="1" name="Colunas1" headerRowDxfId="316"/>
    <tableColumn id="2" name="Colunas2" headerRowDxfId="315" dataDxfId="314">
      <calculatedColumnFormula>IF(Estoque_Carnes[[#This Row],[Colunas10]]=0,"",Estoque_Carnes[[#This Row],[Colunas10]]*(SUMIF('Qtd Pessoas'!$B$6:$B$36,"&lt;="&amp;C$4,'Qtd Pessoas'!$F$6:$F$36)-SUMIF('Qtd Pessoas'!$B$6:$B$36,"&lt;="&amp;C$4-1,'Qtd Pessoas'!$F$6:$F$36)))</calculatedColumnFormula>
    </tableColumn>
    <tableColumn id="3" name="Colunas3" headerRowDxfId="313" dataDxfId="312">
      <calculatedColumnFormula>IF(Estoque_Carnes[[#This Row],[Colunas10]]=0,"",Estoque_Carnes[[#This Row],[Colunas10]]*(SUMIF('Qtd Pessoas'!$B$6:$B$36,"&lt;="&amp;D$4,'Qtd Pessoas'!$F$6:$F$36)-SUMIF('Qtd Pessoas'!$B$6:$B$36,"&lt;="&amp;D$4-1,'Qtd Pessoas'!$F$6:$F$36)))</calculatedColumnFormula>
    </tableColumn>
    <tableColumn id="4" name="Colunas4" headerRowDxfId="311" dataDxfId="310">
      <calculatedColumnFormula>IF(Estoque_Carnes[[#This Row],[Colunas10]]=0,"",Estoque_Carnes[[#This Row],[Colunas10]]*(SUMIF('Qtd Pessoas'!$B$6:$B$36,"&lt;="&amp;E$4,'Qtd Pessoas'!$F$6:$F$36)-SUMIF('Qtd Pessoas'!$B$6:$B$36,"&lt;="&amp;E$4-1,'Qtd Pessoas'!$F$6:$F$36)))</calculatedColumnFormula>
    </tableColumn>
    <tableColumn id="5" name="Colunas5" headerRowDxfId="309" dataDxfId="308">
      <calculatedColumnFormula>IF(Estoque_Carnes[[#This Row],[Colunas10]]=0,"",Estoque_Carnes[[#This Row],[Colunas10]]*(SUMIF('Qtd Pessoas'!$B$6:$B$36,"&lt;="&amp;F$4,'Qtd Pessoas'!$F$6:$F$36)-SUMIF('Qtd Pessoas'!$B$6:$B$36,"&lt;="&amp;F$4-1,'Qtd Pessoas'!$F$6:$F$36)))</calculatedColumnFormula>
    </tableColumn>
    <tableColumn id="6" name="Colunas6" headerRowDxfId="307" dataDxfId="306">
      <calculatedColumnFormula>IF(Estoque_Carnes[[#This Row],[Colunas10]]=0,"",Estoque_Carnes[[#This Row],[Colunas10]]*(SUMIF('Qtd Pessoas'!$B$6:$B$36,"&lt;="&amp;G$4,'Qtd Pessoas'!$F$6:$F$36)-SUMIF('Qtd Pessoas'!$B$6:$B$36,"&lt;="&amp;G$4-1,'Qtd Pessoas'!$F$6:$F$36)))</calculatedColumnFormula>
    </tableColumn>
    <tableColumn id="7" name="Colunas7" headerRowDxfId="305" dataDxfId="304">
      <calculatedColumnFormula>IF(Estoque_Carnes[[#This Row],[Colunas10]]=0,"",Estoque_Carnes[[#This Row],[Colunas10]]*(SUMIF('Qtd Pessoas'!$B$6:$B$36,"&lt;="&amp;H$4,'Qtd Pessoas'!$F$6:$F$36)-SUMIF('Qtd Pessoas'!$B$6:$B$36,"&lt;="&amp;H$4-1,'Qtd Pessoas'!$F$6:$F$36)))</calculatedColumnFormula>
    </tableColumn>
    <tableColumn id="8" name="Colunas8" headerRowDxfId="303" dataDxfId="302">
      <calculatedColumnFormula>IF(Estoque_Carnes[[#This Row],[Colunas10]]=0,"",Estoque_Carnes[[#This Row],[Colunas10]]*(SUMIF('Qtd Pessoas'!$B$6:$B$36,"&lt;="&amp;I$4,'Qtd Pessoas'!$F$6:$F$36)-SUMIF('Qtd Pessoas'!$B$6:$B$36,"&lt;="&amp;I$4-1,'Qtd Pessoas'!$F$6:$F$36)))</calculatedColumnFormula>
    </tableColumn>
    <tableColumn id="9" name="Colunas9" headerRowDxfId="301" dataDxfId="300">
      <calculatedColumnFormula>IF(Estoque_Carnes[[#This Row],[Colunas10]]=0,"",Estoque_Carnes[[#This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299" dataDxfId="298">
      <calculatedColumnFormula>IF(Estoque_Carnes[[#This Row],[Colunas10]]=0,"",Estoque_Carnes[[#This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297" dataDxfId="296">
      <calculatedColumnFormula>IF(Estoque_Carnes[[#This Row],[Colunas10]]=0,"",Estoque_Carnes[[#This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295" dataDxfId="294">
      <calculatedColumnFormula>IF(Estoque_Carnes[[#This Row],[Colunas10]]=0,"",Estoque_Carnes[[#This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293" dataDxfId="292">
      <calculatedColumnFormula>IF(Estoque_Carnes[[#This Row],[Colunas10]]=0,"",Estoque_Carnes[[#This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291" dataDxfId="290">
      <calculatedColumnFormula>IF(Estoque_Carnes[[#This Row],[Colunas10]]=0,"",Estoque_Carnes[[#This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289" dataDxfId="288">
      <calculatedColumnFormula>IF(Estoque_Carnes[[#This Row],[Colunas10]]=0,"",Estoque_Carnes[[#This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287" dataDxfId="286">
      <calculatedColumnFormula>IF(Estoque_Carnes[[#This Row],[Colunas10]]=0,"",Estoque_Carnes[[#This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285" dataDxfId="284">
      <calculatedColumnFormula>IF(Estoque_Carnes[[#This Row],[Colunas10]]=0,"",Estoque_Carnes[[#This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283" dataDxfId="282">
      <calculatedColumnFormula>IF(Estoque_Carnes[[#This Row],[Colunas10]]=0,"",Estoque_Carnes[[#This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281" dataDxfId="280">
      <calculatedColumnFormula>IF(Estoque_Carnes[[#This Row],[Colunas10]]=0,"",Estoque_Carnes[[#This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279" dataDxfId="278">
      <calculatedColumnFormula>IF(Estoque_Carnes[[#This Row],[Colunas10]]=0,"",Estoque_Carnes[[#This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277" dataDxfId="276">
      <calculatedColumnFormula>IF(Estoque_Carnes[[#This Row],[Colunas10]]=0,"",Estoque_Carnes[[#This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275" dataDxfId="274">
      <calculatedColumnFormula>IF(Estoque_Carnes[[#This Row],[Colunas10]]=0,"",Estoque_Carnes[[#This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273" dataDxfId="272">
      <calculatedColumnFormula>IF(Estoque_Carnes[[#This Row],[Colunas10]]=0,"",Estoque_Carnes[[#This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271" dataDxfId="270">
      <calculatedColumnFormula>IF(Estoque_Carnes[[#This Row],[Colunas10]]=0,"",Estoque_Carnes[[#This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269" dataDxfId="268">
      <calculatedColumnFormula>IF(Estoque_Carnes[[#This Row],[Colunas10]]=0,"",Estoque_Carnes[[#This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267" dataDxfId="266">
      <calculatedColumnFormula>IF(Estoque_Carnes[[#This Row],[Colunas10]]=0,"",Estoque_Carnes[[#This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265" dataDxfId="264">
      <calculatedColumnFormula>IF(Estoque_Carnes[[#This Row],[Colunas10]]=0,"",Estoque_Carnes[[#This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263" dataDxfId="262">
      <calculatedColumnFormula>IF(Estoque_Carnes[[#This Row],[Colunas10]]=0,"",Estoque_Carnes[[#This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261" dataDxfId="260">
      <calculatedColumnFormula>IF(Estoque_Carnes[[#This Row],[Colunas10]]=0,"",Estoque_Carnes[[#This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259" dataDxfId="258">
      <calculatedColumnFormula>IF(Estoque_Carnes[[#This Row],[Colunas10]]=0,"",Estoque_Carnes[[#This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257" dataDxfId="256">
      <calculatedColumnFormula>IF(Estoque_Carnes[[#This Row],[Colunas10]]=0,"",Estoque_Carnes[[#This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255" dataDxfId="254">
      <calculatedColumnFormula>IF(Estoque_Carnes[[#This Row],[Colunas10]]=0,"",Estoque_Carnes[[#This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253" dataDxfId="252">
      <calculatedColumnFormula>ROUNDUP(SUMIF($C$4:$AG$4,"&lt;="&amp;$B$3,Previsao_Carnes[[#This Row],[Colunas2]:[Colunas32]]),0)</calculatedColumnFormula>
    </tableColumn>
  </tableColumns>
  <tableStyleInfo name="Estilo HortFrut" showFirstColumn="0" showLastColumn="0" showRowStripes="1" showColumnStripes="0"/>
</table>
</file>

<file path=xl/tables/table30.xml><?xml version="1.0" encoding="utf-8"?>
<table xmlns="http://schemas.openxmlformats.org/spreadsheetml/2006/main" id="30" name="Previsao_Laticinios" displayName="Previsao_Laticinios" ref="B171:AH173" headerRowCount="0" totalsRowShown="0" tableBorderDxfId="251">
  <tableColumns count="33">
    <tableColumn id="1" name="Colunas1" headerRowDxfId="250" dataDxfId="249">
      <calculatedColumnFormula>INDEX(Cadastro_Queijo[[#All],[Colunas4]],MATCH(ROW()-5,Cadastro_Queijo[[#All],[Colunas2]],0))</calculatedColumnFormula>
    </tableColumn>
    <tableColumn id="2" name="Colunas2" headerRowDxfId="248" dataDxfId="247">
      <calculatedColumnFormula>IF(Estoque_Laticinios[[#This Row],[Colunas10]]=0,"",Estoque_Laticinios[[#This Row],[Colunas10]]*(SUMIF('Qtd Pessoas'!$B$6:$B$36,"&lt;="&amp;C$4,'Qtd Pessoas'!$F$6:$F$36)-SUMIF('Qtd Pessoas'!$B$6:$B$36,"&lt;="&amp;C$4-1,'Qtd Pessoas'!$F$6:$F$36)))</calculatedColumnFormula>
    </tableColumn>
    <tableColumn id="3" name="Colunas3" headerRowDxfId="246" dataDxfId="245">
      <calculatedColumnFormula>IF(Estoque_Laticinios[[#This Row],[Colunas10]]=0,"",Estoque_Laticinios[[#This Row],[Colunas10]]*(SUMIF('Qtd Pessoas'!$B$6:$B$36,"&lt;="&amp;D$4,'Qtd Pessoas'!$F$6:$F$36)-SUMIF('Qtd Pessoas'!$B$6:$B$36,"&lt;="&amp;D$4-1,'Qtd Pessoas'!$F$6:$F$36)))</calculatedColumnFormula>
    </tableColumn>
    <tableColumn id="4" name="Colunas4" headerRowDxfId="244" dataDxfId="243">
      <calculatedColumnFormula>IF(Estoque_Laticinios[[#This Row],[Colunas10]]=0,"",Estoque_Laticinios[[#This Row],[Colunas10]]*(SUMIF('Qtd Pessoas'!$B$6:$B$36,"&lt;="&amp;E$4,'Qtd Pessoas'!$F$6:$F$36)-SUMIF('Qtd Pessoas'!$B$6:$B$36,"&lt;="&amp;E$4-1,'Qtd Pessoas'!$F$6:$F$36)))</calculatedColumnFormula>
    </tableColumn>
    <tableColumn id="5" name="Colunas5" headerRowDxfId="242" dataDxfId="241">
      <calculatedColumnFormula>IF(Estoque_Laticinios[[#This Row],[Colunas10]]=0,"",Estoque_Laticinios[[#This Row],[Colunas10]]*(SUMIF('Qtd Pessoas'!$B$6:$B$36,"&lt;="&amp;F$4,'Qtd Pessoas'!$F$6:$F$36)-SUMIF('Qtd Pessoas'!$B$6:$B$36,"&lt;="&amp;F$4-1,'Qtd Pessoas'!$F$6:$F$36)))</calculatedColumnFormula>
    </tableColumn>
    <tableColumn id="6" name="Colunas6" headerRowDxfId="240" dataDxfId="239">
      <calculatedColumnFormula>IF(Estoque_Laticinios[[#This Row],[Colunas10]]=0,"",Estoque_Laticinios[[#This Row],[Colunas10]]*(SUMIF('Qtd Pessoas'!$B$6:$B$36,"&lt;="&amp;G$4,'Qtd Pessoas'!$F$6:$F$36)-SUMIF('Qtd Pessoas'!$B$6:$B$36,"&lt;="&amp;G$4-1,'Qtd Pessoas'!$F$6:$F$36)))</calculatedColumnFormula>
    </tableColumn>
    <tableColumn id="7" name="Colunas7" headerRowDxfId="238" dataDxfId="237">
      <calculatedColumnFormula>IF(Estoque_Laticinios[[#This Row],[Colunas10]]=0,"",Estoque_Laticinios[[#This Row],[Colunas10]]*(SUMIF('Qtd Pessoas'!$B$6:$B$36,"&lt;="&amp;H$4,'Qtd Pessoas'!$F$6:$F$36)-SUMIF('Qtd Pessoas'!$B$6:$B$36,"&lt;="&amp;H$4-1,'Qtd Pessoas'!$F$6:$F$36)))</calculatedColumnFormula>
    </tableColumn>
    <tableColumn id="8" name="Colunas8" headerRowDxfId="236" dataDxfId="235">
      <calculatedColumnFormula>IF(Estoque_Laticinios[[#This Row],[Colunas10]]=0,"",Estoque_Laticinios[[#This Row],[Colunas10]]*(SUMIF('Qtd Pessoas'!$B$6:$B$36,"&lt;="&amp;I$4,'Qtd Pessoas'!$F$6:$F$36)-SUMIF('Qtd Pessoas'!$B$6:$B$36,"&lt;="&amp;I$4-1,'Qtd Pessoas'!$F$6:$F$36)))</calculatedColumnFormula>
    </tableColumn>
    <tableColumn id="9" name="Colunas9" headerRowDxfId="234" dataDxfId="233">
      <calculatedColumnFormula>IF(Estoque_Laticinios[[#This Row],[Colunas10]]=0,"",Estoque_Laticinios[[#This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232" dataDxfId="231">
      <calculatedColumnFormula>IF(Estoque_Laticinios[[#This Row],[Colunas10]]=0,"",Estoque_Laticinios[[#This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230" dataDxfId="229">
      <calculatedColumnFormula>IF(Estoque_Laticinios[[#This Row],[Colunas10]]=0,"",Estoque_Laticinios[[#This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228" dataDxfId="227">
      <calculatedColumnFormula>IF(Estoque_Laticinios[[#This Row],[Colunas10]]=0,"",Estoque_Laticinios[[#This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226" dataDxfId="225">
      <calculatedColumnFormula>IF(Estoque_Laticinios[[#This Row],[Colunas10]]=0,"",Estoque_Laticinios[[#This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224" dataDxfId="223">
      <calculatedColumnFormula>IF(Estoque_Laticinios[[#This Row],[Colunas10]]=0,"",Estoque_Laticinios[[#This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222" dataDxfId="221">
      <calculatedColumnFormula>IF(Estoque_Laticinios[[#This Row],[Colunas10]]=0,"",Estoque_Laticinios[[#This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220" dataDxfId="219">
      <calculatedColumnFormula>IF(Estoque_Laticinios[[#This Row],[Colunas10]]=0,"",Estoque_Laticinios[[#This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218" dataDxfId="217">
      <calculatedColumnFormula>IF(Estoque_Laticinios[[#This Row],[Colunas10]]=0,"",Estoque_Laticinios[[#This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216" dataDxfId="215">
      <calculatedColumnFormula>IF(Estoque_Laticinios[[#This Row],[Colunas10]]=0,"",Estoque_Laticinios[[#This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214" dataDxfId="213">
      <calculatedColumnFormula>IF(Estoque_Laticinios[[#This Row],[Colunas10]]=0,"",Estoque_Laticinios[[#This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212" dataDxfId="211">
      <calculatedColumnFormula>IF(Estoque_Laticinios[[#This Row],[Colunas10]]=0,"",Estoque_Laticinios[[#This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210" dataDxfId="209">
      <calculatedColumnFormula>IF(Estoque_Laticinios[[#This Row],[Colunas10]]=0,"",Estoque_Laticinios[[#This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208" dataDxfId="207">
      <calculatedColumnFormula>IF(Estoque_Laticinios[[#This Row],[Colunas10]]=0,"",Estoque_Laticinios[[#This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206" dataDxfId="205">
      <calculatedColumnFormula>IF(Estoque_Laticinios[[#This Row],[Colunas10]]=0,"",Estoque_Laticinios[[#This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204" dataDxfId="203">
      <calculatedColumnFormula>IF(Estoque_Laticinios[[#This Row],[Colunas10]]=0,"",Estoque_Laticinios[[#This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202" dataDxfId="201">
      <calculatedColumnFormula>IF(Estoque_Laticinios[[#This Row],[Colunas10]]=0,"",Estoque_Laticinios[[#This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200" dataDxfId="199">
      <calculatedColumnFormula>IF(Estoque_Laticinios[[#This Row],[Colunas10]]=0,"",Estoque_Laticinios[[#This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198" dataDxfId="197">
      <calculatedColumnFormula>IF(Estoque_Laticinios[[#This Row],[Colunas10]]=0,"",Estoque_Laticinios[[#This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196" dataDxfId="195">
      <calculatedColumnFormula>IF(Estoque_Laticinios[[#This Row],[Colunas10]]=0,"",Estoque_Laticinios[[#This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194" dataDxfId="193">
      <calculatedColumnFormula>IF(Estoque_Laticinios[[#This Row],[Colunas10]]=0,"",Estoque_Laticinios[[#This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192" dataDxfId="191">
      <calculatedColumnFormula>IF(Estoque_Laticinios[[#This Row],[Colunas10]]=0,"",Estoque_Laticinios[[#This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190" dataDxfId="189">
      <calculatedColumnFormula>IF(Estoque_Laticinios[[#This Row],[Colunas10]]=0,"",Estoque_Laticinios[[#This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188" dataDxfId="187">
      <calculatedColumnFormula>IF(Estoque_Laticinios[[#This Row],[Colunas10]]=0,"",Estoque_Laticinios[[#This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186" dataDxfId="185">
      <calculatedColumnFormula>ROUNDUP(SUM(C172:AG172)*1.06,0)</calculatedColumnFormula>
    </tableColumn>
  </tableColumns>
  <tableStyleInfo name="Estilo Laticinios" showFirstColumn="0" showLastColumn="0" showRowStripes="1" showColumnStripes="0"/>
</table>
</file>

<file path=xl/tables/table31.xml><?xml version="1.0" encoding="utf-8"?>
<table xmlns="http://schemas.openxmlformats.org/spreadsheetml/2006/main" id="31" name="Previsao_Peixes" displayName="Previsao_Peixes" ref="B176:AH180" headerRowCount="0" totalsRowShown="0" tableBorderDxfId="184">
  <tableColumns count="33">
    <tableColumn id="1" name="Colunas1" headerRowDxfId="183" dataDxfId="182">
      <calculatedColumnFormula>INDEX(Cadastro_Peixes[[#All],[Colunas4]],MATCH(ROW()-5,Cadastro_Peixes[[#All],[Colunas2]],0))</calculatedColumnFormula>
    </tableColumn>
    <tableColumn id="2" name="Colunas2" headerRowDxfId="181" dataDxfId="180">
      <calculatedColumnFormula>IF(Estoque_Peixes[[#This Row],[Colunas10]]=0,"",Estoque_Peixes[[#This Row],[Colunas10]]*(SUMIF('Qtd Pessoas'!$B$6:$B$36,"&lt;="&amp;C$4,'Qtd Pessoas'!$F$6:$F$36)-SUMIF('Qtd Pessoas'!$B$6:$B$36,"&lt;="&amp;C$4-1,'Qtd Pessoas'!$F$6:$F$36)))</calculatedColumnFormula>
    </tableColumn>
    <tableColumn id="3" name="Colunas3" headerRowDxfId="179" dataDxfId="178">
      <calculatedColumnFormula>IF(Estoque_Peixes[[#This Row],[Colunas10]]=0,"",Estoque_Peixes[[#This Row],[Colunas10]]*(SUMIF('Qtd Pessoas'!$B$6:$B$36,"&lt;="&amp;D$4,'Qtd Pessoas'!$F$6:$F$36)-SUMIF('Qtd Pessoas'!$B$6:$B$36,"&lt;="&amp;D$4-1,'Qtd Pessoas'!$F$6:$F$36)))</calculatedColumnFormula>
    </tableColumn>
    <tableColumn id="4" name="Colunas4" headerRowDxfId="177" dataDxfId="176">
      <calculatedColumnFormula>IF(Estoque_Peixes[[#This Row],[Colunas10]]=0,"",Estoque_Peixes[[#This Row],[Colunas10]]*(SUMIF('Qtd Pessoas'!$B$6:$B$36,"&lt;="&amp;E$4,'Qtd Pessoas'!$F$6:$F$36)-SUMIF('Qtd Pessoas'!$B$6:$B$36,"&lt;="&amp;E$4-1,'Qtd Pessoas'!$F$6:$F$36)))</calculatedColumnFormula>
    </tableColumn>
    <tableColumn id="5" name="Colunas5" headerRowDxfId="175" dataDxfId="174">
      <calculatedColumnFormula>IF(Estoque_Peixes[[#This Row],[Colunas10]]=0,"",Estoque_Peixes[[#This Row],[Colunas10]]*(SUMIF('Qtd Pessoas'!$B$6:$B$36,"&lt;="&amp;F$4,'Qtd Pessoas'!$F$6:$F$36)-SUMIF('Qtd Pessoas'!$B$6:$B$36,"&lt;="&amp;F$4-1,'Qtd Pessoas'!$F$6:$F$36)))</calculatedColumnFormula>
    </tableColumn>
    <tableColumn id="6" name="Colunas6" headerRowDxfId="173" dataDxfId="172">
      <calculatedColumnFormula>IF(Estoque_Peixes[[#This Row],[Colunas10]]=0,"",Estoque_Peixes[[#This Row],[Colunas10]]*(SUMIF('Qtd Pessoas'!$B$6:$B$36,"&lt;="&amp;G$4,'Qtd Pessoas'!$F$6:$F$36)-SUMIF('Qtd Pessoas'!$B$6:$B$36,"&lt;="&amp;G$4-1,'Qtd Pessoas'!$F$6:$F$36)))</calculatedColumnFormula>
    </tableColumn>
    <tableColumn id="7" name="Colunas7" headerRowDxfId="171" dataDxfId="170">
      <calculatedColumnFormula>IF(Estoque_Peixes[[#This Row],[Colunas10]]=0,"",Estoque_Peixes[[#This Row],[Colunas10]]*(SUMIF('Qtd Pessoas'!$B$6:$B$36,"&lt;="&amp;H$4,'Qtd Pessoas'!$F$6:$F$36)-SUMIF('Qtd Pessoas'!$B$6:$B$36,"&lt;="&amp;H$4-1,'Qtd Pessoas'!$F$6:$F$36)))</calculatedColumnFormula>
    </tableColumn>
    <tableColumn id="8" name="Colunas8" headerRowDxfId="169" dataDxfId="168">
      <calculatedColumnFormula>IF(Estoque_Peixes[[#This Row],[Colunas10]]=0,"",Estoque_Peixes[[#This Row],[Colunas10]]*(SUMIF('Qtd Pessoas'!$B$6:$B$36,"&lt;="&amp;I$4,'Qtd Pessoas'!$F$6:$F$36)-SUMIF('Qtd Pessoas'!$B$6:$B$36,"&lt;="&amp;I$4-1,'Qtd Pessoas'!$F$6:$F$36)))</calculatedColumnFormula>
    </tableColumn>
    <tableColumn id="9" name="Colunas9" headerRowDxfId="167" dataDxfId="166">
      <calculatedColumnFormula>IF(Estoque_Peixes[[#This Row],[Colunas10]]=0,"",Estoque_Peixes[[#This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165" dataDxfId="164">
      <calculatedColumnFormula>IF(Estoque_Peixes[[#This Row],[Colunas10]]=0,"",Estoque_Peixes[[#This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163" dataDxfId="162">
      <calculatedColumnFormula>IF(Estoque_Peixes[[#This Row],[Colunas10]]=0,"",Estoque_Peixes[[#This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161" dataDxfId="160">
      <calculatedColumnFormula>IF(Estoque_Peixes[[#This Row],[Colunas10]]=0,"",Estoque_Peixes[[#This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159" dataDxfId="158">
      <calculatedColumnFormula>IF(Estoque_Peixes[[#This Row],[Colunas10]]=0,"",Estoque_Peixes[[#This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157" dataDxfId="156">
      <calculatedColumnFormula>IF(Estoque_Peixes[[#This Row],[Colunas10]]=0,"",Estoque_Peixes[[#This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155" dataDxfId="154">
      <calculatedColumnFormula>IF(Estoque_Peixes[[#This Row],[Colunas10]]=0,"",Estoque_Peixes[[#This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153" dataDxfId="152">
      <calculatedColumnFormula>IF(Estoque_Peixes[[#This Row],[Colunas10]]=0,"",Estoque_Peixes[[#This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151" dataDxfId="150">
      <calculatedColumnFormula>IF(Estoque_Peixes[[#This Row],[Colunas10]]=0,"",Estoque_Peixes[[#This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149" dataDxfId="148">
      <calculatedColumnFormula>IF(Estoque_Peixes[[#This Row],[Colunas10]]=0,"",Estoque_Peixes[[#This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147" dataDxfId="146">
      <calculatedColumnFormula>IF(Estoque_Peixes[[#This Row],[Colunas10]]=0,"",Estoque_Peixes[[#This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145" dataDxfId="144">
      <calculatedColumnFormula>IF(Estoque_Peixes[[#This Row],[Colunas10]]=0,"",Estoque_Peixes[[#This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143" dataDxfId="142">
      <calculatedColumnFormula>IF(Estoque_Peixes[[#This Row],[Colunas10]]=0,"",Estoque_Peixes[[#This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141" dataDxfId="140">
      <calculatedColumnFormula>IF(Estoque_Peixes[[#This Row],[Colunas10]]=0,"",Estoque_Peixes[[#This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139" dataDxfId="138">
      <calculatedColumnFormula>IF(Estoque_Peixes[[#This Row],[Colunas10]]=0,"",Estoque_Peixes[[#This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137" dataDxfId="136">
      <calculatedColumnFormula>IF(Estoque_Peixes[[#This Row],[Colunas10]]=0,"",Estoque_Peixes[[#This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135" dataDxfId="134">
      <calculatedColumnFormula>IF(Estoque_Peixes[[#This Row],[Colunas10]]=0,"",Estoque_Peixes[[#This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133" dataDxfId="132">
      <calculatedColumnFormula>IF(Estoque_Peixes[[#This Row],[Colunas10]]=0,"",Estoque_Peixes[[#This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131" dataDxfId="130">
      <calculatedColumnFormula>IF(Estoque_Peixes[[#This Row],[Colunas10]]=0,"",Estoque_Peixes[[#This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129" dataDxfId="128">
      <calculatedColumnFormula>IF(Estoque_Peixes[[#This Row],[Colunas10]]=0,"",Estoque_Peixes[[#This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127" dataDxfId="126">
      <calculatedColumnFormula>IF(Estoque_Peixes[[#This Row],[Colunas10]]=0,"",Estoque_Peixes[[#This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125" dataDxfId="124">
      <calculatedColumnFormula>IF(Estoque_Peixes[[#This Row],[Colunas10]]=0,"",Estoque_Peixes[[#This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123" dataDxfId="122">
      <calculatedColumnFormula>IF(Estoque_Peixes[[#This Row],[Colunas10]]=0,"",Estoque_Peixes[[#This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121" dataDxfId="120">
      <calculatedColumnFormula>IF(Estoque_Peixes[[#This Row],[Colunas10]]=0,"",Estoque_Peixes[[#This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119" dataDxfId="118">
      <calculatedColumnFormula>ROUNDUP(SUMIF($C$4:$AG$4,"&lt;="&amp;$B$3,Previsao_Peixes[[#This Row],[Colunas2]:[Colunas32]]),0)</calculatedColumnFormula>
    </tableColumn>
  </tableColumns>
  <tableStyleInfo name="Estilo Laticinios 2" showFirstColumn="0" showLastColumn="0" showRowStripes="1" showColumnStripes="0"/>
</table>
</file>

<file path=xl/tables/table32.xml><?xml version="1.0" encoding="utf-8"?>
<table xmlns="http://schemas.openxmlformats.org/spreadsheetml/2006/main" id="32" name="Previsao_Hortfrut" displayName="Previsao_Hortfrut" ref="B183:AH241" headerRowCount="0" totalsRowShown="0" tableBorderDxfId="117">
  <tableColumns count="33">
    <tableColumn id="1" name="Colunas1" headerRowDxfId="116" dataDxfId="115">
      <calculatedColumnFormula>INDEX(Cadastro_Hortfrut[[#All],[Colunas4]],MATCH(ROW()-5,Cadastro_Hortfrut[[#All],[Colunas2]],0))</calculatedColumnFormula>
    </tableColumn>
    <tableColumn id="2" name="Colunas2" headerRowDxfId="114" dataDxfId="113">
      <calculatedColumnFormula>IF(Estoque_Hortfrut[[#This Row],[Colunas10]]=0,"",Estoque_Hortfrut[[#This Row],[Colunas10]]*(SUMIF('Qtd Pessoas'!$B$6:$B$36,"&lt;="&amp;C$4,'Qtd Pessoas'!$F$6:$F$36)-SUMIF('Qtd Pessoas'!$B$6:$B$36,"&lt;="&amp;C$4-1,'Qtd Pessoas'!$F$6:$F$36)))</calculatedColumnFormula>
    </tableColumn>
    <tableColumn id="3" name="Colunas3" headerRowDxfId="112" dataDxfId="111">
      <calculatedColumnFormula>IF(Estoque_Hortfrut[[#This Row],[Colunas10]]=0,"",Estoque_Hortfrut[[#This Row],[Colunas10]]*(SUMIF('Qtd Pessoas'!$B$6:$B$36,"&lt;="&amp;D$4,'Qtd Pessoas'!$F$6:$F$36)-SUMIF('Qtd Pessoas'!$B$6:$B$36,"&lt;="&amp;D$4-1,'Qtd Pessoas'!$F$6:$F$36)))</calculatedColumnFormula>
    </tableColumn>
    <tableColumn id="4" name="Colunas4" headerRowDxfId="110" dataDxfId="109">
      <calculatedColumnFormula>IF(Estoque_Hortfrut[[#This Row],[Colunas10]]=0,"",Estoque_Hortfrut[[#This Row],[Colunas10]]*(SUMIF('Qtd Pessoas'!$B$6:$B$36,"&lt;="&amp;E$4,'Qtd Pessoas'!$F$6:$F$36)-SUMIF('Qtd Pessoas'!$B$6:$B$36,"&lt;="&amp;E$4-1,'Qtd Pessoas'!$F$6:$F$36)))</calculatedColumnFormula>
    </tableColumn>
    <tableColumn id="5" name="Colunas5" headerRowDxfId="108" dataDxfId="107">
      <calculatedColumnFormula>IF(Estoque_Hortfrut[[#This Row],[Colunas10]]=0,"",Estoque_Hortfrut[[#This Row],[Colunas10]]*(SUMIF('Qtd Pessoas'!$B$6:$B$36,"&lt;="&amp;F$4,'Qtd Pessoas'!$F$6:$F$36)-SUMIF('Qtd Pessoas'!$B$6:$B$36,"&lt;="&amp;F$4-1,'Qtd Pessoas'!$F$6:$F$36)))</calculatedColumnFormula>
    </tableColumn>
    <tableColumn id="6" name="Colunas6" headerRowDxfId="106" dataDxfId="105">
      <calculatedColumnFormula>IF(Estoque_Hortfrut[[#This Row],[Colunas10]]=0,"",Estoque_Hortfrut[[#This Row],[Colunas10]]*(SUMIF('Qtd Pessoas'!$B$6:$B$36,"&lt;="&amp;G$4,'Qtd Pessoas'!$F$6:$F$36)-SUMIF('Qtd Pessoas'!$B$6:$B$36,"&lt;="&amp;G$4-1,'Qtd Pessoas'!$F$6:$F$36)))</calculatedColumnFormula>
    </tableColumn>
    <tableColumn id="7" name="Colunas7" headerRowDxfId="104" dataDxfId="103">
      <calculatedColumnFormula>IF(Estoque_Hortfrut[[#This Row],[Colunas10]]=0,"",Estoque_Hortfrut[[#This Row],[Colunas10]]*(SUMIF('Qtd Pessoas'!$B$6:$B$36,"&lt;="&amp;H$4,'Qtd Pessoas'!$F$6:$F$36)-SUMIF('Qtd Pessoas'!$B$6:$B$36,"&lt;="&amp;H$4-1,'Qtd Pessoas'!$F$6:$F$36)))</calculatedColumnFormula>
    </tableColumn>
    <tableColumn id="8" name="Colunas8" headerRowDxfId="102" dataDxfId="101">
      <calculatedColumnFormula>IF(Estoque_Hortfrut[[#This Row],[Colunas10]]=0,"",Estoque_Hortfrut[[#This Row],[Colunas10]]*(SUMIF('Qtd Pessoas'!$B$6:$B$36,"&lt;="&amp;I$4,'Qtd Pessoas'!$F$6:$F$36)-SUMIF('Qtd Pessoas'!$B$6:$B$36,"&lt;="&amp;I$4-1,'Qtd Pessoas'!$F$6:$F$36)))</calculatedColumnFormula>
    </tableColumn>
    <tableColumn id="9" name="Colunas9" headerRowDxfId="100" dataDxfId="99">
      <calculatedColumnFormula>IF(Estoque_Hortfrut[[#This Row],[Colunas10]]=0,"",Estoque_Hortfrut[[#This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98" dataDxfId="97">
      <calculatedColumnFormula>IF(Estoque_Hortfrut[[#This Row],[Colunas10]]=0,"",Estoque_Hortfrut[[#This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96" dataDxfId="95">
      <calculatedColumnFormula>IF(Estoque_Hortfrut[[#This Row],[Colunas10]]=0,"",Estoque_Hortfrut[[#This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94" dataDxfId="93">
      <calculatedColumnFormula>IF(Estoque_Hortfrut[[#This Row],[Colunas10]]=0,"",Estoque_Hortfrut[[#This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92" dataDxfId="91">
      <calculatedColumnFormula>IF(Estoque_Hortfrut[[#This Row],[Colunas10]]=0,"",Estoque_Hortfrut[[#This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90" dataDxfId="89">
      <calculatedColumnFormula>IF(Estoque_Hortfrut[[#This Row],[Colunas10]]=0,"",Estoque_Hortfrut[[#This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88" dataDxfId="87">
      <calculatedColumnFormula>IF(Estoque_Hortfrut[[#This Row],[Colunas10]]=0,"",Estoque_Hortfrut[[#This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86" dataDxfId="85">
      <calculatedColumnFormula>IF(Estoque_Hortfrut[[#This Row],[Colunas10]]=0,"",Estoque_Hortfrut[[#This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84" dataDxfId="83">
      <calculatedColumnFormula>IF(Estoque_Hortfrut[[#This Row],[Colunas10]]=0,"",Estoque_Hortfrut[[#This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82" dataDxfId="81">
      <calculatedColumnFormula>IF(Estoque_Hortfrut[[#This Row],[Colunas10]]=0,"",Estoque_Hortfrut[[#This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80" dataDxfId="79">
      <calculatedColumnFormula>IF(Estoque_Hortfrut[[#This Row],[Colunas10]]=0,"",Estoque_Hortfrut[[#This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78" dataDxfId="77">
      <calculatedColumnFormula>IF(Estoque_Hortfrut[[#This Row],[Colunas10]]=0,"",Estoque_Hortfrut[[#This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76" dataDxfId="75">
      <calculatedColumnFormula>IF(Estoque_Hortfrut[[#This Row],[Colunas10]]=0,"",Estoque_Hortfrut[[#This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74" dataDxfId="73">
      <calculatedColumnFormula>IF(Estoque_Hortfrut[[#This Row],[Colunas10]]=0,"",Estoque_Hortfrut[[#This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72" dataDxfId="71">
      <calculatedColumnFormula>IF(Estoque_Hortfrut[[#This Row],[Colunas10]]=0,"",Estoque_Hortfrut[[#This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70" dataDxfId="69">
      <calculatedColumnFormula>IF(Estoque_Hortfrut[[#This Row],[Colunas10]]=0,"",Estoque_Hortfrut[[#This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68" dataDxfId="67">
      <calculatedColumnFormula>IF(Estoque_Hortfrut[[#This Row],[Colunas10]]=0,"",Estoque_Hortfrut[[#This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66" dataDxfId="65">
      <calculatedColumnFormula>IF(Estoque_Hortfrut[[#This Row],[Colunas10]]=0,"",Estoque_Hortfrut[[#This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64" dataDxfId="63">
      <calculatedColumnFormula>IF(Estoque_Hortfrut[[#This Row],[Colunas10]]=0,"",Estoque_Hortfrut[[#This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62" dataDxfId="61">
      <calculatedColumnFormula>IF(Estoque_Hortfrut[[#This Row],[Colunas10]]=0,"",Estoque_Hortfrut[[#This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60" dataDxfId="59">
      <calculatedColumnFormula>IF(Estoque_Hortfrut[[#This Row],[Colunas10]]=0,"",Estoque_Hortfrut[[#This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58" dataDxfId="57">
      <calculatedColumnFormula>IF(Estoque_Hortfrut[[#This Row],[Colunas10]]=0,"",Estoque_Hortfrut[[#This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56" dataDxfId="55">
      <calculatedColumnFormula>IF(Estoque_Hortfrut[[#This Row],[Colunas10]]=0,"",Estoque_Hortfrut[[#This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54" dataDxfId="53">
      <calculatedColumnFormula>IF(Estoque_Hortfrut[[#This Row],[Colunas10]]=0,"",Estoque_Hortfrut[[#This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52" dataDxfId="51">
      <calculatedColumnFormula>ROUNDUP(SUMIF($C$4:$AG$4,"&lt;="&amp;$B$3,Previsao_Hortfrut[[#This Row],[Colunas2]:[Colunas32]]),0)</calculatedColumnFormula>
    </tableColumn>
  </tableColumns>
  <tableStyleInfo name="Estilo HortFrut " showFirstColumn="0" showLastColumn="0" showRowStripes="1" showColumnStripes="0"/>
</table>
</file>

<file path=xl/tables/table33.xml><?xml version="1.0" encoding="utf-8"?>
<table xmlns="http://schemas.openxmlformats.org/spreadsheetml/2006/main" id="18" name="Cadastro_Mantimentos" displayName="Cadastro_Mantimentos" ref="A1:D132" headerRowCount="0" totalsRowShown="0">
  <sortState ref="A1:D132">
    <sortCondition ref="D132"/>
  </sortState>
  <tableColumns count="4">
    <tableColumn id="1" name="Colunas1" dataDxfId="37">
      <calculatedColumnFormula>$I$1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9" name="Cadastro_Carnes" displayName="Cadastro_Carnes" ref="A135:D163" headerRowCount="0" totalsRowShown="0">
  <sortState ref="A135:D163">
    <sortCondition ref="D163"/>
  </sortState>
  <tableColumns count="4">
    <tableColumn id="1" name="Colunas1" dataDxfId="36">
      <calculatedColumnFormula>$J$1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20" name="Cadastro_Queijo" displayName="Cadastro_Queijo" ref="A166:D168" headerRowCount="0" totalsRowShown="0">
  <sortState ref="A166:D168">
    <sortCondition ref="D168"/>
  </sortState>
  <tableColumns count="4">
    <tableColumn id="1" name="Colunas1" dataDxfId="35">
      <calculatedColumnFormula>$K$1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21" name="Cadastro_Peixes" displayName="Cadastro_Peixes" ref="A171:D175" headerRowCount="0" totalsRowShown="0">
  <sortState ref="A171:D175">
    <sortCondition ref="D171"/>
  </sortState>
  <tableColumns count="4">
    <tableColumn id="1" name="Colunas1" dataDxfId="34">
      <calculatedColumnFormula>$L$1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22" name="Cadastro_Hortfrut" displayName="Cadastro_Hortfrut" ref="A178:D236" headerRowCount="0" totalsRowShown="0">
  <sortState ref="A178:D236">
    <sortCondition ref="D178"/>
  </sortState>
  <tableColumns count="4">
    <tableColumn id="1" name="Colunas1" dataDxfId="33">
      <calculatedColumnFormula>$M$1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23" name="Cadastro_Limpeza" displayName="Cadastro_Limpeza" ref="A239:D310" headerRowCount="0" tableBorderDxfId="32">
  <sortState ref="A239:D310">
    <sortCondition ref="D310"/>
  </sortState>
  <tableColumns count="4">
    <tableColumn id="1" name="Colunas1" totalsRowLabel="Total" headerRowDxfId="31" dataDxfId="30" totalsRowDxfId="29">
      <calculatedColumnFormula>$N$1</calculatedColumnFormula>
    </tableColumn>
    <tableColumn id="2" name="Colunas2" headerRowDxfId="28" dataDxfId="27" totalsRowDxfId="26">
      <calculatedColumnFormula>ROW()</calculatedColumnFormula>
    </tableColumn>
    <tableColumn id="3" name="Colunas3" headerRowDxfId="25" dataDxfId="24" totalsRowDxfId="23"/>
    <tableColumn id="4" name="Colunas4" totalsRowFunction="count" headerRowDxfId="22" dataDxfId="21" totalsRowDxfId="20"/>
  </tableColumns>
  <tableStyleInfo name="Estilo de Tabela 1" showFirstColumn="0" showLastColumn="0" showRowStripes="1" showColumnStripes="0"/>
</table>
</file>

<file path=xl/tables/table39.xml><?xml version="1.0" encoding="utf-8"?>
<table xmlns="http://schemas.openxmlformats.org/spreadsheetml/2006/main" id="34" name="Cadastro_Piscina" displayName="Cadastro_Piscina" ref="A313:D324" headerRowCount="0" totalsRowShown="0" tableBorderDxfId="19">
  <tableColumns count="4">
    <tableColumn id="1" name="Colunas1" headerRowDxfId="18" dataDxfId="17">
      <calculatedColumnFormula>$O$1</calculatedColumnFormula>
    </tableColumn>
    <tableColumn id="2" name="Colunas2" headerRowDxfId="16" dataDxfId="15">
      <calculatedColumnFormula>ROW()</calculatedColumnFormula>
    </tableColumn>
    <tableColumn id="3" name="Colunas3" headerRowDxfId="14" dataDxfId="13"/>
    <tableColumn id="4" name="Colunas4" headerRowDxfId="12" dataDxfId="11"/>
  </tableColumns>
  <tableStyleInfo name="Estilo de Tabela 1" showFirstColumn="0" showLastColumn="0" showRowStripes="1" showColumnStripes="0"/>
</table>
</file>

<file path=xl/tables/table40.xml><?xml version="1.0" encoding="utf-8"?>
<table xmlns="http://schemas.openxmlformats.org/spreadsheetml/2006/main" id="39" name="Cadastro_covid" displayName="Cadastro_covid" ref="A327:D342" headerRowCount="0" totalsRowShown="0" headerRowDxfId="10" dataDxfId="9" tableBorderDxfId="8">
  <tableColumns count="4">
    <tableColumn id="1" name="Colunas1" headerRowDxfId="7" dataDxfId="6">
      <calculatedColumnFormula>$P$1</calculatedColumnFormula>
    </tableColumn>
    <tableColumn id="2" name="Colunas2" headerRowDxfId="5" dataDxfId="4">
      <calculatedColumnFormula>ROW()</calculatedColumnFormula>
    </tableColumn>
    <tableColumn id="3" name="Colunas3" headerRowDxfId="3" dataDxfId="2"/>
    <tableColumn id="4" name="Colunas4" headerRowDxfId="1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algn="ctr">
          <a:defRPr sz="24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comments" Target="../comments2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8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Relationship Id="rId9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3" Type="http://schemas.openxmlformats.org/officeDocument/2006/relationships/table" Target="../tables/table34.xml"/><Relationship Id="rId7" Type="http://schemas.openxmlformats.org/officeDocument/2006/relationships/table" Target="../tables/table38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table" Target="../tables/table35.xml"/><Relationship Id="rId9" Type="http://schemas.openxmlformats.org/officeDocument/2006/relationships/table" Target="../tables/table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1"/>
  <dimension ref="A1:E8"/>
  <sheetViews>
    <sheetView showGridLines="0" workbookViewId="0">
      <selection activeCell="F5" sqref="F5"/>
    </sheetView>
  </sheetViews>
  <sheetFormatPr defaultRowHeight="15"/>
  <cols>
    <col min="1" max="1" width="10.42578125" bestFit="1" customWidth="1"/>
    <col min="4" max="4" width="10.7109375" bestFit="1" customWidth="1"/>
  </cols>
  <sheetData>
    <row r="1" spans="1:5">
      <c r="A1" t="s">
        <v>407</v>
      </c>
      <c r="B1">
        <v>0</v>
      </c>
      <c r="D1" t="s">
        <v>451</v>
      </c>
      <c r="E1">
        <v>1</v>
      </c>
    </row>
    <row r="2" spans="1:5">
      <c r="A2" t="s">
        <v>408</v>
      </c>
      <c r="B2">
        <v>193973</v>
      </c>
    </row>
    <row r="3" spans="1:5">
      <c r="A3" t="s">
        <v>409</v>
      </c>
      <c r="B3">
        <v>1</v>
      </c>
    </row>
    <row r="4" spans="1:5">
      <c r="A4" t="s">
        <v>410</v>
      </c>
      <c r="B4">
        <v>1</v>
      </c>
    </row>
    <row r="5" spans="1:5">
      <c r="A5" t="s">
        <v>411</v>
      </c>
      <c r="B5">
        <v>1</v>
      </c>
    </row>
    <row r="6" spans="1:5">
      <c r="A6" t="s">
        <v>412</v>
      </c>
      <c r="B6">
        <v>1</v>
      </c>
    </row>
    <row r="7" spans="1:5">
      <c r="A7" t="s">
        <v>413</v>
      </c>
      <c r="B7">
        <v>1</v>
      </c>
    </row>
    <row r="8" spans="1:5">
      <c r="A8" t="s">
        <v>427</v>
      </c>
      <c r="B8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5"/>
  <dimension ref="A1:M32"/>
  <sheetViews>
    <sheetView zoomScaleNormal="100" workbookViewId="0">
      <selection activeCell="A2" sqref="A2"/>
    </sheetView>
  </sheetViews>
  <sheetFormatPr defaultRowHeight="15"/>
  <cols>
    <col min="2" max="3" width="10.7109375" bestFit="1" customWidth="1"/>
  </cols>
  <sheetData>
    <row r="1" spans="1:13" ht="15.75" thickBot="1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H1" t="s">
        <v>142</v>
      </c>
      <c r="I1">
        <f ca="1">Configurações!C7</f>
        <v>2020</v>
      </c>
    </row>
    <row r="2" spans="1:13" ht="15.75" thickBot="1">
      <c r="A2" s="216">
        <v>26</v>
      </c>
      <c r="B2" s="217">
        <v>22</v>
      </c>
      <c r="C2" s="217">
        <v>25</v>
      </c>
      <c r="D2" s="217">
        <v>25</v>
      </c>
      <c r="E2" s="217">
        <v>28</v>
      </c>
      <c r="F2" s="218">
        <v>28</v>
      </c>
      <c r="H2" t="s">
        <v>333</v>
      </c>
      <c r="I2">
        <f ca="1">Configurações!C6</f>
        <v>12</v>
      </c>
      <c r="L2">
        <v>1</v>
      </c>
      <c r="M2">
        <f ca="1">IF(WEEKDAY(DATE($I$1,$I$2,L2))=1,INDEX($A$4:$E$4,MATCH(INDEX($B$8:$B$12,MATCH(DATE($I$1,$I$2,L2),$C$8:$C$12,0)),$A$3:$E$3,0)),INDEX($A$2:$F$2,MATCH(WEEKDAY(DATE($I$1,$I$2,L2)),$A$1:$F$1,0)))</f>
        <v>22</v>
      </c>
    </row>
    <row r="3" spans="1:13" ht="15.75" thickBot="1">
      <c r="A3">
        <v>1</v>
      </c>
      <c r="B3">
        <v>2</v>
      </c>
      <c r="C3">
        <v>3</v>
      </c>
      <c r="D3">
        <v>4</v>
      </c>
      <c r="E3">
        <v>5</v>
      </c>
      <c r="L3">
        <v>2</v>
      </c>
      <c r="M3">
        <f t="shared" ref="M3:M32" ca="1" si="0">IF(WEEKDAY(DATE($I$1,$I$2,L3))=1,INDEX($A$4:$E$4,MATCH(INDEX($B$8:$B$12,MATCH(DATE($I$1,$I$2,L3),$C$8:$C$12,0)),$A$3:$E$3,0)),INDEX($A$2:$F$2,MATCH(WEEKDAY(DATE($I$1,$I$2,L3)),$A$1:$F$1,0)))</f>
        <v>25</v>
      </c>
    </row>
    <row r="4" spans="1:13" ht="15.75" thickBot="1">
      <c r="A4" s="216">
        <v>22</v>
      </c>
      <c r="B4" s="217">
        <v>19</v>
      </c>
      <c r="C4" s="217">
        <v>26</v>
      </c>
      <c r="D4" s="217">
        <v>23</v>
      </c>
      <c r="E4" s="218">
        <v>30</v>
      </c>
      <c r="L4">
        <v>3</v>
      </c>
      <c r="M4">
        <f t="shared" ca="1" si="0"/>
        <v>25</v>
      </c>
    </row>
    <row r="5" spans="1:13">
      <c r="L5">
        <v>4</v>
      </c>
      <c r="M5">
        <f t="shared" ca="1" si="0"/>
        <v>28</v>
      </c>
    </row>
    <row r="6" spans="1:13">
      <c r="B6" s="219">
        <f ca="1">DATE(Funcionarios!I1,Funcionarios!I2,Configurações!C5)</f>
        <v>44189</v>
      </c>
      <c r="C6" s="220" t="s">
        <v>332</v>
      </c>
      <c r="L6">
        <v>5</v>
      </c>
      <c r="M6">
        <f t="shared" ca="1" si="0"/>
        <v>28</v>
      </c>
    </row>
    <row r="7" spans="1:13">
      <c r="B7" s="221"/>
      <c r="C7" s="222">
        <f ca="1">WEEKDAY(B6)</f>
        <v>5</v>
      </c>
      <c r="L7">
        <v>6</v>
      </c>
      <c r="M7">
        <f t="shared" ca="1" si="0"/>
        <v>22</v>
      </c>
    </row>
    <row r="8" spans="1:13">
      <c r="B8" s="223">
        <v>1</v>
      </c>
      <c r="C8" s="224">
        <f ca="1">(DATE(YEAR($B$6),MONTH($B$6),CHOOSE(WEEKDAY(DATE(YEAR($B$6),MONTH($B$6),1)),2,1,7,6,5,4,3))-1)+(B8-1)*7</f>
        <v>44171</v>
      </c>
      <c r="L8">
        <v>7</v>
      </c>
      <c r="M8">
        <f t="shared" ca="1" si="0"/>
        <v>26</v>
      </c>
    </row>
    <row r="9" spans="1:13">
      <c r="B9" s="223">
        <v>2</v>
      </c>
      <c r="C9" s="224">
        <f ca="1">(DATE(YEAR($B$6),MONTH($B$6),CHOOSE(WEEKDAY(DATE(YEAR($B$6),MONTH($B$6),1)),2,1,7,6,5,4,3))-1)+(B9-1)*7</f>
        <v>44178</v>
      </c>
      <c r="L9">
        <v>8</v>
      </c>
      <c r="M9">
        <f t="shared" ca="1" si="0"/>
        <v>22</v>
      </c>
    </row>
    <row r="10" spans="1:13">
      <c r="B10" s="223">
        <v>3</v>
      </c>
      <c r="C10" s="224">
        <f ca="1">(DATE(YEAR($B$6),MONTH($B$6),CHOOSE(WEEKDAY(DATE(YEAR($B$6),MONTH($B$6),1)),2,1,7,6,5,4,3))-1)+(B10-1)*7</f>
        <v>44185</v>
      </c>
      <c r="L10">
        <v>9</v>
      </c>
      <c r="M10">
        <f t="shared" ca="1" si="0"/>
        <v>25</v>
      </c>
    </row>
    <row r="11" spans="1:13">
      <c r="B11" s="223">
        <v>4</v>
      </c>
      <c r="C11" s="224">
        <f ca="1">(DATE(YEAR($B$6),MONTH($B$6),CHOOSE(WEEKDAY(DATE(YEAR($B$6),MONTH($B$6),1)),2,1,7,6,5,4,3))-1)+(B11-1)*7</f>
        <v>44192</v>
      </c>
      <c r="L11">
        <v>10</v>
      </c>
      <c r="M11">
        <f t="shared" ca="1" si="0"/>
        <v>25</v>
      </c>
    </row>
    <row r="12" spans="1:13">
      <c r="B12" s="225">
        <v>5</v>
      </c>
      <c r="C12" s="224">
        <f ca="1">IF(MONTH((DATE(YEAR($B$6),MONTH($B$6),CHOOSE(WEEKDAY(DATE(YEAR($B$6),MONTH($B$6),1)),2,1,7,6,5,4,3))-1)+(B12-1)*7)&gt;MONTH(C11),"",(DATE(YEAR($B$6),MONTH($B$6),CHOOSE(WEEKDAY(DATE(YEAR($B$6),MONTH($B$6),1)),2,1,7,6,5,4,3))-1)+(B12-1)*7)</f>
        <v>44199</v>
      </c>
      <c r="L12">
        <v>11</v>
      </c>
      <c r="M12">
        <f t="shared" ca="1" si="0"/>
        <v>28</v>
      </c>
    </row>
    <row r="13" spans="1:13">
      <c r="L13">
        <v>12</v>
      </c>
      <c r="M13">
        <f t="shared" ca="1" si="0"/>
        <v>28</v>
      </c>
    </row>
    <row r="14" spans="1:13">
      <c r="L14">
        <v>13</v>
      </c>
      <c r="M14">
        <f t="shared" ca="1" si="0"/>
        <v>19</v>
      </c>
    </row>
    <row r="15" spans="1:13">
      <c r="L15">
        <v>14</v>
      </c>
      <c r="M15">
        <f t="shared" ca="1" si="0"/>
        <v>26</v>
      </c>
    </row>
    <row r="16" spans="1:13">
      <c r="L16">
        <v>15</v>
      </c>
      <c r="M16">
        <f t="shared" ca="1" si="0"/>
        <v>22</v>
      </c>
    </row>
    <row r="17" spans="12:13">
      <c r="L17">
        <v>16</v>
      </c>
      <c r="M17">
        <f t="shared" ca="1" si="0"/>
        <v>25</v>
      </c>
    </row>
    <row r="18" spans="12:13">
      <c r="L18">
        <v>17</v>
      </c>
      <c r="M18">
        <f t="shared" ca="1" si="0"/>
        <v>25</v>
      </c>
    </row>
    <row r="19" spans="12:13">
      <c r="L19">
        <v>18</v>
      </c>
      <c r="M19">
        <f t="shared" ca="1" si="0"/>
        <v>28</v>
      </c>
    </row>
    <row r="20" spans="12:13">
      <c r="L20">
        <v>19</v>
      </c>
      <c r="M20">
        <f t="shared" ca="1" si="0"/>
        <v>28</v>
      </c>
    </row>
    <row r="21" spans="12:13">
      <c r="L21">
        <v>20</v>
      </c>
      <c r="M21">
        <f t="shared" ca="1" si="0"/>
        <v>26</v>
      </c>
    </row>
    <row r="22" spans="12:13">
      <c r="L22">
        <v>21</v>
      </c>
      <c r="M22">
        <f t="shared" ca="1" si="0"/>
        <v>26</v>
      </c>
    </row>
    <row r="23" spans="12:13">
      <c r="L23">
        <v>22</v>
      </c>
      <c r="M23">
        <f t="shared" ca="1" si="0"/>
        <v>22</v>
      </c>
    </row>
    <row r="24" spans="12:13">
      <c r="L24">
        <v>23</v>
      </c>
      <c r="M24">
        <f t="shared" ca="1" si="0"/>
        <v>25</v>
      </c>
    </row>
    <row r="25" spans="12:13">
      <c r="L25">
        <v>24</v>
      </c>
      <c r="M25">
        <f t="shared" ca="1" si="0"/>
        <v>25</v>
      </c>
    </row>
    <row r="26" spans="12:13">
      <c r="L26">
        <v>25</v>
      </c>
      <c r="M26">
        <f t="shared" ca="1" si="0"/>
        <v>28</v>
      </c>
    </row>
    <row r="27" spans="12:13">
      <c r="L27">
        <v>26</v>
      </c>
      <c r="M27">
        <f t="shared" ca="1" si="0"/>
        <v>28</v>
      </c>
    </row>
    <row r="28" spans="12:13">
      <c r="L28">
        <v>27</v>
      </c>
      <c r="M28">
        <f t="shared" ca="1" si="0"/>
        <v>23</v>
      </c>
    </row>
    <row r="29" spans="12:13">
      <c r="L29">
        <v>28</v>
      </c>
      <c r="M29">
        <f t="shared" ca="1" si="0"/>
        <v>26</v>
      </c>
    </row>
    <row r="30" spans="12:13">
      <c r="L30">
        <v>29</v>
      </c>
      <c r="M30">
        <f t="shared" ca="1" si="0"/>
        <v>22</v>
      </c>
    </row>
    <row r="31" spans="12:13">
      <c r="L31">
        <v>30</v>
      </c>
      <c r="M31">
        <f t="shared" ca="1" si="0"/>
        <v>25</v>
      </c>
    </row>
    <row r="32" spans="12:13">
      <c r="L32">
        <v>31</v>
      </c>
      <c r="M32">
        <f t="shared" ca="1" si="0"/>
        <v>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0"/>
  <dimension ref="A1:T13"/>
  <sheetViews>
    <sheetView showGridLines="0" zoomScaleNormal="100" workbookViewId="0"/>
  </sheetViews>
  <sheetFormatPr defaultRowHeight="15"/>
  <cols>
    <col min="20" max="20" width="10" bestFit="1" customWidth="1"/>
  </cols>
  <sheetData>
    <row r="1" spans="1:20">
      <c r="A1" s="192">
        <v>1</v>
      </c>
    </row>
    <row r="2" spans="1:20">
      <c r="S2" s="139" t="s">
        <v>289</v>
      </c>
      <c r="T2" s="189">
        <f>ESTOQUE!$N$9</f>
        <v>3</v>
      </c>
    </row>
    <row r="3" spans="1:20">
      <c r="S3" s="139" t="s">
        <v>288</v>
      </c>
      <c r="T3" s="138">
        <f ca="1">BAIXAS!$B$1</f>
        <v>2</v>
      </c>
    </row>
    <row r="4" spans="1:20">
      <c r="S4" s="139" t="s">
        <v>287</v>
      </c>
      <c r="T4" s="189">
        <f ca="1">ENTRADAS!$B$1</f>
        <v>2</v>
      </c>
    </row>
    <row r="5" spans="1:20">
      <c r="S5" s="139" t="s">
        <v>286</v>
      </c>
      <c r="T5" s="189">
        <f ca="1">'Qtd Pessoas'!$A$2</f>
        <v>0</v>
      </c>
    </row>
    <row r="6" spans="1:20">
      <c r="S6" s="139" t="s">
        <v>285</v>
      </c>
      <c r="T6" s="189">
        <f>História!$I$1</f>
        <v>1</v>
      </c>
    </row>
    <row r="13" spans="1:20"/>
  </sheetData>
  <sheetProtection password="C6E3" sheet="1" objects="1" scenarios="1" selectLockedCells="1"/>
  <conditionalFormatting sqref="T2:T6">
    <cfRule type="iconSet" priority="2">
      <iconSet iconSet="4TrafficLights" showValue="0">
        <cfvo type="percent" val="0"/>
        <cfvo type="num" val="0" gte="0"/>
        <cfvo type="num" val="1" gte="0"/>
        <cfvo type="num" val="3"/>
      </iconSet>
    </cfRule>
  </conditionalFormatting>
  <conditionalFormatting sqref="T6">
    <cfRule type="iconSet" priority="1">
      <iconSet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H40"/>
  <sheetViews>
    <sheetView showGridLines="0" zoomScale="70" zoomScaleNormal="70" workbookViewId="0">
      <selection activeCell="C7" sqref="C7"/>
    </sheetView>
  </sheetViews>
  <sheetFormatPr defaultRowHeight="15"/>
  <cols>
    <col min="1" max="1" width="9.140625" style="98"/>
    <col min="2" max="2" width="5.85546875" style="170" bestFit="1" customWidth="1"/>
    <col min="3" max="3" width="8" style="170" bestFit="1" customWidth="1"/>
    <col min="4" max="4" width="6.7109375" style="170" bestFit="1" customWidth="1"/>
    <col min="5" max="5" width="8.5703125" style="170" bestFit="1" customWidth="1"/>
    <col min="6" max="6" width="9.140625" style="170"/>
    <col min="7" max="7" width="3.140625" style="98" bestFit="1" customWidth="1"/>
    <col min="8" max="8" width="8.7109375" style="98" bestFit="1" customWidth="1"/>
    <col min="9" max="9" width="3" style="98" bestFit="1" customWidth="1"/>
    <col min="10" max="10" width="26" style="170" bestFit="1" customWidth="1"/>
    <col min="11" max="12" width="9.140625" style="170"/>
    <col min="13" max="13" width="26" style="170" customWidth="1"/>
    <col min="14" max="14" width="2.5703125" style="170" customWidth="1"/>
    <col min="15" max="15" width="13.7109375" style="170" bestFit="1" customWidth="1"/>
    <col min="16" max="16" width="12.140625" style="170" bestFit="1" customWidth="1"/>
    <col min="17" max="16384" width="9.140625" style="170"/>
  </cols>
  <sheetData>
    <row r="1" spans="1:34">
      <c r="A1" s="249"/>
      <c r="B1" s="249"/>
      <c r="C1" s="249"/>
      <c r="D1" s="98"/>
      <c r="E1" s="195"/>
      <c r="F1" s="195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</row>
    <row r="2" spans="1:34">
      <c r="A2" s="98">
        <f ca="1">IF(A3=100,3,IF(A3&gt;=70,2,IF(A3&gt;0,1,0)))</f>
        <v>0</v>
      </c>
      <c r="B2" s="98"/>
      <c r="C2" s="98"/>
      <c r="D2" s="98"/>
      <c r="E2" s="195"/>
      <c r="F2" s="195"/>
      <c r="M2" s="249"/>
      <c r="N2" s="249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49"/>
      <c r="AH2" s="249"/>
    </row>
    <row r="3" spans="1:34" ht="15.75" thickBot="1">
      <c r="A3" s="98">
        <f ca="1">IFERROR(C3*100/B3/3,0)</f>
        <v>0</v>
      </c>
      <c r="B3" s="98">
        <f ca="1">DAY(Configurações!C4)</f>
        <v>28</v>
      </c>
      <c r="C3" s="98">
        <f ca="1">SUMIF(B6:B36,"&lt;="&amp;B3,A6:A36)</f>
        <v>0</v>
      </c>
      <c r="D3" s="98"/>
      <c r="E3" s="195"/>
      <c r="F3" s="195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</row>
    <row r="4" spans="1:34" ht="15.75" thickBot="1">
      <c r="A4" s="98">
        <f>ROUNDDOWN((A37)/3,0)</f>
        <v>0</v>
      </c>
      <c r="B4" s="171"/>
      <c r="C4" s="408" t="s">
        <v>127</v>
      </c>
      <c r="D4" s="408"/>
      <c r="E4" s="408"/>
      <c r="F4" s="172"/>
      <c r="M4" s="249"/>
      <c r="N4" s="249"/>
      <c r="O4" s="249"/>
      <c r="P4" s="249"/>
      <c r="Q4" s="249"/>
      <c r="R4" s="249"/>
      <c r="S4" s="249"/>
      <c r="T4" s="249"/>
      <c r="U4" s="249"/>
      <c r="V4" s="249"/>
      <c r="W4" s="249"/>
      <c r="X4" s="249"/>
      <c r="Y4" s="249"/>
      <c r="Z4" s="249"/>
      <c r="AA4" s="249"/>
      <c r="AB4" s="249"/>
      <c r="AC4" s="249"/>
      <c r="AD4" s="249"/>
      <c r="AE4" s="249"/>
      <c r="AF4" s="249"/>
      <c r="AG4" s="249"/>
      <c r="AH4" s="249"/>
    </row>
    <row r="5" spans="1:34" ht="15.75" thickBot="1">
      <c r="A5" s="98">
        <f ca="1">B3*3</f>
        <v>84</v>
      </c>
      <c r="B5" s="173" t="s">
        <v>126</v>
      </c>
      <c r="C5" s="174" t="s">
        <v>125</v>
      </c>
      <c r="D5" s="174" t="s">
        <v>124</v>
      </c>
      <c r="E5" s="174" t="s">
        <v>123</v>
      </c>
      <c r="F5" s="175" t="s">
        <v>122</v>
      </c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49"/>
      <c r="AE5" s="249"/>
      <c r="AF5" s="249"/>
      <c r="AG5" s="249"/>
      <c r="AH5" s="249"/>
    </row>
    <row r="6" spans="1:34" ht="16.5" customHeight="1" thickBot="1">
      <c r="A6" s="98">
        <f t="shared" ref="A6:A36" si="0">COUNT(C6:E6)</f>
        <v>0</v>
      </c>
      <c r="B6" s="176">
        <v>1</v>
      </c>
      <c r="C6" s="177"/>
      <c r="D6" s="177"/>
      <c r="E6" s="177"/>
      <c r="F6" s="178">
        <f ca="1">IF(Configurações!$G$25="Ambos",
  IF(Configurações!$G$24="Ligado",
   SUM('Qtd Pessoas'!C6:E6),
   SUM('Qtd Pessoas'!D6:E6)
  )  +H6,
   IF(Configurações!$G$25="Hospedes",
    IF(Configurações!$G$24="Ligado",
     SUM('Qtd Pessoas'!C6:E6),
     SUM('Qtd Pessoas'!D6:E6)),
     H6
  )
 )</f>
        <v>22</v>
      </c>
      <c r="G6" s="98">
        <f ca="1">WEEKDAY(DATE(Configurações!$C$7,Configurações!$C$6,B6))</f>
        <v>3</v>
      </c>
      <c r="H6" s="98">
        <f ca="1">IF(B6&gt;Configurações!$C$14,0,Funcionarios!M2)</f>
        <v>22</v>
      </c>
      <c r="I6" s="98">
        <f ca="1">COUNTIF($G$6:G6,"=1")</f>
        <v>0</v>
      </c>
      <c r="J6" s="195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Z6" s="249"/>
      <c r="AA6" s="249"/>
      <c r="AB6" s="249"/>
      <c r="AC6" s="249"/>
      <c r="AD6" s="249"/>
      <c r="AE6" s="249"/>
      <c r="AF6" s="249"/>
      <c r="AG6" s="249"/>
      <c r="AH6" s="249"/>
    </row>
    <row r="7" spans="1:34" ht="15.75" thickBot="1">
      <c r="A7" s="98">
        <f t="shared" si="0"/>
        <v>0</v>
      </c>
      <c r="B7" s="179">
        <v>2</v>
      </c>
      <c r="C7" s="180"/>
      <c r="D7" s="180"/>
      <c r="E7" s="180"/>
      <c r="F7" s="178">
        <f ca="1">IF(Configurações!$G$25="Ambos",
  IF(Configurações!$G$24="Ligado",
   SUM('Qtd Pessoas'!C7:E7),
   SUM('Qtd Pessoas'!D7:E7)
  )  +H7,
   IF(Configurações!$G$25="Hospedes",
    IF(Configurações!$G$24="Ligado",
     SUM('Qtd Pessoas'!C7:E7),
     SUM('Qtd Pessoas'!D7:E7)),
     H7
  )
 )</f>
        <v>25</v>
      </c>
      <c r="G7" s="98">
        <f ca="1">WEEKDAY(DATE(Configurações!$C$7,Configurações!$C$6,B7))</f>
        <v>4</v>
      </c>
      <c r="H7" s="98">
        <f ca="1">IF(B7&gt;Configurações!$C$14,0,Funcionarios!M3)</f>
        <v>25</v>
      </c>
      <c r="I7" s="98">
        <f ca="1">COUNTIF($G$6:G7,"=1")</f>
        <v>0</v>
      </c>
      <c r="J7" s="195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49"/>
      <c r="AE7" s="249"/>
      <c r="AF7" s="249"/>
      <c r="AG7" s="249"/>
      <c r="AH7" s="249"/>
    </row>
    <row r="8" spans="1:34" ht="15.75" thickBot="1">
      <c r="A8" s="98">
        <f t="shared" si="0"/>
        <v>0</v>
      </c>
      <c r="B8" s="176">
        <v>3</v>
      </c>
      <c r="C8" s="177"/>
      <c r="D8" s="177"/>
      <c r="E8" s="177"/>
      <c r="F8" s="178">
        <f ca="1">IF(Configurações!$G$25="Ambos",
  IF(Configurações!$G$24="Ligado",
   SUM('Qtd Pessoas'!C8:E8),
   SUM('Qtd Pessoas'!D8:E8)
  )  +H8,
   IF(Configurações!$G$25="Hospedes",
    IF(Configurações!$G$24="Ligado",
     SUM('Qtd Pessoas'!C8:E8),
     SUM('Qtd Pessoas'!D8:E8)),
     H8
  )
 )</f>
        <v>25</v>
      </c>
      <c r="G8" s="98">
        <f ca="1">WEEKDAY(DATE(Configurações!$C$7,Configurações!$C$6,B8))</f>
        <v>5</v>
      </c>
      <c r="H8" s="98">
        <f ca="1">IF(B8&gt;Configurações!$C$14,0,Funcionarios!M4)</f>
        <v>25</v>
      </c>
      <c r="I8" s="98">
        <f ca="1">COUNTIF($G$6:G8,"=1")</f>
        <v>0</v>
      </c>
      <c r="J8" s="196" t="s">
        <v>129</v>
      </c>
      <c r="K8" s="181">
        <f ca="1">DAY(Configurações!C5)</f>
        <v>24</v>
      </c>
      <c r="M8" s="305"/>
      <c r="N8" s="305"/>
      <c r="O8" s="305"/>
      <c r="P8" s="305"/>
      <c r="Q8" s="305"/>
      <c r="R8" s="305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49"/>
      <c r="AE8" s="249"/>
      <c r="AF8" s="249"/>
      <c r="AG8" s="249"/>
      <c r="AH8" s="249"/>
    </row>
    <row r="9" spans="1:34" ht="15.75" thickBot="1">
      <c r="A9" s="98">
        <f t="shared" si="0"/>
        <v>0</v>
      </c>
      <c r="B9" s="179">
        <v>4</v>
      </c>
      <c r="C9" s="180"/>
      <c r="D9" s="180"/>
      <c r="E9" s="180"/>
      <c r="F9" s="178">
        <f ca="1">IF(Configurações!$G$25="Ambos",
  IF(Configurações!$G$24="Ligado",
   SUM('Qtd Pessoas'!C9:E9),
   SUM('Qtd Pessoas'!D9:E9)
  )  +H9,
   IF(Configurações!$G$25="Hospedes",
    IF(Configurações!$G$24="Ligado",
     SUM('Qtd Pessoas'!C9:E9),
     SUM('Qtd Pessoas'!D9:E9)),
     H9
  )
 )</f>
        <v>28</v>
      </c>
      <c r="G9" s="98">
        <f ca="1">WEEKDAY(DATE(Configurações!$C$7,Configurações!$C$6,B9))</f>
        <v>6</v>
      </c>
      <c r="H9" s="98">
        <f ca="1">IF(B9&gt;Configurações!$C$14,0,Funcionarios!M5)</f>
        <v>28</v>
      </c>
      <c r="I9" s="98">
        <f ca="1">COUNTIF($G$6:G9,"=1")</f>
        <v>0</v>
      </c>
      <c r="J9" s="195"/>
      <c r="M9" s="305"/>
      <c r="N9" s="305"/>
      <c r="O9" s="305"/>
      <c r="P9" s="305"/>
      <c r="Q9" s="305"/>
      <c r="R9" s="305"/>
      <c r="S9" s="249"/>
      <c r="T9" s="249"/>
      <c r="U9" s="249"/>
      <c r="V9" s="249"/>
      <c r="W9" s="249"/>
      <c r="X9" s="249"/>
      <c r="Y9" s="249"/>
      <c r="Z9" s="249"/>
      <c r="AA9" s="249"/>
      <c r="AB9" s="249"/>
      <c r="AC9" s="249"/>
      <c r="AD9" s="249"/>
      <c r="AE9" s="249"/>
      <c r="AF9" s="249"/>
      <c r="AG9" s="249"/>
      <c r="AH9" s="249"/>
    </row>
    <row r="10" spans="1:34" ht="15.75" thickBot="1">
      <c r="A10" s="98">
        <f t="shared" si="0"/>
        <v>0</v>
      </c>
      <c r="B10" s="176">
        <v>5</v>
      </c>
      <c r="C10" s="177"/>
      <c r="D10" s="177"/>
      <c r="E10" s="177"/>
      <c r="F10" s="178">
        <f ca="1">IF(Configurações!$G$25="Ambos",
  IF(Configurações!$G$24="Ligado",
   SUM('Qtd Pessoas'!C10:E10),
   SUM('Qtd Pessoas'!D10:E10)
  )  +H10,
   IF(Configurações!$G$25="Hospedes",
    IF(Configurações!$G$24="Ligado",
     SUM('Qtd Pessoas'!C10:E10),
     SUM('Qtd Pessoas'!D10:E10)),
     H10
  )
 )</f>
        <v>28</v>
      </c>
      <c r="G10" s="98">
        <f ca="1">WEEKDAY(DATE(Configurações!$C$7,Configurações!$C$6,B10))</f>
        <v>7</v>
      </c>
      <c r="H10" s="98">
        <f ca="1">IF(B10&gt;Configurações!$C$14,0,Funcionarios!M6)</f>
        <v>28</v>
      </c>
      <c r="I10" s="98">
        <f ca="1">COUNTIF($G$6:G10,"=1")</f>
        <v>0</v>
      </c>
      <c r="J10" s="197" t="s">
        <v>164</v>
      </c>
      <c r="K10" s="182">
        <f ca="1">IF(Configurações!G26="Ligado",ROUNDUP('Qtd Pessoas'!K12,0)*DAY(Configurações!$C$5),'Qtd Pessoas'!K11)</f>
        <v>601</v>
      </c>
      <c r="M10" s="305"/>
      <c r="N10" s="305"/>
      <c r="O10" s="305"/>
      <c r="P10" s="305"/>
      <c r="Q10" s="305"/>
      <c r="R10" s="305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  <c r="AE10" s="249"/>
      <c r="AF10" s="249"/>
      <c r="AG10" s="249"/>
      <c r="AH10" s="249"/>
    </row>
    <row r="11" spans="1:34" ht="15.75" thickBot="1">
      <c r="A11" s="98">
        <f t="shared" si="0"/>
        <v>0</v>
      </c>
      <c r="B11" s="179">
        <v>6</v>
      </c>
      <c r="C11" s="180"/>
      <c r="D11" s="180"/>
      <c r="E11" s="180"/>
      <c r="F11" s="178">
        <f ca="1">IF(Configurações!$G$25="Ambos",
  IF(Configurações!$G$24="Ligado",
   SUM('Qtd Pessoas'!C11:E11),
   SUM('Qtd Pessoas'!D11:E11)
  )  +H11,
   IF(Configurações!$G$25="Hospedes",
    IF(Configurações!$G$24="Ligado",
     SUM('Qtd Pessoas'!C11:E11),
     SUM('Qtd Pessoas'!D11:E11)),
     H11
  )
 )</f>
        <v>22</v>
      </c>
      <c r="G11" s="98">
        <f ca="1">WEEKDAY(DATE(Configurações!$C$7,Configurações!$C$6,B11))</f>
        <v>1</v>
      </c>
      <c r="H11" s="98">
        <f ca="1">IF(B11&gt;Configurações!$C$14,0,Funcionarios!M7)</f>
        <v>22</v>
      </c>
      <c r="I11" s="98">
        <f ca="1">COUNTIF($G$6:G11,"=1")</f>
        <v>1</v>
      </c>
      <c r="J11" s="197" t="s">
        <v>121</v>
      </c>
      <c r="K11" s="182">
        <f ca="1">SUMIF(B6:B36,"&lt;=" &amp; Configurações!C5,F6:F36)</f>
        <v>601</v>
      </c>
      <c r="M11" s="305"/>
      <c r="N11" s="305"/>
      <c r="O11" s="305"/>
      <c r="P11" s="305"/>
      <c r="Q11" s="305"/>
      <c r="R11" s="305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  <c r="AE11" s="249"/>
      <c r="AF11" s="249"/>
      <c r="AG11" s="249"/>
      <c r="AH11" s="249"/>
    </row>
    <row r="12" spans="1:34" ht="15.75" thickBot="1">
      <c r="A12" s="98">
        <f t="shared" si="0"/>
        <v>0</v>
      </c>
      <c r="B12" s="176">
        <v>7</v>
      </c>
      <c r="C12" s="177"/>
      <c r="D12" s="177"/>
      <c r="E12" s="177"/>
      <c r="F12" s="178">
        <f ca="1">IF(Configurações!$G$25="Ambos",
  IF(Configurações!$G$24="Ligado",
   SUM('Qtd Pessoas'!C12:E12),
   SUM('Qtd Pessoas'!D12:E12)
  )  +H12,
   IF(Configurações!$G$25="Hospedes",
    IF(Configurações!$G$24="Ligado",
     SUM('Qtd Pessoas'!C12:E12),
     SUM('Qtd Pessoas'!D12:E12)),
     H12
  )
 )</f>
        <v>26</v>
      </c>
      <c r="G12" s="98">
        <f ca="1">WEEKDAY(DATE(Configurações!$C$7,Configurações!$C$6,B12))</f>
        <v>2</v>
      </c>
      <c r="H12" s="98">
        <f ca="1">IF(B12&gt;Configurações!$C$14,0,Funcionarios!M8)</f>
        <v>26</v>
      </c>
      <c r="I12" s="98">
        <f ca="1">COUNTIF($G$6:G12,"=1")</f>
        <v>1</v>
      </c>
      <c r="J12" s="197" t="s">
        <v>130</v>
      </c>
      <c r="K12" s="182">
        <f ca="1">AVERAGEIF(B6:B36,"&lt;=" &amp; DAY(Configurações!$C$5),F6:F36)</f>
        <v>25.041666666666668</v>
      </c>
      <c r="M12" s="305"/>
      <c r="N12" s="305"/>
      <c r="O12" s="305"/>
      <c r="P12" s="305"/>
      <c r="Q12" s="305"/>
      <c r="R12" s="305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  <c r="AE12" s="249"/>
      <c r="AF12" s="249"/>
      <c r="AG12" s="249"/>
      <c r="AH12" s="249"/>
    </row>
    <row r="13" spans="1:34" ht="15.75" thickBot="1">
      <c r="A13" s="98">
        <f t="shared" si="0"/>
        <v>0</v>
      </c>
      <c r="B13" s="179">
        <v>8</v>
      </c>
      <c r="C13" s="180"/>
      <c r="D13" s="180"/>
      <c r="E13" s="180"/>
      <c r="F13" s="178">
        <f ca="1">IF(Configurações!$G$25="Ambos",
  IF(Configurações!$G$24="Ligado",
   SUM('Qtd Pessoas'!C13:E13),
   SUM('Qtd Pessoas'!D13:E13)
  )  +H13,
   IF(Configurações!$G$25="Hospedes",
    IF(Configurações!$G$24="Ligado",
     SUM('Qtd Pessoas'!C13:E13),
     SUM('Qtd Pessoas'!D13:E13)),
     H13
  )
 )</f>
        <v>22</v>
      </c>
      <c r="G13" s="98">
        <f ca="1">WEEKDAY(DATE(Configurações!$C$7,Configurações!$C$6,B13))</f>
        <v>3</v>
      </c>
      <c r="H13" s="98">
        <f ca="1">IF(B13&gt;Configurações!$C$14,0,Funcionarios!M9)</f>
        <v>22</v>
      </c>
      <c r="I13" s="98">
        <f ca="1">COUNTIF($G$6:G13,"=1")</f>
        <v>1</v>
      </c>
      <c r="J13" s="195"/>
      <c r="M13" s="305"/>
      <c r="N13" s="305"/>
      <c r="O13" s="305"/>
      <c r="P13" s="305"/>
      <c r="Q13" s="305"/>
      <c r="R13" s="305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  <c r="AE13" s="249"/>
      <c r="AF13" s="249"/>
      <c r="AG13" s="249"/>
      <c r="AH13" s="249"/>
    </row>
    <row r="14" spans="1:34" ht="15.75" thickBot="1">
      <c r="A14" s="98">
        <f t="shared" si="0"/>
        <v>0</v>
      </c>
      <c r="B14" s="176">
        <v>9</v>
      </c>
      <c r="C14" s="177"/>
      <c r="D14" s="177"/>
      <c r="E14" s="177"/>
      <c r="F14" s="178">
        <f ca="1">IF(Configurações!$G$25="Ambos",
  IF(Configurações!$G$24="Ligado",
   SUM('Qtd Pessoas'!C14:E14),
   SUM('Qtd Pessoas'!D14:E14)
  )  +H14,
   IF(Configurações!$G$25="Hospedes",
    IF(Configurações!$G$24="Ligado",
     SUM('Qtd Pessoas'!C14:E14),
     SUM('Qtd Pessoas'!D14:E14)),
     H14
  )
 )</f>
        <v>25</v>
      </c>
      <c r="G14" s="98">
        <f ca="1">WEEKDAY(DATE(Configurações!$C$7,Configurações!$C$6,B14))</f>
        <v>4</v>
      </c>
      <c r="H14" s="98">
        <f ca="1">IF(B14&gt;Configurações!$C$14,0,Funcionarios!M10)</f>
        <v>25</v>
      </c>
      <c r="I14" s="98">
        <f ca="1">COUNTIF($G$6:G14,"=1")</f>
        <v>1</v>
      </c>
      <c r="J14" s="195"/>
      <c r="M14" s="305"/>
      <c r="N14" s="305"/>
      <c r="O14" s="305"/>
      <c r="P14" s="305"/>
      <c r="Q14" s="305"/>
      <c r="R14" s="305"/>
      <c r="S14" s="249"/>
      <c r="T14" s="249"/>
      <c r="U14" s="249"/>
      <c r="V14" s="249"/>
      <c r="W14" s="249"/>
      <c r="X14" s="249"/>
      <c r="Y14" s="249"/>
      <c r="Z14" s="249"/>
      <c r="AA14" s="249"/>
      <c r="AB14" s="249"/>
      <c r="AC14" s="249"/>
      <c r="AD14" s="249"/>
      <c r="AE14" s="249"/>
      <c r="AF14" s="249"/>
      <c r="AG14" s="249"/>
      <c r="AH14" s="249"/>
    </row>
    <row r="15" spans="1:34" ht="15.75" thickBot="1">
      <c r="A15" s="98">
        <f t="shared" si="0"/>
        <v>0</v>
      </c>
      <c r="B15" s="179">
        <v>10</v>
      </c>
      <c r="C15" s="180"/>
      <c r="D15" s="180"/>
      <c r="E15" s="180"/>
      <c r="F15" s="178">
        <f ca="1">IF(Configurações!$G$25="Ambos",
  IF(Configurações!$G$24="Ligado",
   SUM('Qtd Pessoas'!C15:E15),
   SUM('Qtd Pessoas'!D15:E15)
  )  +H15,
   IF(Configurações!$G$25="Hospedes",
    IF(Configurações!$G$24="Ligado",
     SUM('Qtd Pessoas'!C15:E15),
     SUM('Qtd Pessoas'!D15:E15)),
     H15
  )
 )</f>
        <v>25</v>
      </c>
      <c r="G15" s="98">
        <f ca="1">WEEKDAY(DATE(Configurações!$C$7,Configurações!$C$6,B15))</f>
        <v>5</v>
      </c>
      <c r="H15" s="98">
        <f ca="1">IF(B15&gt;Configurações!$C$14,0,Funcionarios!M11)</f>
        <v>25</v>
      </c>
      <c r="I15" s="98">
        <f ca="1">COUNTIF($G$6:G15,"=1")</f>
        <v>1</v>
      </c>
      <c r="J15" s="195"/>
      <c r="M15" s="305"/>
      <c r="N15" s="305"/>
      <c r="O15" s="305"/>
      <c r="P15" s="305"/>
      <c r="Q15" s="305"/>
      <c r="R15" s="305"/>
      <c r="S15" s="249"/>
      <c r="T15" s="249"/>
      <c r="U15" s="249"/>
      <c r="V15" s="249"/>
      <c r="W15" s="249"/>
      <c r="X15" s="249"/>
      <c r="Y15" s="249"/>
      <c r="Z15" s="249"/>
      <c r="AA15" s="249"/>
      <c r="AB15" s="249"/>
      <c r="AC15" s="249"/>
      <c r="AD15" s="249"/>
      <c r="AE15" s="249"/>
      <c r="AF15" s="249"/>
      <c r="AG15" s="249"/>
      <c r="AH15" s="249"/>
    </row>
    <row r="16" spans="1:34" ht="15.75" thickBot="1">
      <c r="A16" s="98">
        <f t="shared" si="0"/>
        <v>0</v>
      </c>
      <c r="B16" s="176">
        <v>11</v>
      </c>
      <c r="C16" s="177"/>
      <c r="D16" s="177"/>
      <c r="E16" s="177"/>
      <c r="F16" s="178">
        <f ca="1">IF(Configurações!$G$25="Ambos",
  IF(Configurações!$G$24="Ligado",
   SUM('Qtd Pessoas'!C16:E16),
   SUM('Qtd Pessoas'!D16:E16)
  )  +H16,
   IF(Configurações!$G$25="Hospedes",
    IF(Configurações!$G$24="Ligado",
     SUM('Qtd Pessoas'!C16:E16),
     SUM('Qtd Pessoas'!D16:E16)),
     H16
  )
 )</f>
        <v>28</v>
      </c>
      <c r="G16" s="98">
        <f ca="1">WEEKDAY(DATE(Configurações!$C$7,Configurações!$C$6,B16))</f>
        <v>6</v>
      </c>
      <c r="H16" s="98">
        <f ca="1">IF(B16&gt;Configurações!$C$14,0,Funcionarios!M12)</f>
        <v>28</v>
      </c>
      <c r="I16" s="98">
        <f ca="1">COUNTIF($G$6:G16,"=1")</f>
        <v>1</v>
      </c>
      <c r="J16" s="195"/>
      <c r="M16" s="305"/>
      <c r="N16" s="305"/>
      <c r="O16" s="305"/>
      <c r="P16" s="305"/>
      <c r="Q16" s="305"/>
      <c r="R16" s="305"/>
      <c r="S16" s="249"/>
      <c r="T16" s="249"/>
      <c r="U16" s="249"/>
      <c r="V16" s="249"/>
      <c r="W16" s="249"/>
      <c r="X16" s="249"/>
      <c r="Y16" s="249"/>
      <c r="Z16" s="249"/>
      <c r="AA16" s="249"/>
      <c r="AB16" s="249"/>
      <c r="AC16" s="249"/>
      <c r="AD16" s="249"/>
      <c r="AE16" s="249"/>
      <c r="AF16" s="249"/>
      <c r="AG16" s="249"/>
      <c r="AH16" s="249"/>
    </row>
    <row r="17" spans="1:34" ht="15.75" thickBot="1">
      <c r="A17" s="98">
        <f t="shared" si="0"/>
        <v>0</v>
      </c>
      <c r="B17" s="179">
        <v>12</v>
      </c>
      <c r="C17" s="180"/>
      <c r="D17" s="180"/>
      <c r="E17" s="180"/>
      <c r="F17" s="178">
        <f ca="1">IF(Configurações!$G$25="Ambos",
  IF(Configurações!$G$24="Ligado",
   SUM('Qtd Pessoas'!C17:E17),
   SUM('Qtd Pessoas'!D17:E17)
  )  +H17,
   IF(Configurações!$G$25="Hospedes",
    IF(Configurações!$G$24="Ligado",
     SUM('Qtd Pessoas'!C17:E17),
     SUM('Qtd Pessoas'!D17:E17)),
     H17
  )
 )</f>
        <v>28</v>
      </c>
      <c r="G17" s="98">
        <f ca="1">WEEKDAY(DATE(Configurações!$C$7,Configurações!$C$6,B17))</f>
        <v>7</v>
      </c>
      <c r="H17" s="98">
        <f ca="1">IF(B17&gt;Configurações!$C$14,0,Funcionarios!M13)</f>
        <v>28</v>
      </c>
      <c r="I17" s="98">
        <f ca="1">COUNTIF($G$6:G17,"=1")</f>
        <v>1</v>
      </c>
      <c r="J17" s="195"/>
      <c r="M17" s="305"/>
      <c r="N17" s="305"/>
      <c r="O17" s="305"/>
      <c r="P17" s="305"/>
      <c r="Q17" s="305"/>
      <c r="R17" s="305"/>
      <c r="S17" s="249"/>
      <c r="T17" s="249"/>
      <c r="U17" s="249"/>
      <c r="V17" s="249"/>
      <c r="W17" s="249"/>
      <c r="X17" s="249"/>
      <c r="Y17" s="249"/>
      <c r="Z17" s="249"/>
      <c r="AA17" s="249"/>
      <c r="AB17" s="249"/>
      <c r="AC17" s="249"/>
      <c r="AD17" s="249"/>
      <c r="AE17" s="249"/>
      <c r="AF17" s="249"/>
      <c r="AG17" s="249"/>
      <c r="AH17" s="249"/>
    </row>
    <row r="18" spans="1:34" ht="15.75" thickBot="1">
      <c r="A18" s="98">
        <f t="shared" si="0"/>
        <v>0</v>
      </c>
      <c r="B18" s="176">
        <v>13</v>
      </c>
      <c r="C18" s="177"/>
      <c r="D18" s="177"/>
      <c r="E18" s="177"/>
      <c r="F18" s="178">
        <f ca="1">IF(Configurações!$G$25="Ambos",
  IF(Configurações!$G$24="Ligado",
   SUM('Qtd Pessoas'!C18:E18),
   SUM('Qtd Pessoas'!D18:E18)
  )  +H18,
   IF(Configurações!$G$25="Hospedes",
    IF(Configurações!$G$24="Ligado",
     SUM('Qtd Pessoas'!C18:E18),
     SUM('Qtd Pessoas'!D18:E18)),
     H18
  )
 )</f>
        <v>19</v>
      </c>
      <c r="G18" s="98">
        <f ca="1">WEEKDAY(DATE(Configurações!$C$7,Configurações!$C$6,B18))</f>
        <v>1</v>
      </c>
      <c r="H18" s="98">
        <f ca="1">IF(B18&gt;Configurações!$C$14,0,Funcionarios!M14)</f>
        <v>19</v>
      </c>
      <c r="I18" s="98">
        <f ca="1">COUNTIF($G$6:G18,"=1")</f>
        <v>2</v>
      </c>
      <c r="J18" s="195"/>
      <c r="M18" s="305"/>
      <c r="N18" s="305"/>
      <c r="O18" s="305"/>
      <c r="P18" s="305"/>
      <c r="Q18" s="305"/>
      <c r="R18" s="305"/>
      <c r="S18" s="249"/>
      <c r="T18" s="249"/>
      <c r="U18" s="249"/>
      <c r="V18" s="249"/>
      <c r="W18" s="249"/>
      <c r="X18" s="249"/>
      <c r="Y18" s="249"/>
      <c r="Z18" s="249"/>
      <c r="AA18" s="249"/>
      <c r="AB18" s="249"/>
      <c r="AC18" s="249"/>
      <c r="AD18" s="249"/>
      <c r="AE18" s="249"/>
      <c r="AF18" s="249"/>
      <c r="AG18" s="249"/>
      <c r="AH18" s="249"/>
    </row>
    <row r="19" spans="1:34" ht="15.75" thickBot="1">
      <c r="A19" s="98">
        <f t="shared" si="0"/>
        <v>0</v>
      </c>
      <c r="B19" s="179">
        <v>14</v>
      </c>
      <c r="C19" s="180"/>
      <c r="D19" s="180"/>
      <c r="E19" s="180"/>
      <c r="F19" s="178">
        <f ca="1">IF(Configurações!$G$25="Ambos",
  IF(Configurações!$G$24="Ligado",
   SUM('Qtd Pessoas'!C19:E19),
   SUM('Qtd Pessoas'!D19:E19)
  )  +H19,
   IF(Configurações!$G$25="Hospedes",
    IF(Configurações!$G$24="Ligado",
     SUM('Qtd Pessoas'!C19:E19),
     SUM('Qtd Pessoas'!D19:E19)),
     H19
  )
 )</f>
        <v>26</v>
      </c>
      <c r="G19" s="98">
        <f ca="1">WEEKDAY(DATE(Configurações!$C$7,Configurações!$C$6,B19))</f>
        <v>2</v>
      </c>
      <c r="H19" s="98">
        <f ca="1">IF(B19&gt;Configurações!$C$14,0,Funcionarios!M15)</f>
        <v>26</v>
      </c>
      <c r="I19" s="98">
        <f ca="1">COUNTIF($G$6:G19,"=1")</f>
        <v>2</v>
      </c>
      <c r="J19" s="195"/>
      <c r="M19" s="305"/>
      <c r="N19" s="305"/>
      <c r="O19" s="305"/>
      <c r="P19" s="305"/>
      <c r="Q19" s="305"/>
      <c r="R19" s="305"/>
      <c r="S19" s="249"/>
      <c r="T19" s="249"/>
      <c r="U19" s="249"/>
      <c r="V19" s="249"/>
      <c r="W19" s="249"/>
      <c r="X19" s="249"/>
      <c r="Y19" s="249"/>
      <c r="Z19" s="249"/>
      <c r="AA19" s="249"/>
      <c r="AB19" s="249"/>
      <c r="AC19" s="249"/>
      <c r="AD19" s="249"/>
      <c r="AE19" s="249"/>
      <c r="AF19" s="249"/>
      <c r="AG19" s="249"/>
      <c r="AH19" s="249"/>
    </row>
    <row r="20" spans="1:34" ht="15.75" thickBot="1">
      <c r="A20" s="98">
        <f t="shared" si="0"/>
        <v>0</v>
      </c>
      <c r="B20" s="176">
        <v>15</v>
      </c>
      <c r="C20" s="177"/>
      <c r="D20" s="177"/>
      <c r="E20" s="177"/>
      <c r="F20" s="178">
        <f ca="1">IF(Configurações!$G$25="Ambos",
  IF(Configurações!$G$24="Ligado",
   SUM('Qtd Pessoas'!C20:E20),
   SUM('Qtd Pessoas'!D20:E20)
  )  +H20,
   IF(Configurações!$G$25="Hospedes",
    IF(Configurações!$G$24="Ligado",
     SUM('Qtd Pessoas'!C20:E20),
     SUM('Qtd Pessoas'!D20:E20)),
     H20
  )
 )</f>
        <v>22</v>
      </c>
      <c r="G20" s="98">
        <f ca="1">WEEKDAY(DATE(Configurações!$C$7,Configurações!$C$6,B20))</f>
        <v>3</v>
      </c>
      <c r="H20" s="98">
        <f ca="1">IF(B20&gt;Configurações!$C$14,0,Funcionarios!M16)</f>
        <v>22</v>
      </c>
      <c r="I20" s="98">
        <f ca="1">COUNTIF($G$6:G20,"=1")</f>
        <v>2</v>
      </c>
      <c r="J20" s="195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</row>
    <row r="21" spans="1:34" ht="15.75" thickBot="1">
      <c r="A21" s="98">
        <f t="shared" si="0"/>
        <v>0</v>
      </c>
      <c r="B21" s="179">
        <v>16</v>
      </c>
      <c r="C21" s="180"/>
      <c r="D21" s="180"/>
      <c r="E21" s="180"/>
      <c r="F21" s="178">
        <f ca="1">IF(Configurações!$G$25="Ambos",
  IF(Configurações!$G$24="Ligado",
   SUM('Qtd Pessoas'!C21:E21),
   SUM('Qtd Pessoas'!D21:E21)
  )  +H21,
   IF(Configurações!$G$25="Hospedes",
    IF(Configurações!$G$24="Ligado",
     SUM('Qtd Pessoas'!C21:E21),
     SUM('Qtd Pessoas'!D21:E21)),
     H21
  )
 )</f>
        <v>25</v>
      </c>
      <c r="G21" s="98">
        <f ca="1">WEEKDAY(DATE(Configurações!$C$7,Configurações!$C$6,B21))</f>
        <v>4</v>
      </c>
      <c r="H21" s="98">
        <f ca="1">IF(B21&gt;Configurações!$C$14,0,Funcionarios!M17)</f>
        <v>25</v>
      </c>
      <c r="I21" s="98">
        <f ca="1">COUNTIF($G$6:G21,"=1")</f>
        <v>2</v>
      </c>
      <c r="J21" s="195"/>
      <c r="M21" s="249"/>
      <c r="N21" s="249"/>
      <c r="O21" s="249"/>
      <c r="P21" s="249"/>
      <c r="Q21" s="249"/>
      <c r="R21" s="249"/>
      <c r="S21" s="249"/>
      <c r="T21" s="249"/>
      <c r="U21" s="249"/>
      <c r="V21" s="249"/>
      <c r="W21" s="249"/>
      <c r="X21" s="249"/>
      <c r="Y21" s="249"/>
      <c r="Z21" s="249"/>
      <c r="AA21" s="249"/>
      <c r="AB21" s="249"/>
      <c r="AC21" s="249"/>
      <c r="AD21" s="249"/>
      <c r="AE21" s="249"/>
      <c r="AF21" s="249"/>
      <c r="AG21" s="249"/>
      <c r="AH21" s="249"/>
    </row>
    <row r="22" spans="1:34" ht="15.75" thickBot="1">
      <c r="A22" s="98">
        <f t="shared" si="0"/>
        <v>0</v>
      </c>
      <c r="B22" s="176">
        <v>17</v>
      </c>
      <c r="C22" s="177"/>
      <c r="D22" s="177"/>
      <c r="E22" s="177"/>
      <c r="F22" s="178">
        <f ca="1">IF(Configurações!$G$25="Ambos",
  IF(Configurações!$G$24="Ligado",
   SUM('Qtd Pessoas'!C22:E22),
   SUM('Qtd Pessoas'!D22:E22)
  )  +H22,
   IF(Configurações!$G$25="Hospedes",
    IF(Configurações!$G$24="Ligado",
     SUM('Qtd Pessoas'!C22:E22),
     SUM('Qtd Pessoas'!D22:E22)),
     H22
  )
 )</f>
        <v>25</v>
      </c>
      <c r="G22" s="98">
        <f ca="1">WEEKDAY(DATE(Configurações!$C$7,Configurações!$C$6,B22))</f>
        <v>5</v>
      </c>
      <c r="H22" s="98">
        <f ca="1">IF(B22&gt;Configurações!$C$14,0,Funcionarios!M18)</f>
        <v>25</v>
      </c>
      <c r="I22" s="98">
        <f ca="1">COUNTIF($G$6:G22,"=1")</f>
        <v>2</v>
      </c>
      <c r="J22" s="195"/>
      <c r="M22" s="249"/>
      <c r="N22" s="249"/>
      <c r="O22" s="249"/>
      <c r="P22" s="249"/>
      <c r="Q22" s="249"/>
      <c r="R22" s="249"/>
      <c r="S22" s="249"/>
      <c r="T22" s="249"/>
      <c r="U22" s="249"/>
      <c r="V22" s="249"/>
      <c r="W22" s="249"/>
      <c r="X22" s="249"/>
      <c r="Y22" s="249"/>
      <c r="Z22" s="249"/>
      <c r="AA22" s="249"/>
      <c r="AB22" s="249"/>
      <c r="AC22" s="249"/>
      <c r="AD22" s="249"/>
      <c r="AE22" s="249"/>
      <c r="AF22" s="249"/>
      <c r="AG22" s="249"/>
      <c r="AH22" s="249"/>
    </row>
    <row r="23" spans="1:34" ht="15.75" thickBot="1">
      <c r="A23" s="98">
        <f t="shared" si="0"/>
        <v>0</v>
      </c>
      <c r="B23" s="179">
        <v>18</v>
      </c>
      <c r="C23" s="180"/>
      <c r="D23" s="180"/>
      <c r="E23" s="180"/>
      <c r="F23" s="178">
        <f ca="1">IF(Configurações!$G$25="Ambos",
  IF(Configurações!$G$24="Ligado",
   SUM('Qtd Pessoas'!C23:E23),
   SUM('Qtd Pessoas'!D23:E23)
  )  +H23,
   IF(Configurações!$G$25="Hospedes",
    IF(Configurações!$G$24="Ligado",
     SUM('Qtd Pessoas'!C23:E23),
     SUM('Qtd Pessoas'!D23:E23)),
     H23
  )
 )</f>
        <v>28</v>
      </c>
      <c r="G23" s="98">
        <f ca="1">WEEKDAY(DATE(Configurações!$C$7,Configurações!$C$6,B23))</f>
        <v>6</v>
      </c>
      <c r="H23" s="98">
        <f ca="1">IF(B23&gt;Configurações!$C$14,0,Funcionarios!M19)</f>
        <v>28</v>
      </c>
      <c r="I23" s="98">
        <f ca="1">COUNTIF($G$6:G23,"=1")</f>
        <v>2</v>
      </c>
      <c r="J23" s="195"/>
      <c r="M23" s="249"/>
      <c r="N23" s="249"/>
      <c r="O23" s="249"/>
      <c r="P23" s="249"/>
      <c r="Q23" s="249"/>
      <c r="R23" s="249"/>
      <c r="S23" s="249"/>
      <c r="T23" s="249"/>
      <c r="U23" s="249"/>
      <c r="V23" s="249"/>
      <c r="W23" s="249"/>
      <c r="X23" s="249"/>
      <c r="Y23" s="249"/>
      <c r="Z23" s="249"/>
      <c r="AA23" s="249"/>
      <c r="AB23" s="249"/>
      <c r="AC23" s="249"/>
      <c r="AD23" s="249"/>
      <c r="AE23" s="249"/>
      <c r="AF23" s="249"/>
      <c r="AG23" s="249"/>
      <c r="AH23" s="249"/>
    </row>
    <row r="24" spans="1:34" ht="15.75" thickBot="1">
      <c r="A24" s="98">
        <f t="shared" si="0"/>
        <v>0</v>
      </c>
      <c r="B24" s="176">
        <v>19</v>
      </c>
      <c r="C24" s="177"/>
      <c r="D24" s="177"/>
      <c r="E24" s="177"/>
      <c r="F24" s="178">
        <f ca="1">IF(Configurações!$G$25="Ambos",
  IF(Configurações!$G$24="Ligado",
   SUM('Qtd Pessoas'!C24:E24),
   SUM('Qtd Pessoas'!D24:E24)
  )  +H24,
   IF(Configurações!$G$25="Hospedes",
    IF(Configurações!$G$24="Ligado",
     SUM('Qtd Pessoas'!C24:E24),
     SUM('Qtd Pessoas'!D24:E24)),
     H24
  )
 )</f>
        <v>28</v>
      </c>
      <c r="G24" s="98">
        <f ca="1">WEEKDAY(DATE(Configurações!$C$7,Configurações!$C$6,B24))</f>
        <v>7</v>
      </c>
      <c r="H24" s="98">
        <f ca="1">IF(B24&gt;Configurações!$C$14,0,Funcionarios!M20)</f>
        <v>28</v>
      </c>
      <c r="I24" s="98">
        <f ca="1">COUNTIF($G$6:G24,"=1")</f>
        <v>2</v>
      </c>
      <c r="J24" s="195"/>
      <c r="M24" s="249"/>
      <c r="N24" s="249"/>
      <c r="O24" s="249"/>
      <c r="P24" s="249"/>
      <c r="Q24" s="249"/>
      <c r="R24" s="249"/>
      <c r="S24" s="249"/>
      <c r="T24" s="249"/>
      <c r="U24" s="249"/>
      <c r="V24" s="249"/>
      <c r="W24" s="249"/>
      <c r="X24" s="249"/>
      <c r="Y24" s="249"/>
      <c r="Z24" s="249"/>
      <c r="AA24" s="249"/>
      <c r="AB24" s="249"/>
      <c r="AC24" s="249"/>
      <c r="AD24" s="249"/>
      <c r="AE24" s="249"/>
      <c r="AF24" s="249"/>
      <c r="AG24" s="249"/>
      <c r="AH24" s="249"/>
    </row>
    <row r="25" spans="1:34" ht="15.75" thickBot="1">
      <c r="A25" s="98">
        <f t="shared" si="0"/>
        <v>0</v>
      </c>
      <c r="B25" s="179">
        <v>20</v>
      </c>
      <c r="C25" s="180"/>
      <c r="D25" s="180"/>
      <c r="E25" s="180"/>
      <c r="F25" s="178">
        <f ca="1">IF(Configurações!$G$25="Ambos",
  IF(Configurações!$G$24="Ligado",
   SUM('Qtd Pessoas'!C25:E25),
   SUM('Qtd Pessoas'!D25:E25)
  )  +H25,
   IF(Configurações!$G$25="Hospedes",
    IF(Configurações!$G$24="Ligado",
     SUM('Qtd Pessoas'!C25:E25),
     SUM('Qtd Pessoas'!D25:E25)),
     H25
  )
 )</f>
        <v>26</v>
      </c>
      <c r="G25" s="98">
        <f ca="1">WEEKDAY(DATE(Configurações!$C$7,Configurações!$C$6,B25))</f>
        <v>1</v>
      </c>
      <c r="H25" s="98">
        <f ca="1">IF(B25&gt;Configurações!$C$14,0,Funcionarios!M21)</f>
        <v>26</v>
      </c>
      <c r="I25" s="98">
        <f ca="1">COUNTIF($G$6:G25,"=1")</f>
        <v>3</v>
      </c>
      <c r="J25" s="195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49"/>
      <c r="AE25" s="249"/>
      <c r="AF25" s="249"/>
      <c r="AG25" s="249"/>
      <c r="AH25" s="249"/>
    </row>
    <row r="26" spans="1:34" ht="15.75" thickBot="1">
      <c r="A26" s="98">
        <f t="shared" si="0"/>
        <v>0</v>
      </c>
      <c r="B26" s="176">
        <v>21</v>
      </c>
      <c r="C26" s="177"/>
      <c r="D26" s="177"/>
      <c r="E26" s="177"/>
      <c r="F26" s="178">
        <f ca="1">IF(Configurações!$G$25="Ambos",
  IF(Configurações!$G$24="Ligado",
   SUM('Qtd Pessoas'!C26:E26),
   SUM('Qtd Pessoas'!D26:E26)
  )  +H26,
   IF(Configurações!$G$25="Hospedes",
    IF(Configurações!$G$24="Ligado",
     SUM('Qtd Pessoas'!C26:E26),
     SUM('Qtd Pessoas'!D26:E26)),
     H26
  )
 )</f>
        <v>26</v>
      </c>
      <c r="G26" s="98">
        <f ca="1">WEEKDAY(DATE(Configurações!$C$7,Configurações!$C$6,B26))</f>
        <v>2</v>
      </c>
      <c r="H26" s="98">
        <f ca="1">IF(B26&gt;Configurações!$C$14,0,Funcionarios!M22)</f>
        <v>26</v>
      </c>
      <c r="I26" s="98">
        <f ca="1">COUNTIF($G$6:G26,"=1")</f>
        <v>3</v>
      </c>
      <c r="J26" s="195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9"/>
      <c r="AA26" s="249"/>
      <c r="AB26" s="249"/>
      <c r="AC26" s="249"/>
      <c r="AD26" s="249"/>
      <c r="AE26" s="249"/>
      <c r="AF26" s="249"/>
      <c r="AG26" s="249"/>
      <c r="AH26" s="249"/>
    </row>
    <row r="27" spans="1:34" ht="15.75" thickBot="1">
      <c r="A27" s="98">
        <f t="shared" si="0"/>
        <v>0</v>
      </c>
      <c r="B27" s="179">
        <v>22</v>
      </c>
      <c r="C27" s="180"/>
      <c r="D27" s="180"/>
      <c r="E27" s="180"/>
      <c r="F27" s="178">
        <f ca="1">IF(Configurações!$G$25="Ambos",
  IF(Configurações!$G$24="Ligado",
   SUM('Qtd Pessoas'!C27:E27),
   SUM('Qtd Pessoas'!D27:E27)
  )  +H27,
   IF(Configurações!$G$25="Hospedes",
    IF(Configurações!$G$24="Ligado",
     SUM('Qtd Pessoas'!C27:E27),
     SUM('Qtd Pessoas'!D27:E27)),
     H27
  )
 )</f>
        <v>22</v>
      </c>
      <c r="G27" s="98">
        <f ca="1">WEEKDAY(DATE(Configurações!$C$7,Configurações!$C$6,B27))</f>
        <v>3</v>
      </c>
      <c r="H27" s="98">
        <f ca="1">IF(B27&gt;Configurações!$C$14,0,Funcionarios!M23)</f>
        <v>22</v>
      </c>
      <c r="I27" s="98">
        <f ca="1">COUNTIF($G$6:G27,"=1")</f>
        <v>3</v>
      </c>
      <c r="J27" s="195"/>
      <c r="M27" s="249"/>
      <c r="N27" s="249"/>
      <c r="O27" s="249"/>
      <c r="P27" s="249"/>
      <c r="Q27" s="249"/>
      <c r="R27" s="249"/>
      <c r="S27" s="249"/>
      <c r="T27" s="249"/>
      <c r="U27" s="249"/>
      <c r="V27" s="249"/>
      <c r="W27" s="249"/>
      <c r="X27" s="249"/>
      <c r="Y27" s="249"/>
      <c r="Z27" s="249"/>
      <c r="AA27" s="249"/>
      <c r="AB27" s="249"/>
      <c r="AC27" s="249"/>
      <c r="AD27" s="249"/>
      <c r="AE27" s="249"/>
      <c r="AF27" s="249"/>
      <c r="AG27" s="249"/>
      <c r="AH27" s="249"/>
    </row>
    <row r="28" spans="1:34" ht="15.75" thickBot="1">
      <c r="A28" s="98">
        <f t="shared" si="0"/>
        <v>0</v>
      </c>
      <c r="B28" s="176">
        <v>23</v>
      </c>
      <c r="C28" s="177"/>
      <c r="D28" s="177"/>
      <c r="E28" s="177"/>
      <c r="F28" s="178">
        <f ca="1">IF(Configurações!$G$25="Ambos",
  IF(Configurações!$G$24="Ligado",
   SUM('Qtd Pessoas'!C28:E28),
   SUM('Qtd Pessoas'!D28:E28)
  )  +H28,
   IF(Configurações!$G$25="Hospedes",
    IF(Configurações!$G$24="Ligado",
     SUM('Qtd Pessoas'!C28:E28),
     SUM('Qtd Pessoas'!D28:E28)),
     H28
  )
 )</f>
        <v>25</v>
      </c>
      <c r="G28" s="98">
        <f ca="1">WEEKDAY(DATE(Configurações!$C$7,Configurações!$C$6,B28))</f>
        <v>4</v>
      </c>
      <c r="H28" s="98">
        <f ca="1">IF(B28&gt;Configurações!$C$14,0,Funcionarios!M24)</f>
        <v>25</v>
      </c>
      <c r="I28" s="98">
        <f ca="1">COUNTIF($G$6:G28,"=1")</f>
        <v>3</v>
      </c>
      <c r="J28" s="195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49"/>
      <c r="AC28" s="249"/>
      <c r="AD28" s="249"/>
      <c r="AE28" s="249"/>
      <c r="AF28" s="249"/>
      <c r="AG28" s="249"/>
      <c r="AH28" s="249"/>
    </row>
    <row r="29" spans="1:34" ht="15.75" thickBot="1">
      <c r="A29" s="98">
        <f t="shared" si="0"/>
        <v>0</v>
      </c>
      <c r="B29" s="179">
        <v>24</v>
      </c>
      <c r="C29" s="180"/>
      <c r="D29" s="180"/>
      <c r="E29" s="180"/>
      <c r="F29" s="178">
        <f ca="1">IF(Configurações!$G$25="Ambos",
  IF(Configurações!$G$24="Ligado",
   SUM('Qtd Pessoas'!C29:E29),
   SUM('Qtd Pessoas'!D29:E29)
  )  +H29,
   IF(Configurações!$G$25="Hospedes",
    IF(Configurações!$G$24="Ligado",
     SUM('Qtd Pessoas'!C29:E29),
     SUM('Qtd Pessoas'!D29:E29)),
     H29
  )
 )</f>
        <v>25</v>
      </c>
      <c r="G29" s="98">
        <f ca="1">WEEKDAY(DATE(Configurações!$C$7,Configurações!$C$6,B29))</f>
        <v>5</v>
      </c>
      <c r="H29" s="98">
        <f ca="1">IF(B29&gt;Configurações!$C$14,0,Funcionarios!M25)</f>
        <v>25</v>
      </c>
      <c r="I29" s="98">
        <f ca="1">COUNTIF($G$6:G29,"=1")</f>
        <v>3</v>
      </c>
      <c r="J29" s="195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49"/>
      <c r="AC29" s="249"/>
      <c r="AD29" s="249"/>
      <c r="AE29" s="249"/>
      <c r="AF29" s="249"/>
      <c r="AG29" s="249"/>
      <c r="AH29" s="249"/>
    </row>
    <row r="30" spans="1:34" ht="15.75" thickBot="1">
      <c r="A30" s="98">
        <f t="shared" si="0"/>
        <v>0</v>
      </c>
      <c r="B30" s="176">
        <v>25</v>
      </c>
      <c r="C30" s="177"/>
      <c r="D30" s="177"/>
      <c r="E30" s="177"/>
      <c r="F30" s="178">
        <f ca="1">IF(Configurações!$G$25="Ambos",
  IF(Configurações!$G$24="Ligado",
   SUM('Qtd Pessoas'!C30:E30),
   SUM('Qtd Pessoas'!D30:E30)
  )  +H30,
   IF(Configurações!$G$25="Hospedes",
    IF(Configurações!$G$24="Ligado",
     SUM('Qtd Pessoas'!C30:E30),
     SUM('Qtd Pessoas'!D30:E30)),
     H30
  )
 )</f>
        <v>28</v>
      </c>
      <c r="G30" s="98">
        <f ca="1">WEEKDAY(DATE(Configurações!$C$7,Configurações!$C$6,B30))</f>
        <v>6</v>
      </c>
      <c r="H30" s="98">
        <f ca="1">IF(B30&gt;Configurações!$C$14,0,Funcionarios!M26)</f>
        <v>28</v>
      </c>
      <c r="I30" s="98">
        <f ca="1">COUNTIF($G$6:G30,"=1")</f>
        <v>3</v>
      </c>
      <c r="J30" s="195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</row>
    <row r="31" spans="1:34" ht="15.75" thickBot="1">
      <c r="A31" s="98">
        <f t="shared" si="0"/>
        <v>0</v>
      </c>
      <c r="B31" s="179">
        <v>26</v>
      </c>
      <c r="C31" s="180"/>
      <c r="D31" s="180"/>
      <c r="E31" s="180"/>
      <c r="F31" s="178">
        <f ca="1">IF(Configurações!$G$25="Ambos",
  IF(Configurações!$G$24="Ligado",
   SUM('Qtd Pessoas'!C31:E31),
   SUM('Qtd Pessoas'!D31:E31)
  )  +H31,
   IF(Configurações!$G$25="Hospedes",
    IF(Configurações!$G$24="Ligado",
     SUM('Qtd Pessoas'!C31:E31),
     SUM('Qtd Pessoas'!D31:E31)),
     H31
  )
 )</f>
        <v>28</v>
      </c>
      <c r="G31" s="98">
        <f ca="1">WEEKDAY(DATE(Configurações!$C$7,Configurações!$C$6,B31))</f>
        <v>7</v>
      </c>
      <c r="H31" s="98">
        <f ca="1">IF(B31&gt;Configurações!$C$14,0,Funcionarios!M27)</f>
        <v>28</v>
      </c>
      <c r="I31" s="98">
        <f ca="1">COUNTIF($G$6:G31,"=1")</f>
        <v>3</v>
      </c>
      <c r="J31" s="195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49"/>
      <c r="AC31" s="249"/>
      <c r="AD31" s="249"/>
      <c r="AE31" s="249"/>
      <c r="AF31" s="249"/>
      <c r="AG31" s="249"/>
      <c r="AH31" s="249"/>
    </row>
    <row r="32" spans="1:34" ht="15.75" thickBot="1">
      <c r="A32" s="98">
        <f t="shared" si="0"/>
        <v>0</v>
      </c>
      <c r="B32" s="176">
        <v>27</v>
      </c>
      <c r="C32" s="177"/>
      <c r="D32" s="177"/>
      <c r="E32" s="177"/>
      <c r="F32" s="178">
        <f ca="1">IF(Configurações!$G$25="Ambos",
  IF(Configurações!$G$24="Ligado",
   SUM('Qtd Pessoas'!C32:E32),
   SUM('Qtd Pessoas'!D32:E32)
  )  +H32,
   IF(Configurações!$G$25="Hospedes",
    IF(Configurações!$G$24="Ligado",
     SUM('Qtd Pessoas'!C32:E32),
     SUM('Qtd Pessoas'!D32:E32)),
     H32
  )
 )</f>
        <v>23</v>
      </c>
      <c r="G32" s="98">
        <f ca="1">WEEKDAY(DATE(Configurações!$C$7,Configurações!$C$6,B32))</f>
        <v>1</v>
      </c>
      <c r="H32" s="98">
        <f ca="1">IF(B32&gt;Configurações!$C$14,0,Funcionarios!M28)</f>
        <v>23</v>
      </c>
      <c r="I32" s="98">
        <f ca="1">COUNTIF($G$6:G32,"=1")</f>
        <v>4</v>
      </c>
      <c r="J32" s="195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49"/>
      <c r="AC32" s="249"/>
      <c r="AD32" s="249"/>
      <c r="AE32" s="249"/>
      <c r="AF32" s="249"/>
      <c r="AG32" s="249"/>
      <c r="AH32" s="249"/>
    </row>
    <row r="33" spans="1:34" ht="15.75" thickBot="1">
      <c r="A33" s="98">
        <f t="shared" si="0"/>
        <v>0</v>
      </c>
      <c r="B33" s="179">
        <v>28</v>
      </c>
      <c r="C33" s="180"/>
      <c r="D33" s="180"/>
      <c r="E33" s="180"/>
      <c r="F33" s="178">
        <f ca="1">IF(Configurações!$G$25="Ambos",
  IF(Configurações!$G$24="Ligado",
   SUM('Qtd Pessoas'!C33:E33),
   SUM('Qtd Pessoas'!D33:E33)
  )  +H33,
   IF(Configurações!$G$25="Hospedes",
    IF(Configurações!$G$24="Ligado",
     SUM('Qtd Pessoas'!C33:E33),
     SUM('Qtd Pessoas'!D33:E33)),
     H33
  )
 )</f>
        <v>26</v>
      </c>
      <c r="G33" s="98">
        <f ca="1">WEEKDAY(DATE(Configurações!$C$7,Configurações!$C$6,B33))</f>
        <v>2</v>
      </c>
      <c r="H33" s="98">
        <f ca="1">IF(B33&gt;Configurações!$C$14,0,Funcionarios!M29)</f>
        <v>26</v>
      </c>
      <c r="I33" s="98">
        <f ca="1">COUNTIF($G$6:G33,"=1")</f>
        <v>4</v>
      </c>
      <c r="J33" s="195"/>
      <c r="M33" s="249"/>
      <c r="N33" s="249"/>
      <c r="O33" s="249"/>
      <c r="P33" s="249"/>
      <c r="Q33" s="249"/>
      <c r="R33" s="249"/>
      <c r="S33" s="249"/>
      <c r="T33" s="249"/>
      <c r="U33" s="249"/>
      <c r="V33" s="249"/>
      <c r="W33" s="249"/>
      <c r="X33" s="249"/>
      <c r="Y33" s="249"/>
      <c r="Z33" s="249"/>
      <c r="AA33" s="249"/>
      <c r="AB33" s="249"/>
      <c r="AC33" s="249"/>
      <c r="AD33" s="249"/>
      <c r="AE33" s="249"/>
      <c r="AF33" s="249"/>
      <c r="AG33" s="249"/>
      <c r="AH33" s="249"/>
    </row>
    <row r="34" spans="1:34" ht="15.75" thickBot="1">
      <c r="A34" s="98">
        <f t="shared" si="0"/>
        <v>0</v>
      </c>
      <c r="B34" s="176">
        <v>29</v>
      </c>
      <c r="C34" s="177"/>
      <c r="D34" s="177"/>
      <c r="E34" s="177"/>
      <c r="F34" s="178">
        <f ca="1">IF(Configurações!$G$25="Ambos",
  IF(Configurações!$G$24="Ligado",
   SUM('Qtd Pessoas'!C34:E34),
   SUM('Qtd Pessoas'!D34:E34)
  )  +H34,
   IF(Configurações!$G$25="Hospedes",
    IF(Configurações!$G$24="Ligado",
     SUM('Qtd Pessoas'!C34:E34),
     SUM('Qtd Pessoas'!D34:E34)),
     H34
  )
 )</f>
        <v>22</v>
      </c>
      <c r="G34" s="98">
        <f ca="1">WEEKDAY(DATE(Configurações!$C$7,Configurações!$C$6,B34))</f>
        <v>3</v>
      </c>
      <c r="H34" s="98">
        <f ca="1">IF(B34&gt;Configurações!$C$14,0,Funcionarios!M30)</f>
        <v>22</v>
      </c>
      <c r="I34" s="98">
        <f ca="1">COUNTIF($G$6:G34,"=1")</f>
        <v>4</v>
      </c>
      <c r="J34" s="195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49"/>
      <c r="AE34" s="249"/>
      <c r="AF34" s="249"/>
      <c r="AG34" s="249"/>
      <c r="AH34" s="249"/>
    </row>
    <row r="35" spans="1:34" ht="15.75" thickBot="1">
      <c r="A35" s="98">
        <f t="shared" si="0"/>
        <v>0</v>
      </c>
      <c r="B35" s="179">
        <v>30</v>
      </c>
      <c r="C35" s="180"/>
      <c r="D35" s="180"/>
      <c r="E35" s="180"/>
      <c r="F35" s="178">
        <f ca="1">IF(Configurações!$G$25="Ambos",
  IF(Configurações!$G$24="Ligado",
   SUM('Qtd Pessoas'!C35:E35),
   SUM('Qtd Pessoas'!D35:E35)
  )  +H35,
   IF(Configurações!$G$25="Hospedes",
    IF(Configurações!$G$24="Ligado",
     SUM('Qtd Pessoas'!C35:E35),
     SUM('Qtd Pessoas'!D35:E35)),
     H35
  )
 )</f>
        <v>25</v>
      </c>
      <c r="G35" s="98">
        <f ca="1">WEEKDAY(DATE(Configurações!$C$7,Configurações!$C$6,B35))</f>
        <v>4</v>
      </c>
      <c r="H35" s="98">
        <f ca="1">IF(B35&gt;Configurações!$C$14,0,Funcionarios!M31)</f>
        <v>25</v>
      </c>
      <c r="I35" s="98">
        <f ca="1">COUNTIF($G$6:G35,"=1")</f>
        <v>4</v>
      </c>
      <c r="J35" s="195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49"/>
      <c r="AE35" s="249"/>
      <c r="AF35" s="249"/>
      <c r="AG35" s="249"/>
      <c r="AH35" s="249"/>
    </row>
    <row r="36" spans="1:34" ht="15.75" thickBot="1">
      <c r="A36" s="98">
        <f t="shared" si="0"/>
        <v>0</v>
      </c>
      <c r="B36" s="183">
        <v>31</v>
      </c>
      <c r="C36" s="184"/>
      <c r="D36" s="184"/>
      <c r="E36" s="184"/>
      <c r="F36" s="178">
        <f ca="1">IF(Configurações!$G$25="Ambos",
  IF(Configurações!$G$24="Ligado",
   SUM('Qtd Pessoas'!C36:E36),
   SUM('Qtd Pessoas'!D36:E36)
  )  +H36,
   IF(Configurações!$G$25="Hospedes",
    IF(Configurações!$G$24="Ligado",
     SUM('Qtd Pessoas'!C36:E36),
     SUM('Qtd Pessoas'!D36:E36)),
     H36
  )
 )</f>
        <v>25</v>
      </c>
      <c r="G36" s="98">
        <f ca="1">WEEKDAY(DATE(Configurações!$C$7,Configurações!$C$6,B36))</f>
        <v>5</v>
      </c>
      <c r="H36" s="98">
        <f ca="1">IF(B36&gt;Configurações!$C$14,0,Funcionarios!M32)</f>
        <v>25</v>
      </c>
      <c r="I36" s="98">
        <f ca="1">COUNTIF($G$6:G36,"=1")</f>
        <v>4</v>
      </c>
      <c r="J36" s="195" t="s">
        <v>209</v>
      </c>
      <c r="M36" s="249"/>
      <c r="N36" s="249"/>
      <c r="O36" s="249"/>
      <c r="P36" s="249"/>
      <c r="Q36" s="249"/>
      <c r="R36" s="249"/>
      <c r="S36" s="249"/>
      <c r="T36" s="249"/>
      <c r="U36" s="249"/>
      <c r="V36" s="249"/>
      <c r="W36" s="249"/>
      <c r="X36" s="249"/>
      <c r="Y36" s="249"/>
      <c r="Z36" s="249"/>
      <c r="AA36" s="249"/>
      <c r="AB36" s="249"/>
      <c r="AC36" s="249"/>
      <c r="AD36" s="249"/>
      <c r="AE36" s="249"/>
      <c r="AF36" s="249"/>
      <c r="AG36" s="249"/>
      <c r="AH36" s="249"/>
    </row>
    <row r="37" spans="1:34" ht="15.75" thickBot="1">
      <c r="A37" s="98">
        <f>SUM(A6:A36)</f>
        <v>0</v>
      </c>
      <c r="B37" s="185" t="s">
        <v>166</v>
      </c>
      <c r="C37" s="186">
        <f>SUM(C6:C36)</f>
        <v>0</v>
      </c>
      <c r="D37" s="187">
        <f>SUM(D6:D36)</f>
        <v>0</v>
      </c>
      <c r="E37" s="187">
        <f>SUM(E6:E36)</f>
        <v>0</v>
      </c>
      <c r="F37" s="188">
        <f ca="1">SUMIF(B6:B36,"&lt;="&amp;Configurações!C14,'Qtd Pessoas'!F6:F36)</f>
        <v>778</v>
      </c>
      <c r="G37" s="195"/>
      <c r="H37" s="195"/>
      <c r="I37" s="195"/>
      <c r="J37" s="195"/>
      <c r="M37" s="249"/>
      <c r="N37" s="249"/>
      <c r="O37" s="249"/>
      <c r="P37" s="249"/>
      <c r="Q37" s="249"/>
      <c r="R37" s="249"/>
      <c r="S37" s="249"/>
      <c r="T37" s="249"/>
      <c r="U37" s="249"/>
      <c r="V37" s="249"/>
      <c r="W37" s="249"/>
      <c r="X37" s="249"/>
      <c r="Y37" s="249"/>
      <c r="Z37" s="249"/>
      <c r="AA37" s="249"/>
      <c r="AB37" s="249"/>
      <c r="AC37" s="249"/>
      <c r="AD37" s="249"/>
      <c r="AE37" s="249"/>
      <c r="AF37" s="249"/>
      <c r="AG37" s="249"/>
      <c r="AH37" s="249"/>
    </row>
    <row r="38" spans="1:34"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49"/>
      <c r="AE38" s="249"/>
      <c r="AF38" s="249"/>
      <c r="AG38" s="249"/>
      <c r="AH38" s="249"/>
    </row>
    <row r="39" spans="1:34">
      <c r="M39" s="249"/>
      <c r="N39" s="249"/>
      <c r="O39" s="249"/>
      <c r="P39" s="249"/>
      <c r="Q39" s="249"/>
      <c r="R39" s="249"/>
      <c r="S39" s="249"/>
      <c r="T39" s="249"/>
      <c r="U39" s="249"/>
      <c r="V39" s="249"/>
      <c r="W39" s="249"/>
      <c r="X39" s="249"/>
      <c r="Y39" s="249"/>
      <c r="Z39" s="249"/>
      <c r="AA39" s="249"/>
      <c r="AB39" s="249"/>
      <c r="AC39" s="249"/>
      <c r="AD39" s="249"/>
      <c r="AE39" s="249"/>
      <c r="AF39" s="249"/>
      <c r="AG39" s="249"/>
      <c r="AH39" s="249"/>
    </row>
    <row r="40" spans="1:34">
      <c r="M40" s="249"/>
      <c r="N40" s="249"/>
      <c r="O40" s="249"/>
      <c r="P40" s="249"/>
      <c r="Q40" s="249"/>
      <c r="R40" s="249"/>
      <c r="S40" s="249"/>
      <c r="T40" s="249"/>
      <c r="U40" s="249"/>
      <c r="V40" s="249"/>
      <c r="W40" s="249"/>
      <c r="X40" s="249"/>
      <c r="Y40" s="249"/>
      <c r="Z40" s="249"/>
      <c r="AA40" s="249"/>
      <c r="AB40" s="249"/>
      <c r="AC40" s="249"/>
      <c r="AD40" s="249"/>
      <c r="AE40" s="249"/>
      <c r="AF40" s="249"/>
      <c r="AG40" s="249"/>
      <c r="AH40" s="249"/>
    </row>
  </sheetData>
  <sheetProtection password="C6E3" sheet="1" objects="1" scenarios="1" selectLockedCells="1"/>
  <mergeCells count="1">
    <mergeCell ref="C4:E4"/>
  </mergeCells>
  <dataValidations disablePrompts="1" count="1">
    <dataValidation type="list" allowBlank="1" showInputMessage="1" showErrorMessage="1" sqref="M14:M40">
      <formula1>"Segunda,Terça,Quarta,Quinta,Sexta,Sábado"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12"/>
  <dimension ref="A1:IW347"/>
  <sheetViews>
    <sheetView showGridLines="0" zoomScaleNormal="100" workbookViewId="0">
      <pane ySplit="1" topLeftCell="A158" activePane="bottomLeft" state="frozen"/>
      <selection activeCell="N27" sqref="N27"/>
      <selection pane="bottomLeft" activeCell="G178" sqref="G178"/>
    </sheetView>
  </sheetViews>
  <sheetFormatPr defaultRowHeight="14.25"/>
  <cols>
    <col min="1" max="1" width="9.140625" style="306"/>
    <col min="2" max="2" width="3.140625" style="307" bestFit="1" customWidth="1"/>
    <col min="3" max="3" width="46" style="314" bestFit="1" customWidth="1"/>
    <col min="4" max="4" width="12.85546875" style="314" customWidth="1"/>
    <col min="5" max="5" width="10.7109375" style="314" customWidth="1"/>
    <col min="6" max="6" width="12.5703125" style="314" customWidth="1"/>
    <col min="7" max="7" width="19.85546875" style="314" bestFit="1" customWidth="1"/>
    <col min="8" max="11" width="10.7109375" style="314" hidden="1" customWidth="1"/>
    <col min="12" max="12" width="22.28515625" style="314" bestFit="1" customWidth="1"/>
    <col min="13" max="13" width="20.85546875" style="315" bestFit="1" customWidth="1"/>
    <col min="14" max="14" width="13.7109375" style="306" customWidth="1"/>
    <col min="15" max="16384" width="9.140625" style="314"/>
  </cols>
  <sheetData>
    <row r="1" spans="1:16" ht="21" thickBot="1">
      <c r="C1" s="308" t="s">
        <v>2</v>
      </c>
      <c r="D1" s="309" t="s">
        <v>119</v>
      </c>
      <c r="E1" s="310" t="s">
        <v>111</v>
      </c>
      <c r="F1" s="311"/>
      <c r="G1" s="312">
        <f ca="1">IF(Configurações!C6=0,"Planilha Vazia",EOMONTH(DATE(Configurações!$C$7,Configurações!$C$6,1),11))</f>
        <v>44530</v>
      </c>
      <c r="H1" s="313">
        <f ca="1">DATE(Configurações!$C$7,Configurações!$C$6,CHOOSE(WEEKDAY(DATE(Configurações!$C$7,Configurações!$C$6,1)),2,1,7,6,5,4,3))</f>
        <v>44172</v>
      </c>
      <c r="I1" s="313">
        <f ca="1">H1+7</f>
        <v>44179</v>
      </c>
      <c r="J1" s="313">
        <f ca="1">I1+7</f>
        <v>44186</v>
      </c>
      <c r="K1" s="313">
        <f ca="1">J1+7</f>
        <v>44193</v>
      </c>
    </row>
    <row r="2" spans="1:16" ht="18">
      <c r="C2" s="432" t="s">
        <v>0</v>
      </c>
      <c r="D2" s="433"/>
      <c r="E2" s="433"/>
      <c r="F2" s="434" t="str">
        <f ca="1">IF(Configurações!C6=0,"Planilha Vazia",CONCATENATE("Balanço: ",UPPER(TEXT(DATE(Configurações!C7,Configurações!C6,1),"MMMM"))))</f>
        <v>Balanço: DEZEMBRO</v>
      </c>
      <c r="G2" s="435"/>
      <c r="H2" s="316"/>
      <c r="I2" s="316"/>
      <c r="J2" s="316"/>
      <c r="K2" s="317"/>
      <c r="M2" s="318"/>
      <c r="N2" s="319"/>
    </row>
    <row r="3" spans="1:16" ht="18.75" thickBot="1">
      <c r="C3" s="438" t="s">
        <v>54</v>
      </c>
      <c r="D3" s="439"/>
      <c r="E3" s="439"/>
      <c r="F3" s="436"/>
      <c r="G3" s="437"/>
      <c r="H3" s="320"/>
      <c r="I3" s="320"/>
      <c r="J3" s="320"/>
      <c r="K3" s="321"/>
      <c r="L3" s="322"/>
      <c r="M3" s="323"/>
      <c r="N3" s="323"/>
      <c r="O3" s="324"/>
    </row>
    <row r="4" spans="1:16" ht="15" customHeight="1" thickBot="1">
      <c r="C4" s="440" t="str">
        <f ca="1">IF(Configurações!C6=0,"Planilha Vazia",CONCATENATE("Estoque atual até o dia: ",DAY(Configurações!C5)))</f>
        <v>Estoque atual até o dia: 24</v>
      </c>
      <c r="D4" s="440"/>
      <c r="E4" s="440"/>
      <c r="F4" s="441"/>
      <c r="G4" s="441"/>
      <c r="H4" s="325"/>
      <c r="I4" s="325"/>
      <c r="J4" s="325"/>
      <c r="K4" s="325"/>
      <c r="L4" s="322"/>
      <c r="M4" s="323"/>
      <c r="N4" s="323"/>
    </row>
    <row r="5" spans="1:16" ht="24" thickBot="1">
      <c r="A5" s="306">
        <f>COUNT(Estoque_Mantimentos[[#All],[Colunas5]])</f>
        <v>132</v>
      </c>
      <c r="C5" s="442" t="s">
        <v>55</v>
      </c>
      <c r="D5" s="443"/>
      <c r="E5" s="443"/>
      <c r="F5" s="443"/>
      <c r="G5" s="443"/>
      <c r="H5" s="443"/>
      <c r="I5" s="443"/>
      <c r="J5" s="443"/>
      <c r="K5" s="444"/>
      <c r="L5" s="322" t="str">
        <f>IF(Configurações!G4="Ligado","Consumo Per Capito","")</f>
        <v/>
      </c>
      <c r="M5" s="323"/>
      <c r="N5" s="323"/>
    </row>
    <row r="6" spans="1:16" ht="15.75">
      <c r="A6" s="306">
        <f>COUNTBLANK(Estoque_Mantimentos[[#All],[Colunas5]])</f>
        <v>0</v>
      </c>
      <c r="B6" s="326" t="s">
        <v>311</v>
      </c>
      <c r="C6" s="327" t="str">
        <f>INDEX(Cadastro_Mantimentos[[#All],[Colunas4]],MATCH(ROW()-5,Cadastro_Mantimentos[[#All],[Colunas2]],0))</f>
        <v>Abacaxi Em Calda</v>
      </c>
      <c r="D6" s="328">
        <f ca="1">G6+(ENTRADAS!AI6)-(BAIXAS!AI6)</f>
        <v>6</v>
      </c>
      <c r="E6" s="88" t="s">
        <v>330</v>
      </c>
      <c r="F6" s="329"/>
      <c r="G6" s="82">
        <v>5</v>
      </c>
      <c r="H6" s="330"/>
      <c r="I6" s="331"/>
      <c r="J6" s="331"/>
      <c r="K6" s="332"/>
      <c r="L6" s="333" t="str">
        <f>IF(Configurações!$G$4="Ligado",IF(AND(Baixas_Mantimentos[[#This Row],[Total]]=0,'Qtd Pessoas'!$K$10=0),"0",Baixas_Mantimentos[[#This Row],[Total]]/'Qtd Pessoas'!$K$10),"")</f>
        <v/>
      </c>
      <c r="M6" s="334"/>
      <c r="N6" s="334"/>
    </row>
    <row r="7" spans="1:16" ht="15.75">
      <c r="A7" s="306">
        <f>A5*100/(A5+A6)</f>
        <v>100</v>
      </c>
      <c r="B7" s="326" t="s">
        <v>311</v>
      </c>
      <c r="C7" s="327" t="str">
        <f>INDEX(Cadastro_Mantimentos[[#All],[Colunas4]],MATCH(ROW()-5,Cadastro_Mantimentos[[#All],[Colunas2]],0))</f>
        <v>Açafrão</v>
      </c>
      <c r="D7" s="328">
        <f ca="1">G7+(ENTRADAS!AI7)-(BAIXAS!AI7)</f>
        <v>2</v>
      </c>
      <c r="E7" s="79" t="s">
        <v>328</v>
      </c>
      <c r="F7" s="335"/>
      <c r="G7" s="82">
        <v>2</v>
      </c>
      <c r="H7" s="336"/>
      <c r="I7" s="337"/>
      <c r="J7" s="337"/>
      <c r="K7" s="338"/>
      <c r="L7" s="333" t="str">
        <f>IF(Configurações!$G$4="Ligado",IF(AND(Baixas_Mantimentos[[#This Row],[Total]]=0,'Qtd Pessoas'!$K$10=0),"0",Baixas_Mantimentos[[#This Row],[Total]]/'Qtd Pessoas'!$K$10),"")</f>
        <v/>
      </c>
      <c r="M7" s="334"/>
      <c r="N7" s="339"/>
      <c r="O7" s="306"/>
    </row>
    <row r="8" spans="1:16" ht="15.75">
      <c r="B8" s="326" t="s">
        <v>311</v>
      </c>
      <c r="C8" s="327" t="str">
        <f>INDEX(Cadastro_Mantimentos[[#All],[Colunas4]],MATCH(ROW()-5,Cadastro_Mantimentos[[#All],[Colunas2]],0))</f>
        <v>Achocolatado</v>
      </c>
      <c r="D8" s="328">
        <f ca="1">G8+(ENTRADAS!AI8)-(BAIXAS!AI8)</f>
        <v>10.600000000000001</v>
      </c>
      <c r="E8" s="79" t="s">
        <v>328</v>
      </c>
      <c r="F8" s="335"/>
      <c r="G8" s="82">
        <v>3</v>
      </c>
      <c r="H8" s="336"/>
      <c r="I8" s="337"/>
      <c r="J8" s="337"/>
      <c r="K8" s="338"/>
      <c r="L8" s="333" t="str">
        <f>IF(Configurações!$G$4="Ligado",IF(AND(Baixas_Mantimentos[[#This Row],[Total]]=0,'Qtd Pessoas'!$K$10=0),"0",Baixas_Mantimentos[[#This Row],[Total]]/'Qtd Pessoas'!$K$10),"")</f>
        <v/>
      </c>
      <c r="M8" s="334"/>
      <c r="N8" s="340">
        <f>SUM(A7,A141,A177,A184,A172)/5</f>
        <v>100</v>
      </c>
      <c r="O8" s="341"/>
      <c r="P8" s="342"/>
    </row>
    <row r="9" spans="1:16" ht="15.75">
      <c r="B9" s="326" t="s">
        <v>311</v>
      </c>
      <c r="C9" s="327" t="str">
        <f>INDEX(Cadastro_Mantimentos[[#All],[Colunas4]],MATCH(ROW()-5,Cadastro_Mantimentos[[#All],[Colunas2]],0))</f>
        <v>Açúcar</v>
      </c>
      <c r="D9" s="328">
        <f ca="1">G9+(ENTRADAS!AI9)-(BAIXAS!AI9)</f>
        <v>22</v>
      </c>
      <c r="E9" s="79" t="s">
        <v>328</v>
      </c>
      <c r="F9" s="335"/>
      <c r="G9" s="82">
        <v>28</v>
      </c>
      <c r="H9" s="336"/>
      <c r="I9" s="337"/>
      <c r="J9" s="337"/>
      <c r="K9" s="338"/>
      <c r="L9" s="333" t="str">
        <f>IF(Configurações!$G$4="Ligado",IF(AND(Baixas_Mantimentos[[#This Row],[Total]]=0,'Qtd Pessoas'!$K$10=0),"0",Baixas_Mantimentos[[#This Row],[Total]]/'Qtd Pessoas'!$K$10),"")</f>
        <v/>
      </c>
      <c r="M9" s="334"/>
      <c r="N9" s="340">
        <f>IF(N8&gt;=50,3,IF(N8&gt;=30,2,IF(N8&gt;0,1,0)))</f>
        <v>3</v>
      </c>
      <c r="O9" s="341"/>
      <c r="P9" s="342"/>
    </row>
    <row r="10" spans="1:16" ht="15.75">
      <c r="B10" s="326" t="s">
        <v>311</v>
      </c>
      <c r="C10" s="327" t="str">
        <f>INDEX(Cadastro_Mantimentos[[#All],[Colunas4]],MATCH(ROW()-5,Cadastro_Mantimentos[[#All],[Colunas2]],0))</f>
        <v>Acucar Sache</v>
      </c>
      <c r="D10" s="328">
        <f ca="1">G10+(ENTRADAS!AI10)-(BAIXAS!AI10)</f>
        <v>4</v>
      </c>
      <c r="E10" s="79" t="s">
        <v>331</v>
      </c>
      <c r="F10" s="335"/>
      <c r="G10" s="82">
        <v>5</v>
      </c>
      <c r="H10" s="336"/>
      <c r="I10" s="337"/>
      <c r="J10" s="337"/>
      <c r="K10" s="338"/>
      <c r="L10" s="333" t="str">
        <f>IF(Configurações!$G$4="Ligado",IF(AND(Baixas_Mantimentos[[#This Row],[Total]]=0,'Qtd Pessoas'!$K$10=0),"0",Baixas_Mantimentos[[#This Row],[Total]]/'Qtd Pessoas'!$K$10),"")</f>
        <v/>
      </c>
      <c r="M10" s="334"/>
      <c r="N10" s="340"/>
      <c r="O10" s="341"/>
      <c r="P10" s="342"/>
    </row>
    <row r="11" spans="1:16" ht="15.75">
      <c r="B11" s="326" t="s">
        <v>311</v>
      </c>
      <c r="C11" s="327" t="str">
        <f>INDEX(Cadastro_Mantimentos[[#All],[Colunas4]],MATCH(ROW()-5,Cadastro_Mantimentos[[#All],[Colunas2]],0))</f>
        <v>Adoçante</v>
      </c>
      <c r="D11" s="328">
        <f ca="1">G11+(ENTRADAS!AI11)-(BAIXAS!AI11)</f>
        <v>3</v>
      </c>
      <c r="E11" s="80" t="s">
        <v>330</v>
      </c>
      <c r="F11" s="335"/>
      <c r="G11" s="82">
        <v>3</v>
      </c>
      <c r="H11" s="336"/>
      <c r="I11" s="337"/>
      <c r="J11" s="337"/>
      <c r="K11" s="338"/>
      <c r="L11" s="333" t="str">
        <f>IF(Configurações!$G$4="Ligado",IF(AND(Baixas_Mantimentos[[#This Row],[Total]]=0,'Qtd Pessoas'!$K$10=0),"0",Baixas_Mantimentos[[#This Row],[Total]]/'Qtd Pessoas'!$K$10),"")</f>
        <v/>
      </c>
      <c r="M11" s="334"/>
      <c r="N11" s="334"/>
      <c r="O11" s="62"/>
      <c r="P11" s="62"/>
    </row>
    <row r="12" spans="1:16" ht="15.75">
      <c r="B12" s="326" t="s">
        <v>311</v>
      </c>
      <c r="C12" s="327" t="str">
        <f>INDEX(Cadastro_Mantimentos[[#All],[Colunas4]],MATCH(ROW()-5,Cadastro_Mantimentos[[#All],[Colunas2]],0))</f>
        <v>Alho</v>
      </c>
      <c r="D12" s="328">
        <f ca="1">G12+(ENTRADAS!AI12)-(BAIXAS!AI12)</f>
        <v>2</v>
      </c>
      <c r="E12" s="79" t="s">
        <v>330</v>
      </c>
      <c r="F12" s="335"/>
      <c r="G12" s="82">
        <v>5</v>
      </c>
      <c r="H12" s="336"/>
      <c r="I12" s="337"/>
      <c r="J12" s="337"/>
      <c r="K12" s="338"/>
      <c r="L12" s="333" t="str">
        <f>IF(Configurações!$G$4="Ligado",IF(AND(Baixas_Mantimentos[[#This Row],[Total]]=0,'Qtd Pessoas'!$K$10=0),"0",Baixas_Mantimentos[[#This Row],[Total]]/'Qtd Pessoas'!$K$10),"")</f>
        <v/>
      </c>
      <c r="M12" s="343"/>
      <c r="N12" s="339"/>
    </row>
    <row r="13" spans="1:16" ht="15.75">
      <c r="B13" s="326" t="s">
        <v>311</v>
      </c>
      <c r="C13" s="327" t="str">
        <f>INDEX(Cadastro_Mantimentos[[#All],[Colunas4]],MATCH(ROW()-5,Cadastro_Mantimentos[[#All],[Colunas2]],0))</f>
        <v>Amaciante</v>
      </c>
      <c r="D13" s="328">
        <f ca="1">G13+(ENTRADAS!AI13)-(BAIXAS!AI13)</f>
        <v>1</v>
      </c>
      <c r="E13" s="79" t="s">
        <v>328</v>
      </c>
      <c r="F13" s="335"/>
      <c r="G13" s="82">
        <v>2</v>
      </c>
      <c r="H13" s="336"/>
      <c r="I13" s="337"/>
      <c r="J13" s="337"/>
      <c r="K13" s="338"/>
      <c r="L13" s="333" t="str">
        <f>IF(Configurações!$G$4="Ligado",IF(AND(Baixas_Mantimentos[[#This Row],[Total]]=0,'Qtd Pessoas'!$K$10=0),"0",Baixas_Mantimentos[[#This Row],[Total]]/'Qtd Pessoas'!$K$10),"")</f>
        <v/>
      </c>
      <c r="M13" s="343"/>
      <c r="N13" s="339"/>
    </row>
    <row r="14" spans="1:16" ht="15.75">
      <c r="B14" s="326" t="s">
        <v>311</v>
      </c>
      <c r="C14" s="327" t="str">
        <f>INDEX(Cadastro_Mantimentos[[#All],[Colunas4]],MATCH(ROW()-5,Cadastro_Mantimentos[[#All],[Colunas2]],0))</f>
        <v>Ameixa</v>
      </c>
      <c r="D14" s="328">
        <f ca="1">G14+(ENTRADAS!AI14)-(BAIXAS!AI14)</f>
        <v>5.3000000000000007</v>
      </c>
      <c r="E14" s="79" t="s">
        <v>328</v>
      </c>
      <c r="F14" s="335"/>
      <c r="G14" s="82">
        <v>2</v>
      </c>
      <c r="H14" s="336"/>
      <c r="I14" s="337"/>
      <c r="J14" s="337"/>
      <c r="K14" s="338"/>
      <c r="L14" s="333" t="str">
        <f>IF(Configurações!$G$4="Ligado",IF(AND(Baixas_Mantimentos[[#This Row],[Total]]=0,'Qtd Pessoas'!$K$10=0),"0",Baixas_Mantimentos[[#This Row],[Total]]/'Qtd Pessoas'!$K$10),"")</f>
        <v/>
      </c>
      <c r="M14" s="343"/>
      <c r="N14" s="339"/>
    </row>
    <row r="15" spans="1:16" ht="15.75">
      <c r="B15" s="326" t="s">
        <v>311</v>
      </c>
      <c r="C15" s="327" t="str">
        <f>INDEX(Cadastro_Mantimentos[[#All],[Colunas4]],MATCH(ROW()-5,Cadastro_Mantimentos[[#All],[Colunas2]],0))</f>
        <v>Amendoa sem casca</v>
      </c>
      <c r="D15" s="328">
        <f ca="1">G15+(ENTRADAS!AI15)-(BAIXAS!AI15)</f>
        <v>0</v>
      </c>
      <c r="E15" s="79" t="s">
        <v>328</v>
      </c>
      <c r="F15" s="335"/>
      <c r="G15" s="82">
        <v>0</v>
      </c>
      <c r="H15" s="336"/>
      <c r="I15" s="337"/>
      <c r="J15" s="337"/>
      <c r="K15" s="338"/>
      <c r="L15" s="333" t="str">
        <f>IF(Configurações!$G$4="Ligado",IF(AND(Baixas_Mantimentos[[#This Row],[Total]]=0,'Qtd Pessoas'!$K$10=0),"0",Baixas_Mantimentos[[#This Row],[Total]]/'Qtd Pessoas'!$K$10),"")</f>
        <v/>
      </c>
      <c r="M15" s="343"/>
      <c r="N15" s="339"/>
    </row>
    <row r="16" spans="1:16" ht="15.75">
      <c r="B16" s="326" t="s">
        <v>311</v>
      </c>
      <c r="C16" s="327" t="str">
        <f>INDEX(Cadastro_Mantimentos[[#All],[Colunas4]],MATCH(ROW()-5,Cadastro_Mantimentos[[#All],[Colunas2]],0))</f>
        <v>Amendoin</v>
      </c>
      <c r="D16" s="328">
        <f ca="1">G16+(ENTRADAS!AI16)-(BAIXAS!AI16)</f>
        <v>0</v>
      </c>
      <c r="E16" s="79" t="s">
        <v>328</v>
      </c>
      <c r="F16" s="335"/>
      <c r="G16" s="82">
        <v>0</v>
      </c>
      <c r="H16" s="336"/>
      <c r="I16" s="337"/>
      <c r="J16" s="337"/>
      <c r="K16" s="338"/>
      <c r="L16" s="333" t="str">
        <f>IF(Configurações!$G$4="Ligado",IF(AND(Baixas_Mantimentos[[#This Row],[Total]]=0,'Qtd Pessoas'!$K$10=0),"0",Baixas_Mantimentos[[#This Row],[Total]]/'Qtd Pessoas'!$K$10),"")</f>
        <v/>
      </c>
      <c r="M16" s="343"/>
      <c r="N16" s="339"/>
    </row>
    <row r="17" spans="2:14" ht="15.75">
      <c r="B17" s="326" t="s">
        <v>311</v>
      </c>
      <c r="C17" s="327" t="str">
        <f>INDEX(Cadastro_Mantimentos[[#All],[Colunas4]],MATCH(ROW()-5,Cadastro_Mantimentos[[#All],[Colunas2]],0))</f>
        <v>Amido De Milho</v>
      </c>
      <c r="D17" s="328">
        <f ca="1">G17+(ENTRADAS!AI17)-(BAIXAS!AI17)</f>
        <v>0</v>
      </c>
      <c r="E17" s="79" t="s">
        <v>328</v>
      </c>
      <c r="F17" s="335"/>
      <c r="G17" s="82">
        <v>8</v>
      </c>
      <c r="H17" s="336"/>
      <c r="I17" s="337"/>
      <c r="J17" s="337"/>
      <c r="K17" s="338"/>
      <c r="L17" s="333" t="str">
        <f>IF(Configurações!$G$4="Ligado",IF(AND(Baixas_Mantimentos[[#This Row],[Total]]=0,'Qtd Pessoas'!$K$10=0),"0",Baixas_Mantimentos[[#This Row],[Total]]/'Qtd Pessoas'!$K$10),"")</f>
        <v/>
      </c>
      <c r="M17" s="343"/>
      <c r="N17" s="339"/>
    </row>
    <row r="18" spans="2:14" ht="15.75">
      <c r="B18" s="326" t="s">
        <v>311</v>
      </c>
      <c r="C18" s="327" t="str">
        <f>INDEX(Cadastro_Mantimentos[[#All],[Colunas4]],MATCH(ROW()-5,Cadastro_Mantimentos[[#All],[Colunas2]],0))</f>
        <v>Arroz</v>
      </c>
      <c r="D18" s="328">
        <f ca="1">G18+(ENTRADAS!AI18)-(BAIXAS!AI18)</f>
        <v>20</v>
      </c>
      <c r="E18" s="79" t="s">
        <v>328</v>
      </c>
      <c r="F18" s="335"/>
      <c r="G18" s="82">
        <v>60</v>
      </c>
      <c r="H18" s="336"/>
      <c r="I18" s="337"/>
      <c r="J18" s="337"/>
      <c r="K18" s="338"/>
      <c r="L18" s="333" t="str">
        <f>IF(Configurações!$G$4="Ligado",IF(AND(Baixas_Mantimentos[[#This Row],[Total]]=0,'Qtd Pessoas'!$K$10=0),"0",Baixas_Mantimentos[[#This Row],[Total]]/'Qtd Pessoas'!$K$10),"")</f>
        <v/>
      </c>
      <c r="M18" s="343"/>
      <c r="N18" s="339"/>
    </row>
    <row r="19" spans="2:14" ht="15.75">
      <c r="B19" s="326" t="s">
        <v>311</v>
      </c>
      <c r="C19" s="327" t="str">
        <f>INDEX(Cadastro_Mantimentos[[#All],[Colunas4]],MATCH(ROW()-5,Cadastro_Mantimentos[[#All],[Colunas2]],0))</f>
        <v>Atum</v>
      </c>
      <c r="D19" s="328">
        <f ca="1">G19+(ENTRADAS!AI19)-(BAIXAS!AI19)</f>
        <v>1.0999999999999999</v>
      </c>
      <c r="E19" s="79" t="s">
        <v>328</v>
      </c>
      <c r="F19" s="335"/>
      <c r="G19" s="82">
        <v>0.9</v>
      </c>
      <c r="H19" s="336"/>
      <c r="I19" s="337"/>
      <c r="J19" s="337"/>
      <c r="K19" s="338"/>
      <c r="L19" s="333" t="str">
        <f>IF(Configurações!$G$4="Ligado",IF(AND(Baixas_Mantimentos[[#This Row],[Total]]=0,'Qtd Pessoas'!$K$10=0),"0",Baixas_Mantimentos[[#This Row],[Total]]/'Qtd Pessoas'!$K$10),"")</f>
        <v/>
      </c>
      <c r="M19" s="343"/>
      <c r="N19" s="339"/>
    </row>
    <row r="20" spans="2:14" ht="15.75">
      <c r="B20" s="326" t="s">
        <v>311</v>
      </c>
      <c r="C20" s="327" t="str">
        <f>INDEX(Cadastro_Mantimentos[[#All],[Colunas4]],MATCH(ROW()-5,Cadastro_Mantimentos[[#All],[Colunas2]],0))</f>
        <v>Azeite</v>
      </c>
      <c r="D20" s="328">
        <f ca="1">G20+(ENTRADAS!AI20)-(BAIXAS!AI20)</f>
        <v>13.5</v>
      </c>
      <c r="E20" s="79" t="s">
        <v>329</v>
      </c>
      <c r="F20" s="335"/>
      <c r="G20" s="82">
        <v>15</v>
      </c>
      <c r="H20" s="336"/>
      <c r="I20" s="337"/>
      <c r="J20" s="337"/>
      <c r="K20" s="338"/>
      <c r="L20" s="333" t="str">
        <f>IF(Configurações!$G$4="Ligado",IF(AND(Baixas_Mantimentos[[#This Row],[Total]]=0,'Qtd Pessoas'!$K$10=0),"0",Baixas_Mantimentos[[#This Row],[Total]]/'Qtd Pessoas'!$K$10),"")</f>
        <v/>
      </c>
      <c r="M20" s="343"/>
      <c r="N20" s="339"/>
    </row>
    <row r="21" spans="2:14" ht="15.75">
      <c r="B21" s="326" t="s">
        <v>311</v>
      </c>
      <c r="C21" s="327" t="str">
        <f>INDEX(Cadastro_Mantimentos[[#All],[Colunas4]],MATCH(ROW()-5,Cadastro_Mantimentos[[#All],[Colunas2]],0))</f>
        <v>Azeitona Verde Fatiada</v>
      </c>
      <c r="D21" s="328">
        <f ca="1">G21+(ENTRADAS!AI21)-(BAIXAS!AI21)</f>
        <v>3</v>
      </c>
      <c r="E21" s="79" t="s">
        <v>328</v>
      </c>
      <c r="F21" s="335"/>
      <c r="G21" s="82">
        <v>1</v>
      </c>
      <c r="H21" s="336"/>
      <c r="I21" s="337"/>
      <c r="J21" s="337"/>
      <c r="K21" s="338"/>
      <c r="L21" s="333" t="str">
        <f>IF(Configurações!$G$4="Ligado",IF(AND(Baixas_Mantimentos[[#This Row],[Total]]=0,'Qtd Pessoas'!$K$10=0),"0",Baixas_Mantimentos[[#This Row],[Total]]/'Qtd Pessoas'!$K$10),"")</f>
        <v/>
      </c>
      <c r="M21" s="343"/>
      <c r="N21" s="339"/>
    </row>
    <row r="22" spans="2:14" ht="15.75">
      <c r="B22" s="326" t="s">
        <v>311</v>
      </c>
      <c r="C22" s="327" t="str">
        <f>INDEX(Cadastro_Mantimentos[[#All],[Colunas4]],MATCH(ROW()-5,Cadastro_Mantimentos[[#All],[Colunas2]],0))</f>
        <v>Batata Chips</v>
      </c>
      <c r="D22" s="328">
        <f ca="1">G22+(ENTRADAS!AI22)-(BAIXAS!AI22)</f>
        <v>18</v>
      </c>
      <c r="E22" s="79" t="s">
        <v>328</v>
      </c>
      <c r="F22" s="335"/>
      <c r="G22" s="82">
        <v>19</v>
      </c>
      <c r="H22" s="336"/>
      <c r="I22" s="337"/>
      <c r="J22" s="337"/>
      <c r="K22" s="338"/>
      <c r="L22" s="333" t="str">
        <f>IF(Configurações!$G$4="Ligado",IF(AND(Baixas_Mantimentos[[#This Row],[Total]]=0,'Qtd Pessoas'!$K$10=0),"0",Baixas_Mantimentos[[#This Row],[Total]]/'Qtd Pessoas'!$K$10),"")</f>
        <v/>
      </c>
      <c r="M22" s="343"/>
      <c r="N22" s="339"/>
    </row>
    <row r="23" spans="2:14" ht="15.75">
      <c r="B23" s="326" t="s">
        <v>311</v>
      </c>
      <c r="C23" s="327" t="str">
        <f>INDEX(Cadastro_Mantimentos[[#All],[Colunas4]],MATCH(ROW()-5,Cadastro_Mantimentos[[#All],[Colunas2]],0))</f>
        <v>Batata Palha</v>
      </c>
      <c r="D23" s="328">
        <f ca="1">G23+(ENTRADAS!AI23)-(BAIXAS!AI23)</f>
        <v>2</v>
      </c>
      <c r="E23" s="79" t="s">
        <v>328</v>
      </c>
      <c r="F23" s="335"/>
      <c r="G23" s="82">
        <v>0</v>
      </c>
      <c r="H23" s="336"/>
      <c r="I23" s="337"/>
      <c r="J23" s="337"/>
      <c r="K23" s="338"/>
      <c r="L23" s="333" t="str">
        <f>IF(Configurações!$G$4="Ligado",IF(AND(Baixas_Mantimentos[[#This Row],[Total]]=0,'Qtd Pessoas'!$K$10=0),"0",Baixas_Mantimentos[[#This Row],[Total]]/'Qtd Pessoas'!$K$10),"")</f>
        <v/>
      </c>
      <c r="M23" s="343"/>
      <c r="N23" s="339"/>
    </row>
    <row r="24" spans="2:14" ht="15.75">
      <c r="B24" s="326" t="s">
        <v>311</v>
      </c>
      <c r="C24" s="327" t="str">
        <f>INDEX(Cadastro_Mantimentos[[#All],[Colunas4]],MATCH(ROW()-5,Cadastro_Mantimentos[[#All],[Colunas2]],0))</f>
        <v>Batata Palito</v>
      </c>
      <c r="D24" s="328">
        <f ca="1">G24+(ENTRADAS!AI24)-(BAIXAS!AI24)</f>
        <v>34</v>
      </c>
      <c r="E24" s="79" t="s">
        <v>328</v>
      </c>
      <c r="F24" s="335"/>
      <c r="G24" s="82">
        <v>42</v>
      </c>
      <c r="H24" s="336"/>
      <c r="I24" s="337"/>
      <c r="J24" s="337"/>
      <c r="K24" s="338"/>
      <c r="L24" s="333" t="str">
        <f>IF(Configurações!$G$4="Ligado",IF(AND(Baixas_Mantimentos[[#This Row],[Total]]=0,'Qtd Pessoas'!$K$10=0),"0",Baixas_Mantimentos[[#This Row],[Total]]/'Qtd Pessoas'!$K$10),"")</f>
        <v/>
      </c>
      <c r="M24" s="343"/>
      <c r="N24" s="339"/>
    </row>
    <row r="25" spans="2:14" ht="15.75">
      <c r="B25" s="326" t="s">
        <v>311</v>
      </c>
      <c r="C25" s="327" t="str">
        <f>INDEX(Cadastro_Mantimentos[[#All],[Colunas4]],MATCH(ROW()-5,Cadastro_Mantimentos[[#All],[Colunas2]],0))</f>
        <v>Bolacha Champagne</v>
      </c>
      <c r="D25" s="328">
        <f ca="1">G25+(ENTRADAS!AI25)-(BAIXAS!AI25)</f>
        <v>15</v>
      </c>
      <c r="E25" s="79" t="s">
        <v>330</v>
      </c>
      <c r="F25" s="335"/>
      <c r="G25" s="82">
        <v>9</v>
      </c>
      <c r="H25" s="336"/>
      <c r="I25" s="337"/>
      <c r="J25" s="337"/>
      <c r="K25" s="338"/>
      <c r="L25" s="333" t="str">
        <f>IF(Configurações!$G$4="Ligado",IF(AND(Baixas_Mantimentos[[#This Row],[Total]]=0,'Qtd Pessoas'!$K$10=0),"0",Baixas_Mantimentos[[#This Row],[Total]]/'Qtd Pessoas'!$K$10),"")</f>
        <v/>
      </c>
      <c r="M25" s="343"/>
      <c r="N25" s="339"/>
    </row>
    <row r="26" spans="2:14" ht="15.75">
      <c r="B26" s="326" t="s">
        <v>311</v>
      </c>
      <c r="C26" s="327" t="str">
        <f>INDEX(Cadastro_Mantimentos[[#All],[Colunas4]],MATCH(ROW()-5,Cadastro_Mantimentos[[#All],[Colunas2]],0))</f>
        <v>Bolacha Salgada</v>
      </c>
      <c r="D26" s="328">
        <f ca="1">G26+(ENTRADAS!AI26)-(BAIXAS!AI26)</f>
        <v>5</v>
      </c>
      <c r="E26" s="79" t="s">
        <v>330</v>
      </c>
      <c r="F26" s="335"/>
      <c r="G26" s="82">
        <v>4</v>
      </c>
      <c r="H26" s="336"/>
      <c r="I26" s="337"/>
      <c r="J26" s="337"/>
      <c r="K26" s="338"/>
      <c r="L26" s="333" t="str">
        <f>IF(Configurações!$G$4="Ligado",IF(AND(Baixas_Mantimentos[[#This Row],[Total]]=0,'Qtd Pessoas'!$K$10=0),"0",Baixas_Mantimentos[[#This Row],[Total]]/'Qtd Pessoas'!$K$10),"")</f>
        <v/>
      </c>
      <c r="M26" s="343"/>
      <c r="N26" s="339"/>
    </row>
    <row r="27" spans="2:14" ht="15.75">
      <c r="B27" s="326" t="s">
        <v>311</v>
      </c>
      <c r="C27" s="327" t="str">
        <f>INDEX(Cadastro_Mantimentos[[#All],[Colunas4]],MATCH(ROW()-5,Cadastro_Mantimentos[[#All],[Colunas2]],0))</f>
        <v>Café</v>
      </c>
      <c r="D27" s="328">
        <f ca="1">G27+(ENTRADAS!AI27)-(BAIXAS!AI27)</f>
        <v>28</v>
      </c>
      <c r="E27" s="79" t="s">
        <v>328</v>
      </c>
      <c r="F27" s="335"/>
      <c r="G27" s="82">
        <v>12</v>
      </c>
      <c r="H27" s="336"/>
      <c r="I27" s="337"/>
      <c r="J27" s="337"/>
      <c r="K27" s="338"/>
      <c r="L27" s="333" t="str">
        <f>IF(Configurações!$G$4="Ligado",IF(AND(Baixas_Mantimentos[[#This Row],[Total]]=0,'Qtd Pessoas'!$K$10=0),"0",Baixas_Mantimentos[[#This Row],[Total]]/'Qtd Pessoas'!$K$10),"")</f>
        <v/>
      </c>
      <c r="M27" s="343"/>
      <c r="N27" s="339"/>
    </row>
    <row r="28" spans="2:14" ht="15.75">
      <c r="B28" s="326" t="s">
        <v>311</v>
      </c>
      <c r="C28" s="327" t="str">
        <f>INDEX(Cadastro_Mantimentos[[#All],[Colunas4]],MATCH(ROW()-5,Cadastro_Mantimentos[[#All],[Colunas2]],0))</f>
        <v>Caldo De Carne</v>
      </c>
      <c r="D28" s="328">
        <f ca="1">G28+(ENTRADAS!AI28)-(BAIXAS!AI28)</f>
        <v>0</v>
      </c>
      <c r="E28" s="79" t="s">
        <v>328</v>
      </c>
      <c r="F28" s="335"/>
      <c r="G28" s="82">
        <v>3</v>
      </c>
      <c r="H28" s="336"/>
      <c r="I28" s="337"/>
      <c r="J28" s="337"/>
      <c r="K28" s="338"/>
      <c r="L28" s="333" t="str">
        <f>IF(Configurações!$G$4="Ligado",IF(AND(Baixas_Mantimentos[[#This Row],[Total]]=0,'Qtd Pessoas'!$K$10=0),"0",Baixas_Mantimentos[[#This Row],[Total]]/'Qtd Pessoas'!$K$10),"")</f>
        <v/>
      </c>
      <c r="M28" s="343"/>
      <c r="N28" s="339"/>
    </row>
    <row r="29" spans="2:14" ht="15.75">
      <c r="B29" s="326" t="s">
        <v>311</v>
      </c>
      <c r="C29" s="327" t="str">
        <f>INDEX(Cadastro_Mantimentos[[#All],[Colunas4]],MATCH(ROW()-5,Cadastro_Mantimentos[[#All],[Colunas2]],0))</f>
        <v>Caldo De Legumes</v>
      </c>
      <c r="D29" s="328">
        <f ca="1">G29+(ENTRADAS!AI29)-(BAIXAS!AI29)</f>
        <v>2</v>
      </c>
      <c r="E29" s="79" t="s">
        <v>328</v>
      </c>
      <c r="F29" s="335"/>
      <c r="G29" s="82">
        <v>4</v>
      </c>
      <c r="H29" s="336"/>
      <c r="I29" s="337"/>
      <c r="J29" s="337"/>
      <c r="K29" s="338"/>
      <c r="L29" s="333" t="str">
        <f>IF(Configurações!$G$4="Ligado",IF(AND(Baixas_Mantimentos[[#This Row],[Total]]=0,'Qtd Pessoas'!$K$10=0),"0",Baixas_Mantimentos[[#This Row],[Total]]/'Qtd Pessoas'!$K$10),"")</f>
        <v/>
      </c>
      <c r="M29" s="343"/>
      <c r="N29" s="339"/>
    </row>
    <row r="30" spans="2:14" ht="15.75">
      <c r="B30" s="326" t="s">
        <v>311</v>
      </c>
      <c r="C30" s="327" t="str">
        <f>INDEX(Cadastro_Mantimentos[[#All],[Colunas4]],MATCH(ROW()-5,Cadastro_Mantimentos[[#All],[Colunas2]],0))</f>
        <v xml:space="preserve">Caldo De Peixe </v>
      </c>
      <c r="D30" s="328">
        <f ca="1">G30+(ENTRADAS!AI30)-(BAIXAS!AI30)</f>
        <v>1</v>
      </c>
      <c r="E30" s="79" t="s">
        <v>328</v>
      </c>
      <c r="F30" s="335"/>
      <c r="G30" s="82">
        <v>1</v>
      </c>
      <c r="H30" s="336"/>
      <c r="I30" s="337"/>
      <c r="J30" s="337"/>
      <c r="K30" s="338"/>
      <c r="L30" s="333" t="str">
        <f>IF(Configurações!$G$4="Ligado",IF(AND(Baixas_Mantimentos[[#This Row],[Total]]=0,'Qtd Pessoas'!$K$10=0),"0",Baixas_Mantimentos[[#This Row],[Total]]/'Qtd Pessoas'!$K$10),"")</f>
        <v/>
      </c>
      <c r="M30" s="343"/>
      <c r="N30" s="339"/>
    </row>
    <row r="31" spans="2:14" ht="15.75">
      <c r="B31" s="326" t="s">
        <v>311</v>
      </c>
      <c r="C31" s="327" t="str">
        <f>INDEX(Cadastro_Mantimentos[[#All],[Colunas4]],MATCH(ROW()-5,Cadastro_Mantimentos[[#All],[Colunas2]],0))</f>
        <v>Caldo Galinha</v>
      </c>
      <c r="D31" s="328">
        <f ca="1">G31+(ENTRADAS!AI31)-(BAIXAS!AI31)</f>
        <v>3</v>
      </c>
      <c r="E31" s="79" t="s">
        <v>328</v>
      </c>
      <c r="F31" s="335"/>
      <c r="G31" s="82">
        <v>4</v>
      </c>
      <c r="H31" s="336"/>
      <c r="I31" s="337"/>
      <c r="J31" s="337"/>
      <c r="K31" s="338"/>
      <c r="L31" s="333" t="str">
        <f>IF(Configurações!$G$4="Ligado",IF(AND(Baixas_Mantimentos[[#This Row],[Total]]=0,'Qtd Pessoas'!$K$10=0),"0",Baixas_Mantimentos[[#This Row],[Total]]/'Qtd Pessoas'!$K$10),"")</f>
        <v/>
      </c>
      <c r="M31" s="343"/>
      <c r="N31" s="339"/>
    </row>
    <row r="32" spans="2:14" ht="15.75">
      <c r="B32" s="326" t="s">
        <v>311</v>
      </c>
      <c r="C32" s="327" t="str">
        <f>INDEX(Cadastro_Mantimentos[[#All],[Colunas4]],MATCH(ROW()-5,Cadastro_Mantimentos[[#All],[Colunas2]],0))</f>
        <v>Canela Em Casca</v>
      </c>
      <c r="D32" s="328">
        <f ca="1">G32+(ENTRADAS!AI32)-(BAIXAS!AI32)</f>
        <v>0.5</v>
      </c>
      <c r="E32" s="79" t="s">
        <v>328</v>
      </c>
      <c r="F32" s="335"/>
      <c r="G32" s="82">
        <v>0.5</v>
      </c>
      <c r="H32" s="336"/>
      <c r="I32" s="337"/>
      <c r="J32" s="337"/>
      <c r="K32" s="338"/>
      <c r="L32" s="333" t="str">
        <f>IF(Configurações!$G$4="Ligado",IF(AND(Baixas_Mantimentos[[#This Row],[Total]]=0,'Qtd Pessoas'!$K$10=0),"0",Baixas_Mantimentos[[#This Row],[Total]]/'Qtd Pessoas'!$K$10),"")</f>
        <v/>
      </c>
      <c r="M32" s="343"/>
      <c r="N32" s="339"/>
    </row>
    <row r="33" spans="2:14" ht="15.75">
      <c r="B33" s="326" t="s">
        <v>311</v>
      </c>
      <c r="C33" s="327" t="str">
        <f>INDEX(Cadastro_Mantimentos[[#All],[Colunas4]],MATCH(ROW()-5,Cadastro_Mantimentos[[#All],[Colunas2]],0))</f>
        <v>Canela Em Pó</v>
      </c>
      <c r="D33" s="328">
        <f ca="1">G33+(ENTRADAS!AI33)-(BAIXAS!AI33)</f>
        <v>0</v>
      </c>
      <c r="E33" s="79" t="s">
        <v>328</v>
      </c>
      <c r="F33" s="335"/>
      <c r="G33" s="82">
        <v>0.5</v>
      </c>
      <c r="H33" s="336"/>
      <c r="I33" s="337"/>
      <c r="J33" s="337"/>
      <c r="K33" s="338"/>
      <c r="L33" s="333" t="str">
        <f>IF(Configurações!$G$4="Ligado",IF(AND(Baixas_Mantimentos[[#This Row],[Total]]=0,'Qtd Pessoas'!$K$10=0),"0",Baixas_Mantimentos[[#This Row],[Total]]/'Qtd Pessoas'!$K$10),"")</f>
        <v/>
      </c>
      <c r="M33" s="343"/>
      <c r="N33" s="339"/>
    </row>
    <row r="34" spans="2:14" ht="15.75">
      <c r="B34" s="326" t="s">
        <v>311</v>
      </c>
      <c r="C34" s="327" t="str">
        <f>INDEX(Cadastro_Mantimentos[[#All],[Colunas4]],MATCH(ROW()-5,Cadastro_Mantimentos[[#All],[Colunas2]],0))</f>
        <v>Canelone</v>
      </c>
      <c r="D34" s="328">
        <f ca="1">G34+(ENTRADAS!AI34)-(BAIXAS!AI34)</f>
        <v>0</v>
      </c>
      <c r="E34" s="79"/>
      <c r="F34" s="335"/>
      <c r="G34" s="82">
        <v>0</v>
      </c>
      <c r="H34" s="336"/>
      <c r="I34" s="337"/>
      <c r="J34" s="337"/>
      <c r="K34" s="338"/>
      <c r="L34" s="333" t="str">
        <f>IF(Configurações!$G$4="Ligado",IF(AND(Baixas_Mantimentos[[#This Row],[Total]]=0,'Qtd Pessoas'!$K$10=0),"0",Baixas_Mantimentos[[#This Row],[Total]]/'Qtd Pessoas'!$K$10),"")</f>
        <v/>
      </c>
      <c r="M34" s="343"/>
      <c r="N34" s="339"/>
    </row>
    <row r="35" spans="2:14" ht="15.75">
      <c r="B35" s="326" t="s">
        <v>311</v>
      </c>
      <c r="C35" s="327" t="str">
        <f>INDEX(Cadastro_Mantimentos[[#All],[Colunas4]],MATCH(ROW()-5,Cadastro_Mantimentos[[#All],[Colunas2]],0))</f>
        <v>Chá De Camomila</v>
      </c>
      <c r="D35" s="328">
        <f ca="1">G35+(ENTRADAS!AI35)-(BAIXAS!AI35)</f>
        <v>6</v>
      </c>
      <c r="E35" s="79" t="s">
        <v>331</v>
      </c>
      <c r="F35" s="335"/>
      <c r="G35" s="82">
        <v>6</v>
      </c>
      <c r="H35" s="336"/>
      <c r="I35" s="337"/>
      <c r="J35" s="337"/>
      <c r="K35" s="338"/>
      <c r="L35" s="333" t="str">
        <f>IF(Configurações!$G$4="Ligado",IF(AND(Baixas_Mantimentos[[#This Row],[Total]]=0,'Qtd Pessoas'!$K$10=0),"0",Baixas_Mantimentos[[#This Row],[Total]]/'Qtd Pessoas'!$K$10),"")</f>
        <v/>
      </c>
      <c r="M35" s="343"/>
      <c r="N35" s="339"/>
    </row>
    <row r="36" spans="2:14" ht="15.75">
      <c r="B36" s="326" t="s">
        <v>311</v>
      </c>
      <c r="C36" s="327" t="str">
        <f>INDEX(Cadastro_Mantimentos[[#All],[Colunas4]],MATCH(ROW()-5,Cadastro_Mantimentos[[#All],[Colunas2]],0))</f>
        <v>Chá De Camomila</v>
      </c>
      <c r="D36" s="328">
        <f ca="1">G36+(ENTRADAS!AI36)-(BAIXAS!AI36)</f>
        <v>0</v>
      </c>
      <c r="E36" s="79" t="s">
        <v>328</v>
      </c>
      <c r="F36" s="335"/>
      <c r="G36" s="82">
        <v>0</v>
      </c>
      <c r="H36" s="336"/>
      <c r="I36" s="337"/>
      <c r="J36" s="337"/>
      <c r="K36" s="338"/>
      <c r="L36" s="333" t="str">
        <f>IF(Configurações!$G$4="Ligado",IF(AND(Baixas_Mantimentos[[#This Row],[Total]]=0,'Qtd Pessoas'!$K$10=0),"0",Baixas_Mantimentos[[#This Row],[Total]]/'Qtd Pessoas'!$K$10),"")</f>
        <v/>
      </c>
      <c r="M36" s="343"/>
      <c r="N36" s="339"/>
    </row>
    <row r="37" spans="2:14" ht="15.75">
      <c r="B37" s="326" t="s">
        <v>311</v>
      </c>
      <c r="C37" s="327" t="str">
        <f>INDEX(Cadastro_Mantimentos[[#All],[Colunas4]],MATCH(ROW()-5,Cadastro_Mantimentos[[#All],[Colunas2]],0))</f>
        <v>Chá De Erva Doce</v>
      </c>
      <c r="D37" s="328">
        <f ca="1">G37+(ENTRADAS!AI37)-(BAIXAS!AI37)</f>
        <v>0.60000000000000009</v>
      </c>
      <c r="E37" s="79" t="s">
        <v>331</v>
      </c>
      <c r="F37" s="335"/>
      <c r="G37" s="82">
        <v>0.8</v>
      </c>
      <c r="H37" s="336"/>
      <c r="I37" s="337"/>
      <c r="J37" s="337"/>
      <c r="K37" s="338"/>
      <c r="L37" s="333" t="str">
        <f>IF(Configurações!$G$4="Ligado",IF(AND(Baixas_Mantimentos[[#This Row],[Total]]=0,'Qtd Pessoas'!$K$10=0),"0",Baixas_Mantimentos[[#This Row],[Total]]/'Qtd Pessoas'!$K$10),"")</f>
        <v/>
      </c>
      <c r="M37" s="343"/>
      <c r="N37" s="339"/>
    </row>
    <row r="38" spans="2:14" ht="15.75">
      <c r="B38" s="326" t="s">
        <v>311</v>
      </c>
      <c r="C38" s="327" t="str">
        <f>INDEX(Cadastro_Mantimentos[[#All],[Colunas4]],MATCH(ROW()-5,Cadastro_Mantimentos[[#All],[Colunas2]],0))</f>
        <v>Chá de Hibisco</v>
      </c>
      <c r="D38" s="328">
        <f ca="1">G38+(ENTRADAS!AI38)-(BAIXAS!AI38)</f>
        <v>0</v>
      </c>
      <c r="E38" s="79" t="s">
        <v>331</v>
      </c>
      <c r="F38" s="335"/>
      <c r="G38" s="82">
        <v>0</v>
      </c>
      <c r="H38" s="336"/>
      <c r="I38" s="337"/>
      <c r="J38" s="337"/>
      <c r="K38" s="338"/>
      <c r="L38" s="333" t="str">
        <f>IF(Configurações!$G$4="Ligado",IF(AND(Baixas_Mantimentos[[#This Row],[Total]]=0,'Qtd Pessoas'!$K$10=0),"0",Baixas_Mantimentos[[#This Row],[Total]]/'Qtd Pessoas'!$K$10),"")</f>
        <v/>
      </c>
      <c r="M38" s="343"/>
      <c r="N38" s="339"/>
    </row>
    <row r="39" spans="2:14" ht="15.75">
      <c r="B39" s="326" t="s">
        <v>311</v>
      </c>
      <c r="C39" s="327" t="str">
        <f>INDEX(Cadastro_Mantimentos[[#All],[Colunas4]],MATCH(ROW()-5,Cadastro_Mantimentos[[#All],[Colunas2]],0))</f>
        <v>Chá De Hortelã</v>
      </c>
      <c r="D39" s="328">
        <f ca="1">G39+(ENTRADAS!AI39)-(BAIXAS!AI39)</f>
        <v>4</v>
      </c>
      <c r="E39" s="79" t="s">
        <v>331</v>
      </c>
      <c r="F39" s="335"/>
      <c r="G39" s="82">
        <v>4</v>
      </c>
      <c r="H39" s="336"/>
      <c r="I39" s="337"/>
      <c r="J39" s="337"/>
      <c r="K39" s="338"/>
      <c r="L39" s="333" t="str">
        <f>IF(Configurações!$G$4="Ligado",IF(AND(Baixas_Mantimentos[[#This Row],[Total]]=0,'Qtd Pessoas'!$K$10=0),"0",Baixas_Mantimentos[[#This Row],[Total]]/'Qtd Pessoas'!$K$10),"")</f>
        <v/>
      </c>
      <c r="M39" s="343"/>
      <c r="N39" s="339"/>
    </row>
    <row r="40" spans="2:14" ht="15.75">
      <c r="B40" s="326" t="s">
        <v>311</v>
      </c>
      <c r="C40" s="327" t="str">
        <f>INDEX(Cadastro_Mantimentos[[#All],[Colunas4]],MATCH(ROW()-5,Cadastro_Mantimentos[[#All],[Colunas2]],0))</f>
        <v>Chá de Melissa</v>
      </c>
      <c r="D40" s="328">
        <f ca="1">G40+(ENTRADAS!AI40)-(BAIXAS!AI40)</f>
        <v>0</v>
      </c>
      <c r="E40" s="79" t="s">
        <v>331</v>
      </c>
      <c r="F40" s="335"/>
      <c r="G40" s="82">
        <v>0</v>
      </c>
      <c r="H40" s="336"/>
      <c r="I40" s="337"/>
      <c r="J40" s="337"/>
      <c r="K40" s="338"/>
      <c r="L40" s="333" t="str">
        <f>IF(Configurações!$G$4="Ligado",IF(AND(Baixas_Mantimentos[[#This Row],[Total]]=0,'Qtd Pessoas'!$K$10=0),"0",Baixas_Mantimentos[[#This Row],[Total]]/'Qtd Pessoas'!$K$10),"")</f>
        <v/>
      </c>
      <c r="M40" s="343"/>
      <c r="N40" s="339"/>
    </row>
    <row r="41" spans="2:14" ht="15.75">
      <c r="B41" s="326" t="s">
        <v>311</v>
      </c>
      <c r="C41" s="327" t="str">
        <f>INDEX(Cadastro_Mantimentos[[#All],[Colunas4]],MATCH(ROW()-5,Cadastro_Mantimentos[[#All],[Colunas2]],0))</f>
        <v xml:space="preserve">Chá Mate </v>
      </c>
      <c r="D41" s="328">
        <f ca="1">G41+(ENTRADAS!AI41)-(BAIXAS!AI41)</f>
        <v>20.5</v>
      </c>
      <c r="E41" s="79" t="s">
        <v>331</v>
      </c>
      <c r="F41" s="335"/>
      <c r="G41" s="82">
        <v>21</v>
      </c>
      <c r="H41" s="336"/>
      <c r="I41" s="337"/>
      <c r="J41" s="337"/>
      <c r="K41" s="338"/>
      <c r="L41" s="333" t="str">
        <f>IF(Configurações!$G$4="Ligado",IF(AND(Baixas_Mantimentos[[#This Row],[Total]]=0,'Qtd Pessoas'!$K$10=0),"0",Baixas_Mantimentos[[#This Row],[Total]]/'Qtd Pessoas'!$K$10),"")</f>
        <v/>
      </c>
      <c r="M41" s="343"/>
      <c r="N41" s="339"/>
    </row>
    <row r="42" spans="2:14" ht="15.75">
      <c r="B42" s="326" t="s">
        <v>311</v>
      </c>
      <c r="C42" s="327" t="str">
        <f>INDEX(Cadastro_Mantimentos[[#All],[Colunas4]],MATCH(ROW()-5,Cadastro_Mantimentos[[#All],[Colunas2]],0))</f>
        <v>Chá Morango</v>
      </c>
      <c r="D42" s="328">
        <f ca="1">G42+(ENTRADAS!AI42)-(BAIXAS!AI42)</f>
        <v>10</v>
      </c>
      <c r="E42" s="79" t="s">
        <v>331</v>
      </c>
      <c r="F42" s="335"/>
      <c r="G42" s="82">
        <v>10</v>
      </c>
      <c r="H42" s="336"/>
      <c r="I42" s="337"/>
      <c r="J42" s="337"/>
      <c r="K42" s="338"/>
      <c r="L42" s="333" t="str">
        <f>IF(Configurações!$G$4="Ligado",IF(AND(Baixas_Mantimentos[[#This Row],[Total]]=0,'Qtd Pessoas'!$K$10=0),"0",Baixas_Mantimentos[[#This Row],[Total]]/'Qtd Pessoas'!$K$10),"")</f>
        <v/>
      </c>
      <c r="M42" s="343"/>
      <c r="N42" s="339"/>
    </row>
    <row r="43" spans="2:14" ht="15.75">
      <c r="B43" s="326" t="s">
        <v>311</v>
      </c>
      <c r="C43" s="327" t="str">
        <f>INDEX(Cadastro_Mantimentos[[#All],[Colunas4]],MATCH(ROW()-5,Cadastro_Mantimentos[[#All],[Colunas2]],0))</f>
        <v xml:space="preserve">Chá Preto </v>
      </c>
      <c r="D43" s="328">
        <f ca="1">G43+(ENTRADAS!AI43)-(BAIXAS!AI43)</f>
        <v>4</v>
      </c>
      <c r="E43" s="79" t="s">
        <v>331</v>
      </c>
      <c r="F43" s="335"/>
      <c r="G43" s="82">
        <v>4</v>
      </c>
      <c r="H43" s="336"/>
      <c r="I43" s="337"/>
      <c r="J43" s="337"/>
      <c r="K43" s="338"/>
      <c r="L43" s="333" t="str">
        <f>IF(Configurações!$G$4="Ligado",IF(AND(Baixas_Mantimentos[[#This Row],[Total]]=0,'Qtd Pessoas'!$K$10=0),"0",Baixas_Mantimentos[[#This Row],[Total]]/'Qtd Pessoas'!$K$10),"")</f>
        <v/>
      </c>
      <c r="M43" s="343"/>
      <c r="N43" s="339"/>
    </row>
    <row r="44" spans="2:14" ht="15.75">
      <c r="B44" s="326" t="s">
        <v>311</v>
      </c>
      <c r="C44" s="327" t="str">
        <f>INDEX(Cadastro_Mantimentos[[#All],[Colunas4]],MATCH(ROW()-5,Cadastro_Mantimentos[[#All],[Colunas2]],0))</f>
        <v>Champignon Fatiado</v>
      </c>
      <c r="D44" s="328">
        <f ca="1">G44+(ENTRADAS!AI44)-(BAIXAS!AI44)</f>
        <v>4.5</v>
      </c>
      <c r="E44" s="79" t="s">
        <v>328</v>
      </c>
      <c r="F44" s="335"/>
      <c r="G44" s="82">
        <v>7</v>
      </c>
      <c r="H44" s="336"/>
      <c r="I44" s="337"/>
      <c r="J44" s="337"/>
      <c r="K44" s="338"/>
      <c r="L44" s="333" t="str">
        <f>IF(Configurações!$G$4="Ligado",IF(AND(Baixas_Mantimentos[[#This Row],[Total]]=0,'Qtd Pessoas'!$K$10=0),"0",Baixas_Mantimentos[[#This Row],[Total]]/'Qtd Pessoas'!$K$10),"")</f>
        <v/>
      </c>
      <c r="M44" s="343"/>
      <c r="N44" s="339"/>
    </row>
    <row r="45" spans="2:14" ht="15.75">
      <c r="B45" s="326" t="s">
        <v>311</v>
      </c>
      <c r="C45" s="327" t="str">
        <f>INDEX(Cadastro_Mantimentos[[#All],[Colunas4]],MATCH(ROW()-5,Cadastro_Mantimentos[[#All],[Colunas2]],0))</f>
        <v>Chocolate Em Pó</v>
      </c>
      <c r="D45" s="328">
        <f ca="1">G45+(ENTRADAS!AI45)-(BAIXAS!AI45)</f>
        <v>0</v>
      </c>
      <c r="E45" s="79" t="s">
        <v>328</v>
      </c>
      <c r="F45" s="335"/>
      <c r="G45" s="82">
        <v>2</v>
      </c>
      <c r="H45" s="336"/>
      <c r="I45" s="337"/>
      <c r="J45" s="337"/>
      <c r="K45" s="338"/>
      <c r="L45" s="333" t="str">
        <f>IF(Configurações!$G$4="Ligado",IF(AND(Baixas_Mantimentos[[#This Row],[Total]]=0,'Qtd Pessoas'!$K$10=0),"0",Baixas_Mantimentos[[#This Row],[Total]]/'Qtd Pessoas'!$K$10),"")</f>
        <v/>
      </c>
      <c r="M45" s="343"/>
      <c r="N45" s="339"/>
    </row>
    <row r="46" spans="2:14" ht="15.75">
      <c r="B46" s="326" t="s">
        <v>311</v>
      </c>
      <c r="C46" s="327" t="str">
        <f>INDEX(Cadastro_Mantimentos[[#All],[Colunas4]],MATCH(ROW()-5,Cadastro_Mantimentos[[#All],[Colunas2]],0))</f>
        <v xml:space="preserve">Chocolate Granulado </v>
      </c>
      <c r="D46" s="328">
        <f ca="1">G46+(ENTRADAS!AI46)-(BAIXAS!AI46)</f>
        <v>0</v>
      </c>
      <c r="E46" s="79" t="s">
        <v>328</v>
      </c>
      <c r="F46" s="335"/>
      <c r="G46" s="82">
        <v>3</v>
      </c>
      <c r="H46" s="336"/>
      <c r="I46" s="337"/>
      <c r="J46" s="337"/>
      <c r="K46" s="338"/>
      <c r="L46" s="333" t="str">
        <f>IF(Configurações!$G$4="Ligado",IF(AND(Baixas_Mantimentos[[#This Row],[Total]]=0,'Qtd Pessoas'!$K$10=0),"0",Baixas_Mantimentos[[#This Row],[Total]]/'Qtd Pessoas'!$K$10),"")</f>
        <v/>
      </c>
      <c r="M46" s="343"/>
      <c r="N46" s="339"/>
    </row>
    <row r="47" spans="2:14" ht="15.75">
      <c r="B47" s="326" t="s">
        <v>311</v>
      </c>
      <c r="C47" s="327" t="str">
        <f>INDEX(Cadastro_Mantimentos[[#All],[Colunas4]],MATCH(ROW()-5,Cadastro_Mantimentos[[#All],[Colunas2]],0))</f>
        <v xml:space="preserve">Coco Ralado </v>
      </c>
      <c r="D47" s="328">
        <f ca="1">G47+(ENTRADAS!AI47)-(BAIXAS!AI47)</f>
        <v>1</v>
      </c>
      <c r="E47" s="79" t="s">
        <v>328</v>
      </c>
      <c r="F47" s="335"/>
      <c r="G47" s="82">
        <v>1</v>
      </c>
      <c r="H47" s="336"/>
      <c r="I47" s="337"/>
      <c r="J47" s="337"/>
      <c r="K47" s="338"/>
      <c r="L47" s="333" t="str">
        <f>IF(Configurações!$G$4="Ligado",IF(AND(Baixas_Mantimentos[[#This Row],[Total]]=0,'Qtd Pessoas'!$K$10=0),"0",Baixas_Mantimentos[[#This Row],[Total]]/'Qtd Pessoas'!$K$10),"")</f>
        <v/>
      </c>
      <c r="M47" s="343"/>
      <c r="N47" s="339"/>
    </row>
    <row r="48" spans="2:14" ht="15.75">
      <c r="B48" s="326" t="s">
        <v>311</v>
      </c>
      <c r="C48" s="327" t="str">
        <f>INDEX(Cadastro_Mantimentos[[#All],[Colunas4]],MATCH(ROW()-5,Cadastro_Mantimentos[[#All],[Colunas2]],0))</f>
        <v>Coloral</v>
      </c>
      <c r="D48" s="328">
        <f ca="1">G48+(ENTRADAS!AI48)-(BAIXAS!AI48)</f>
        <v>1</v>
      </c>
      <c r="E48" s="79" t="s">
        <v>328</v>
      </c>
      <c r="F48" s="335"/>
      <c r="G48" s="82">
        <v>2</v>
      </c>
      <c r="H48" s="336"/>
      <c r="I48" s="337"/>
      <c r="J48" s="337"/>
      <c r="K48" s="338"/>
      <c r="L48" s="333" t="str">
        <f>IF(Configurações!$G$4="Ligado",IF(AND(Baixas_Mantimentos[[#This Row],[Total]]=0,'Qtd Pessoas'!$K$10=0),"0",Baixas_Mantimentos[[#This Row],[Total]]/'Qtd Pessoas'!$K$10),"")</f>
        <v/>
      </c>
      <c r="M48" s="343"/>
      <c r="N48" s="339"/>
    </row>
    <row r="49" spans="2:14" ht="15.75">
      <c r="B49" s="326" t="s">
        <v>311</v>
      </c>
      <c r="C49" s="327" t="str">
        <f>INDEX(Cadastro_Mantimentos[[#All],[Colunas4]],MATCH(ROW()-5,Cadastro_Mantimentos[[#All],[Colunas2]],0))</f>
        <v>Cravo</v>
      </c>
      <c r="D49" s="328">
        <f ca="1">G49+(ENTRADAS!AI49)-(BAIXAS!AI49)</f>
        <v>0.5</v>
      </c>
      <c r="E49" s="79" t="s">
        <v>328</v>
      </c>
      <c r="F49" s="335"/>
      <c r="G49" s="82">
        <v>0.5</v>
      </c>
      <c r="H49" s="336"/>
      <c r="I49" s="337"/>
      <c r="J49" s="337"/>
      <c r="K49" s="338"/>
      <c r="L49" s="333" t="str">
        <f>IF(Configurações!$G$4="Ligado",IF(AND(Baixas_Mantimentos[[#This Row],[Total]]=0,'Qtd Pessoas'!$K$10=0),"0",Baixas_Mantimentos[[#This Row],[Total]]/'Qtd Pessoas'!$K$10),"")</f>
        <v/>
      </c>
      <c r="M49" s="343"/>
      <c r="N49" s="339"/>
    </row>
    <row r="50" spans="2:14" ht="15.75">
      <c r="B50" s="326" t="s">
        <v>311</v>
      </c>
      <c r="C50" s="327" t="str">
        <f>INDEX(Cadastro_Mantimentos[[#All],[Colunas4]],MATCH(ROW()-5,Cadastro_Mantimentos[[#All],[Colunas2]],0))</f>
        <v>Creme Cebola</v>
      </c>
      <c r="D50" s="328">
        <f ca="1">G50+(ENTRADAS!AI50)-(BAIXAS!AI50)</f>
        <v>0</v>
      </c>
      <c r="E50" s="79" t="s">
        <v>328</v>
      </c>
      <c r="F50" s="335"/>
      <c r="G50" s="82">
        <v>0</v>
      </c>
      <c r="H50" s="336"/>
      <c r="I50" s="337"/>
      <c r="J50" s="337"/>
      <c r="K50" s="338"/>
      <c r="L50" s="333" t="str">
        <f>IF(Configurações!$G$4="Ligado",IF(AND(Baixas_Mantimentos[[#This Row],[Total]]=0,'Qtd Pessoas'!$K$10=0),"0",Baixas_Mantimentos[[#This Row],[Total]]/'Qtd Pessoas'!$K$10),"")</f>
        <v/>
      </c>
      <c r="M50" s="343"/>
      <c r="N50" s="339"/>
    </row>
    <row r="51" spans="2:14" ht="15.75">
      <c r="B51" s="326" t="s">
        <v>311</v>
      </c>
      <c r="C51" s="327" t="str">
        <f>INDEX(Cadastro_Mantimentos[[#All],[Colunas4]],MATCH(ROW()-5,Cadastro_Mantimentos[[#All],[Colunas2]],0))</f>
        <v>Creme De Leite</v>
      </c>
      <c r="D51" s="328">
        <f ca="1">G51+(ENTRADAS!AI51)-(BAIXAS!AI51)</f>
        <v>6</v>
      </c>
      <c r="E51" s="79" t="s">
        <v>330</v>
      </c>
      <c r="F51" s="335"/>
      <c r="G51" s="82">
        <v>54</v>
      </c>
      <c r="H51" s="336"/>
      <c r="I51" s="337"/>
      <c r="J51" s="337"/>
      <c r="K51" s="338"/>
      <c r="L51" s="333" t="str">
        <f>IF(Configurações!$G$4="Ligado",IF(AND(Baixas_Mantimentos[[#This Row],[Total]]=0,'Qtd Pessoas'!$K$10=0),"0",Baixas_Mantimentos[[#This Row],[Total]]/'Qtd Pessoas'!$K$10),"")</f>
        <v/>
      </c>
      <c r="M51" s="343"/>
      <c r="N51" s="339"/>
    </row>
    <row r="52" spans="2:14" ht="15.75">
      <c r="B52" s="326" t="s">
        <v>311</v>
      </c>
      <c r="C52" s="327" t="str">
        <f>INDEX(Cadastro_Mantimentos[[#All],[Colunas4]],MATCH(ROW()-5,Cadastro_Mantimentos[[#All],[Colunas2]],0))</f>
        <v>Curau</v>
      </c>
      <c r="D52" s="328">
        <f ca="1">G52+(ENTRADAS!AI52)-(BAIXAS!AI52)</f>
        <v>2</v>
      </c>
      <c r="E52" s="79" t="s">
        <v>328</v>
      </c>
      <c r="F52" s="335"/>
      <c r="G52" s="82">
        <v>4</v>
      </c>
      <c r="H52" s="336"/>
      <c r="I52" s="337"/>
      <c r="J52" s="337"/>
      <c r="K52" s="338"/>
      <c r="L52" s="333" t="str">
        <f>IF(Configurações!$G$4="Ligado",IF(AND(Baixas_Mantimentos[[#This Row],[Total]]=0,'Qtd Pessoas'!$K$10=0),"0",Baixas_Mantimentos[[#This Row],[Total]]/'Qtd Pessoas'!$K$10),"")</f>
        <v/>
      </c>
      <c r="M52" s="343"/>
      <c r="N52" s="339"/>
    </row>
    <row r="53" spans="2:14" ht="15.75">
      <c r="B53" s="326" t="s">
        <v>311</v>
      </c>
      <c r="C53" s="327" t="str">
        <f>INDEX(Cadastro_Mantimentos[[#All],[Colunas4]],MATCH(ROW()-5,Cadastro_Mantimentos[[#All],[Colunas2]],0))</f>
        <v>Doce De Leite</v>
      </c>
      <c r="D53" s="328">
        <f ca="1">G53+(ENTRADAS!AI53)-(BAIXAS!AI53)</f>
        <v>0</v>
      </c>
      <c r="E53" s="79" t="s">
        <v>328</v>
      </c>
      <c r="F53" s="335"/>
      <c r="G53" s="82">
        <v>6</v>
      </c>
      <c r="H53" s="336"/>
      <c r="I53" s="337"/>
      <c r="J53" s="337"/>
      <c r="K53" s="338"/>
      <c r="L53" s="333" t="str">
        <f>IF(Configurações!$G$4="Ligado",IF(AND(Baixas_Mantimentos[[#This Row],[Total]]=0,'Qtd Pessoas'!$K$10=0),"0",Baixas_Mantimentos[[#This Row],[Total]]/'Qtd Pessoas'!$K$10),"")</f>
        <v/>
      </c>
      <c r="M53" s="343"/>
      <c r="N53" s="339"/>
    </row>
    <row r="54" spans="2:14" ht="15.75">
      <c r="B54" s="326" t="s">
        <v>311</v>
      </c>
      <c r="C54" s="327" t="str">
        <f>INDEX(Cadastro_Mantimentos[[#All],[Colunas4]],MATCH(ROW()-5,Cadastro_Mantimentos[[#All],[Colunas2]],0))</f>
        <v>Erva Doce</v>
      </c>
      <c r="D54" s="328">
        <f ca="1">G54+(ENTRADAS!AI54)-(BAIXAS!AI54)</f>
        <v>0</v>
      </c>
      <c r="E54" s="79" t="s">
        <v>328</v>
      </c>
      <c r="F54" s="335"/>
      <c r="G54" s="82">
        <v>0</v>
      </c>
      <c r="H54" s="336"/>
      <c r="I54" s="337"/>
      <c r="J54" s="337"/>
      <c r="K54" s="338"/>
      <c r="L54" s="333" t="str">
        <f>IF(Configurações!$G$4="Ligado",IF(AND(Baixas_Mantimentos[[#This Row],[Total]]=0,'Qtd Pessoas'!$K$10=0),"0",Baixas_Mantimentos[[#This Row],[Total]]/'Qtd Pessoas'!$K$10),"")</f>
        <v/>
      </c>
      <c r="M54" s="343"/>
      <c r="N54" s="339"/>
    </row>
    <row r="55" spans="2:14" ht="15.75">
      <c r="B55" s="326" t="s">
        <v>311</v>
      </c>
      <c r="C55" s="327" t="str">
        <f>INDEX(Cadastro_Mantimentos[[#All],[Colunas4]],MATCH(ROW()-5,Cadastro_Mantimentos[[#All],[Colunas2]],0))</f>
        <v xml:space="preserve">Ervilha Lata </v>
      </c>
      <c r="D55" s="328">
        <f ca="1">G55+(ENTRADAS!AI55)-(BAIXAS!AI55)</f>
        <v>31</v>
      </c>
      <c r="E55" s="79" t="s">
        <v>328</v>
      </c>
      <c r="F55" s="335"/>
      <c r="G55" s="82">
        <v>53</v>
      </c>
      <c r="H55" s="336"/>
      <c r="I55" s="337"/>
      <c r="J55" s="337"/>
      <c r="K55" s="338"/>
      <c r="L55" s="333" t="str">
        <f>IF(Configurações!$G$4="Ligado",IF(AND(Baixas_Mantimentos[[#This Row],[Total]]=0,'Qtd Pessoas'!$K$10=0),"0",Baixas_Mantimentos[[#This Row],[Total]]/'Qtd Pessoas'!$K$10),"")</f>
        <v/>
      </c>
      <c r="M55" s="343"/>
      <c r="N55" s="339"/>
    </row>
    <row r="56" spans="2:14" ht="15.75">
      <c r="B56" s="326" t="s">
        <v>311</v>
      </c>
      <c r="C56" s="327" t="str">
        <f>INDEX(Cadastro_Mantimentos[[#All],[Colunas4]],MATCH(ROW()-5,Cadastro_Mantimentos[[#All],[Colunas2]],0))</f>
        <v xml:space="preserve">Ervilha Seca </v>
      </c>
      <c r="D56" s="328">
        <f ca="1">G56+(ENTRADAS!AI56)-(BAIXAS!AI56)</f>
        <v>6</v>
      </c>
      <c r="E56" s="79" t="s">
        <v>328</v>
      </c>
      <c r="F56" s="335"/>
      <c r="G56" s="191">
        <v>9</v>
      </c>
      <c r="H56" s="336"/>
      <c r="I56" s="337"/>
      <c r="J56" s="337"/>
      <c r="K56" s="338"/>
      <c r="L56" s="333" t="str">
        <f>IF(Configurações!$G$4="Ligado",IF(AND(Baixas_Mantimentos[[#This Row],[Total]]=0,'Qtd Pessoas'!$K$10=0),"0",Baixas_Mantimentos[[#This Row],[Total]]/'Qtd Pessoas'!$K$10),"")</f>
        <v/>
      </c>
      <c r="M56" s="343"/>
      <c r="N56" s="339"/>
    </row>
    <row r="57" spans="2:14" ht="15.75">
      <c r="B57" s="326" t="s">
        <v>311</v>
      </c>
      <c r="C57" s="327" t="str">
        <f>INDEX(Cadastro_Mantimentos[[#All],[Colunas4]],MATCH(ROW()-5,Cadastro_Mantimentos[[#All],[Colunas2]],0))</f>
        <v xml:space="preserve">Farinha De Mandioca </v>
      </c>
      <c r="D57" s="328">
        <f ca="1">G57+(ENTRADAS!AI57)-(BAIXAS!AI57)</f>
        <v>20.5</v>
      </c>
      <c r="E57" s="79" t="s">
        <v>328</v>
      </c>
      <c r="F57" s="335"/>
      <c r="G57" s="82">
        <v>24.5</v>
      </c>
      <c r="H57" s="336"/>
      <c r="I57" s="337"/>
      <c r="J57" s="337"/>
      <c r="K57" s="338"/>
      <c r="L57" s="333" t="str">
        <f>IF(Configurações!$G$4="Ligado",IF(AND(Baixas_Mantimentos[[#This Row],[Total]]=0,'Qtd Pessoas'!$K$10=0),"0",Baixas_Mantimentos[[#This Row],[Total]]/'Qtd Pessoas'!$K$10),"")</f>
        <v/>
      </c>
      <c r="M57" s="343"/>
      <c r="N57" s="339"/>
    </row>
    <row r="58" spans="2:14" ht="15.75">
      <c r="B58" s="326" t="s">
        <v>311</v>
      </c>
      <c r="C58" s="327" t="str">
        <f>INDEX(Cadastro_Mantimentos[[#All],[Colunas4]],MATCH(ROW()-5,Cadastro_Mantimentos[[#All],[Colunas2]],0))</f>
        <v>Farinha De Milho</v>
      </c>
      <c r="D58" s="328">
        <f ca="1">G58+(ENTRADAS!AI58)-(BAIXAS!AI58)</f>
        <v>-2</v>
      </c>
      <c r="E58" s="79" t="s">
        <v>328</v>
      </c>
      <c r="F58" s="335"/>
      <c r="G58" s="82">
        <v>4</v>
      </c>
      <c r="H58" s="336"/>
      <c r="I58" s="337"/>
      <c r="J58" s="337"/>
      <c r="K58" s="338"/>
      <c r="L58" s="333" t="str">
        <f>IF(Configurações!$G$4="Ligado",IF(AND(Baixas_Mantimentos[[#This Row],[Total]]=0,'Qtd Pessoas'!$K$10=0),"0",Baixas_Mantimentos[[#This Row],[Total]]/'Qtd Pessoas'!$K$10),"")</f>
        <v/>
      </c>
      <c r="M58" s="343"/>
      <c r="N58" s="339"/>
    </row>
    <row r="59" spans="2:14" ht="15.75">
      <c r="B59" s="326" t="s">
        <v>311</v>
      </c>
      <c r="C59" s="327" t="str">
        <f>INDEX(Cadastro_Mantimentos[[#All],[Colunas4]],MATCH(ROW()-5,Cadastro_Mantimentos[[#All],[Colunas2]],0))</f>
        <v xml:space="preserve">Farinha De Rosca </v>
      </c>
      <c r="D59" s="328">
        <f ca="1">G59+(ENTRADAS!AI59)-(BAIXAS!AI59)</f>
        <v>10.5</v>
      </c>
      <c r="E59" s="79" t="s">
        <v>328</v>
      </c>
      <c r="F59" s="335"/>
      <c r="G59" s="82">
        <v>23.5</v>
      </c>
      <c r="H59" s="336"/>
      <c r="I59" s="337"/>
      <c r="J59" s="337"/>
      <c r="K59" s="338"/>
      <c r="L59" s="333" t="str">
        <f>IF(Configurações!$G$4="Ligado",IF(AND(Baixas_Mantimentos[[#This Row],[Total]]=0,'Qtd Pessoas'!$K$10=0),"0",Baixas_Mantimentos[[#This Row],[Total]]/'Qtd Pessoas'!$K$10),"")</f>
        <v/>
      </c>
      <c r="M59" s="343"/>
      <c r="N59" s="339"/>
    </row>
    <row r="60" spans="2:14" ht="15.75">
      <c r="B60" s="326" t="s">
        <v>311</v>
      </c>
      <c r="C60" s="327" t="str">
        <f>INDEX(Cadastro_Mantimentos[[#All],[Colunas4]],MATCH(ROW()-5,Cadastro_Mantimentos[[#All],[Colunas2]],0))</f>
        <v>Farinha De Trigo</v>
      </c>
      <c r="D60" s="328">
        <f ca="1">G60+(ENTRADAS!AI60)-(BAIXAS!AI60)</f>
        <v>26</v>
      </c>
      <c r="E60" s="79" t="s">
        <v>328</v>
      </c>
      <c r="F60" s="335"/>
      <c r="G60" s="82">
        <v>10</v>
      </c>
      <c r="H60" s="336"/>
      <c r="I60" s="337"/>
      <c r="J60" s="337"/>
      <c r="K60" s="338"/>
      <c r="L60" s="333" t="str">
        <f>IF(Configurações!$G$4="Ligado",IF(AND(Baixas_Mantimentos[[#This Row],[Total]]=0,'Qtd Pessoas'!$K$10=0),"0",Baixas_Mantimentos[[#This Row],[Total]]/'Qtd Pessoas'!$K$10),"")</f>
        <v/>
      </c>
      <c r="M60" s="343"/>
      <c r="N60" s="339"/>
    </row>
    <row r="61" spans="2:14" ht="15.75">
      <c r="B61" s="326" t="s">
        <v>311</v>
      </c>
      <c r="C61" s="327" t="str">
        <f>INDEX(Cadastro_Mantimentos[[#All],[Colunas4]],MATCH(ROW()-5,Cadastro_Mantimentos[[#All],[Colunas2]],0))</f>
        <v>Feijão Carioca Camil</v>
      </c>
      <c r="D61" s="328">
        <f ca="1">G61+(ENTRADAS!AI61)-(BAIXAS!AI61)</f>
        <v>0</v>
      </c>
      <c r="E61" s="79" t="s">
        <v>328</v>
      </c>
      <c r="F61" s="335"/>
      <c r="G61" s="82">
        <v>20</v>
      </c>
      <c r="H61" s="336"/>
      <c r="I61" s="337"/>
      <c r="J61" s="337"/>
      <c r="K61" s="338"/>
      <c r="L61" s="333" t="str">
        <f>IF(Configurações!$G$4="Ligado",IF(AND(Baixas_Mantimentos[[#This Row],[Total]]=0,'Qtd Pessoas'!$K$10=0),"0",Baixas_Mantimentos[[#This Row],[Total]]/'Qtd Pessoas'!$K$10),"")</f>
        <v/>
      </c>
      <c r="M61" s="343"/>
      <c r="N61" s="339"/>
    </row>
    <row r="62" spans="2:14" ht="15.75">
      <c r="B62" s="326" t="s">
        <v>311</v>
      </c>
      <c r="C62" s="327" t="str">
        <f>INDEX(Cadastro_Mantimentos[[#All],[Colunas4]],MATCH(ROW()-5,Cadastro_Mantimentos[[#All],[Colunas2]],0))</f>
        <v xml:space="preserve">Feijão Preto </v>
      </c>
      <c r="D62" s="328">
        <f ca="1">G62+(ENTRADAS!AI62)-(BAIXAS!AI62)</f>
        <v>19</v>
      </c>
      <c r="E62" s="79" t="s">
        <v>328</v>
      </c>
      <c r="F62" s="335"/>
      <c r="G62" s="82">
        <v>10</v>
      </c>
      <c r="H62" s="336"/>
      <c r="I62" s="337"/>
      <c r="J62" s="337"/>
      <c r="K62" s="338"/>
      <c r="L62" s="333" t="str">
        <f>IF(Configurações!$G$4="Ligado",IF(AND(Baixas_Mantimentos[[#This Row],[Total]]=0,'Qtd Pessoas'!$K$10=0),"0",Baixas_Mantimentos[[#This Row],[Total]]/'Qtd Pessoas'!$K$10),"")</f>
        <v/>
      </c>
      <c r="M62" s="343"/>
      <c r="N62" s="339"/>
    </row>
    <row r="63" spans="2:14" ht="15.75">
      <c r="B63" s="326" t="s">
        <v>311</v>
      </c>
      <c r="C63" s="327" t="str">
        <f>INDEX(Cadastro_Mantimentos[[#All],[Colunas4]],MATCH(ROW()-5,Cadastro_Mantimentos[[#All],[Colunas2]],0))</f>
        <v xml:space="preserve">Fermento </v>
      </c>
      <c r="D63" s="328">
        <f ca="1">G63+(ENTRADAS!AI63)-(BAIXAS!AI63)</f>
        <v>1</v>
      </c>
      <c r="E63" s="79" t="s">
        <v>328</v>
      </c>
      <c r="F63" s="335"/>
      <c r="G63" s="82">
        <v>4</v>
      </c>
      <c r="H63" s="336"/>
      <c r="I63" s="337"/>
      <c r="J63" s="337"/>
      <c r="K63" s="338"/>
      <c r="L63" s="333" t="str">
        <f>IF(Configurações!$G$4="Ligado",IF(AND(Baixas_Mantimentos[[#This Row],[Total]]=0,'Qtd Pessoas'!$K$10=0),"0",Baixas_Mantimentos[[#This Row],[Total]]/'Qtd Pessoas'!$K$10),"")</f>
        <v/>
      </c>
      <c r="M63" s="343"/>
      <c r="N63" s="339"/>
    </row>
    <row r="64" spans="2:14" ht="15.75">
      <c r="B64" s="326" t="s">
        <v>311</v>
      </c>
      <c r="C64" s="327" t="str">
        <f>INDEX(Cadastro_Mantimentos[[#All],[Colunas4]],MATCH(ROW()-5,Cadastro_Mantimentos[[#All],[Colunas2]],0))</f>
        <v>Figo Em Calda</v>
      </c>
      <c r="D64" s="328">
        <f ca="1">G64+(ENTRADAS!AI64)-(BAIXAS!AI64)</f>
        <v>6</v>
      </c>
      <c r="E64" s="79" t="s">
        <v>330</v>
      </c>
      <c r="F64" s="335"/>
      <c r="G64" s="82">
        <v>2</v>
      </c>
      <c r="H64" s="336"/>
      <c r="I64" s="337"/>
      <c r="J64" s="337"/>
      <c r="K64" s="338"/>
      <c r="L64" s="333" t="str">
        <f>IF(Configurações!$G$4="Ligado",IF(AND(Baixas_Mantimentos[[#This Row],[Total]]=0,'Qtd Pessoas'!$K$10=0),"0",Baixas_Mantimentos[[#This Row],[Total]]/'Qtd Pessoas'!$K$10),"")</f>
        <v/>
      </c>
      <c r="M64" s="343"/>
      <c r="N64" s="339"/>
    </row>
    <row r="65" spans="2:14" ht="15.75">
      <c r="B65" s="326" t="s">
        <v>311</v>
      </c>
      <c r="C65" s="327" t="str">
        <f>INDEX(Cadastro_Mantimentos[[#All],[Colunas4]],MATCH(ROW()-5,Cadastro_Mantimentos[[#All],[Colunas2]],0))</f>
        <v>Flan Baunilha</v>
      </c>
      <c r="D65" s="328">
        <f ca="1">G65+(ENTRADAS!AI65)-(BAIXAS!AI65)</f>
        <v>1</v>
      </c>
      <c r="E65" s="79" t="s">
        <v>328</v>
      </c>
      <c r="F65" s="335"/>
      <c r="G65" s="82">
        <v>3</v>
      </c>
      <c r="H65" s="336"/>
      <c r="I65" s="337"/>
      <c r="J65" s="337"/>
      <c r="K65" s="338"/>
      <c r="L65" s="333" t="str">
        <f>IF(Configurações!$G$4="Ligado",IF(AND(Baixas_Mantimentos[[#This Row],[Total]]=0,'Qtd Pessoas'!$K$10=0),"0",Baixas_Mantimentos[[#This Row],[Total]]/'Qtd Pessoas'!$K$10),"")</f>
        <v/>
      </c>
      <c r="M65" s="343"/>
      <c r="N65" s="339"/>
    </row>
    <row r="66" spans="2:14" ht="15.75">
      <c r="B66" s="326" t="s">
        <v>311</v>
      </c>
      <c r="C66" s="327" t="str">
        <f>INDEX(Cadastro_Mantimentos[[#All],[Colunas4]],MATCH(ROW()-5,Cadastro_Mantimentos[[#All],[Colunas2]],0))</f>
        <v xml:space="preserve">Fubá </v>
      </c>
      <c r="D66" s="328">
        <f ca="1">G66+(ENTRADAS!AI66)-(BAIXAS!AI66)</f>
        <v>3</v>
      </c>
      <c r="E66" s="79" t="s">
        <v>328</v>
      </c>
      <c r="F66" s="335"/>
      <c r="G66" s="82">
        <v>4</v>
      </c>
      <c r="H66" s="336"/>
      <c r="I66" s="337"/>
      <c r="J66" s="337"/>
      <c r="K66" s="338"/>
      <c r="L66" s="333" t="str">
        <f>IF(Configurações!$G$4="Ligado",IF(AND(Baixas_Mantimentos[[#This Row],[Total]]=0,'Qtd Pessoas'!$K$10=0),"0",Baixas_Mantimentos[[#This Row],[Total]]/'Qtd Pessoas'!$K$10),"")</f>
        <v/>
      </c>
      <c r="M66" s="343"/>
      <c r="N66" s="339"/>
    </row>
    <row r="67" spans="2:14" ht="15.75">
      <c r="B67" s="326" t="s">
        <v>311</v>
      </c>
      <c r="C67" s="327" t="str">
        <f>INDEX(Cadastro_Mantimentos[[#All],[Colunas4]],MATCH(ROW()-5,Cadastro_Mantimentos[[#All],[Colunas2]],0))</f>
        <v>Gelatina</v>
      </c>
      <c r="D67" s="328">
        <f ca="1">G67+(ENTRADAS!AI67)-(BAIXAS!AI67)</f>
        <v>0</v>
      </c>
      <c r="E67" s="79"/>
      <c r="F67" s="335"/>
      <c r="G67" s="82">
        <v>0</v>
      </c>
      <c r="H67" s="336"/>
      <c r="I67" s="337"/>
      <c r="J67" s="337"/>
      <c r="K67" s="338"/>
      <c r="L67" s="333" t="str">
        <f>IF(Configurações!$G$4="Ligado",IF(AND(Baixas_Mantimentos[[#This Row],[Total]]=0,'Qtd Pessoas'!$K$10=0),"0",Baixas_Mantimentos[[#This Row],[Total]]/'Qtd Pessoas'!$K$10),"")</f>
        <v/>
      </c>
      <c r="M67" s="343"/>
      <c r="N67" s="339"/>
    </row>
    <row r="68" spans="2:14" ht="15.75">
      <c r="B68" s="326" t="s">
        <v>311</v>
      </c>
      <c r="C68" s="327" t="str">
        <f>INDEX(Cadastro_Mantimentos[[#All],[Colunas4]],MATCH(ROW()-5,Cadastro_Mantimentos[[#All],[Colunas2]],0))</f>
        <v>Gelatina  Abacaxi</v>
      </c>
      <c r="D68" s="328">
        <f ca="1">G68+(ENTRADAS!AI68)-(BAIXAS!AI68)</f>
        <v>3</v>
      </c>
      <c r="E68" s="79" t="s">
        <v>328</v>
      </c>
      <c r="F68" s="335"/>
      <c r="G68" s="82">
        <v>3</v>
      </c>
      <c r="H68" s="336"/>
      <c r="I68" s="337"/>
      <c r="J68" s="337"/>
      <c r="K68" s="338"/>
      <c r="L68" s="333" t="str">
        <f>IF(Configurações!$G$4="Ligado",IF(AND(Baixas_Mantimentos[[#This Row],[Total]]=0,'Qtd Pessoas'!$K$10=0),"0",Baixas_Mantimentos[[#This Row],[Total]]/'Qtd Pessoas'!$K$10),"")</f>
        <v/>
      </c>
      <c r="M68" s="343"/>
      <c r="N68" s="339"/>
    </row>
    <row r="69" spans="2:14" ht="15.75">
      <c r="B69" s="326" t="s">
        <v>311</v>
      </c>
      <c r="C69" s="327" t="str">
        <f>INDEX(Cadastro_Mantimentos[[#All],[Colunas4]],MATCH(ROW()-5,Cadastro_Mantimentos[[#All],[Colunas2]],0))</f>
        <v>Gelatina  Cereja</v>
      </c>
      <c r="D69" s="328">
        <f ca="1">G69+(ENTRADAS!AI69)-(BAIXAS!AI69)</f>
        <v>4</v>
      </c>
      <c r="E69" s="79" t="s">
        <v>328</v>
      </c>
      <c r="F69" s="335"/>
      <c r="G69" s="82">
        <v>5</v>
      </c>
      <c r="H69" s="336"/>
      <c r="I69" s="337"/>
      <c r="J69" s="337"/>
      <c r="K69" s="338"/>
      <c r="L69" s="333" t="str">
        <f>IF(Configurações!$G$4="Ligado",IF(AND(Baixas_Mantimentos[[#This Row],[Total]]=0,'Qtd Pessoas'!$K$10=0),"0",Baixas_Mantimentos[[#This Row],[Total]]/'Qtd Pessoas'!$K$10),"")</f>
        <v/>
      </c>
      <c r="M69" s="343"/>
      <c r="N69" s="339"/>
    </row>
    <row r="70" spans="2:14" ht="15.75">
      <c r="B70" s="326" t="s">
        <v>311</v>
      </c>
      <c r="C70" s="327" t="str">
        <f>INDEX(Cadastro_Mantimentos[[#All],[Colunas4]],MATCH(ROW()-5,Cadastro_Mantimentos[[#All],[Colunas2]],0))</f>
        <v>Gelatina  Framboesa</v>
      </c>
      <c r="D70" s="328">
        <f ca="1">G70+(ENTRADAS!AI70)-(BAIXAS!AI70)</f>
        <v>0</v>
      </c>
      <c r="E70" s="79" t="s">
        <v>328</v>
      </c>
      <c r="F70" s="335"/>
      <c r="G70" s="82">
        <v>3</v>
      </c>
      <c r="H70" s="336"/>
      <c r="I70" s="337"/>
      <c r="J70" s="337"/>
      <c r="K70" s="338"/>
      <c r="L70" s="333" t="str">
        <f>IF(Configurações!$G$4="Ligado",IF(AND(Baixas_Mantimentos[[#This Row],[Total]]=0,'Qtd Pessoas'!$K$10=0),"0",Baixas_Mantimentos[[#This Row],[Total]]/'Qtd Pessoas'!$K$10),"")</f>
        <v/>
      </c>
      <c r="M70" s="343"/>
      <c r="N70" s="339"/>
    </row>
    <row r="71" spans="2:14" ht="15.75">
      <c r="B71" s="326" t="s">
        <v>311</v>
      </c>
      <c r="C71" s="327" t="str">
        <f>INDEX(Cadastro_Mantimentos[[#All],[Colunas4]],MATCH(ROW()-5,Cadastro_Mantimentos[[#All],[Colunas2]],0))</f>
        <v>Gelatina  Limão</v>
      </c>
      <c r="D71" s="328">
        <f ca="1">G71+(ENTRADAS!AI71)-(BAIXAS!AI71)</f>
        <v>3</v>
      </c>
      <c r="E71" s="79" t="s">
        <v>328</v>
      </c>
      <c r="F71" s="335"/>
      <c r="G71" s="82">
        <v>3</v>
      </c>
      <c r="H71" s="336"/>
      <c r="I71" s="337"/>
      <c r="J71" s="337"/>
      <c r="K71" s="338"/>
      <c r="L71" s="333" t="str">
        <f>IF(Configurações!$G$4="Ligado",IF(AND(Baixas_Mantimentos[[#This Row],[Total]]=0,'Qtd Pessoas'!$K$10=0),"0",Baixas_Mantimentos[[#This Row],[Total]]/'Qtd Pessoas'!$K$10),"")</f>
        <v/>
      </c>
      <c r="M71" s="343"/>
      <c r="N71" s="339"/>
    </row>
    <row r="72" spans="2:14" ht="15.75">
      <c r="B72" s="326" t="s">
        <v>311</v>
      </c>
      <c r="C72" s="327" t="str">
        <f>INDEX(Cadastro_Mantimentos[[#All],[Colunas4]],MATCH(ROW()-5,Cadastro_Mantimentos[[#All],[Colunas2]],0))</f>
        <v>Gelatina  Morango</v>
      </c>
      <c r="D72" s="328">
        <f ca="1">G72+(ENTRADAS!AI72)-(BAIXAS!AI72)</f>
        <v>3</v>
      </c>
      <c r="E72" s="79" t="s">
        <v>328</v>
      </c>
      <c r="F72" s="335"/>
      <c r="G72" s="82">
        <v>3</v>
      </c>
      <c r="H72" s="336"/>
      <c r="I72" s="337"/>
      <c r="J72" s="337"/>
      <c r="K72" s="338"/>
      <c r="L72" s="333" t="str">
        <f>IF(Configurações!$G$4="Ligado",IF(AND(Baixas_Mantimentos[[#This Row],[Total]]=0,'Qtd Pessoas'!$K$10=0),"0",Baixas_Mantimentos[[#This Row],[Total]]/'Qtd Pessoas'!$K$10),"")</f>
        <v/>
      </c>
      <c r="M72" s="343"/>
      <c r="N72" s="339"/>
    </row>
    <row r="73" spans="2:14" ht="15.75">
      <c r="B73" s="326" t="s">
        <v>311</v>
      </c>
      <c r="C73" s="327" t="str">
        <f>INDEX(Cadastro_Mantimentos[[#All],[Colunas4]],MATCH(ROW()-5,Cadastro_Mantimentos[[#All],[Colunas2]],0))</f>
        <v>Gelatina  Pêssego</v>
      </c>
      <c r="D73" s="328">
        <f ca="1">G73+(ENTRADAS!AI73)-(BAIXAS!AI73)</f>
        <v>1</v>
      </c>
      <c r="E73" s="79" t="s">
        <v>328</v>
      </c>
      <c r="F73" s="335"/>
      <c r="G73" s="82">
        <v>3</v>
      </c>
      <c r="H73" s="336"/>
      <c r="I73" s="337"/>
      <c r="J73" s="337"/>
      <c r="K73" s="338"/>
      <c r="L73" s="333" t="str">
        <f>IF(Configurações!$G$4="Ligado",IF(AND(Baixas_Mantimentos[[#This Row],[Total]]=0,'Qtd Pessoas'!$K$10=0),"0",Baixas_Mantimentos[[#This Row],[Total]]/'Qtd Pessoas'!$K$10),"")</f>
        <v/>
      </c>
      <c r="M73" s="343"/>
      <c r="N73" s="339"/>
    </row>
    <row r="74" spans="2:14" ht="15.75">
      <c r="B74" s="326" t="s">
        <v>311</v>
      </c>
      <c r="C74" s="327" t="str">
        <f>INDEX(Cadastro_Mantimentos[[#All],[Colunas4]],MATCH(ROW()-5,Cadastro_Mantimentos[[#All],[Colunas2]],0))</f>
        <v>Gelatina  S/Sabor</v>
      </c>
      <c r="D74" s="328">
        <f ca="1">G74+(ENTRADAS!AI74)-(BAIXAS!AI74)</f>
        <v>1.5</v>
      </c>
      <c r="E74" s="79" t="s">
        <v>328</v>
      </c>
      <c r="F74" s="335"/>
      <c r="G74" s="82">
        <v>1.5</v>
      </c>
      <c r="H74" s="336"/>
      <c r="I74" s="337"/>
      <c r="J74" s="337"/>
      <c r="K74" s="338"/>
      <c r="L74" s="333" t="str">
        <f>IF(Configurações!$G$4="Ligado",IF(AND(Baixas_Mantimentos[[#This Row],[Total]]=0,'Qtd Pessoas'!$K$10=0),"0",Baixas_Mantimentos[[#This Row],[Total]]/'Qtd Pessoas'!$K$10),"")</f>
        <v/>
      </c>
      <c r="M74" s="343"/>
      <c r="N74" s="339"/>
    </row>
    <row r="75" spans="2:14" ht="15.75">
      <c r="B75" s="326" t="s">
        <v>311</v>
      </c>
      <c r="C75" s="327" t="str">
        <f>INDEX(Cadastro_Mantimentos[[#All],[Colunas4]],MATCH(ROW()-5,Cadastro_Mantimentos[[#All],[Colunas2]],0))</f>
        <v>Gelatina  Uva</v>
      </c>
      <c r="D75" s="328">
        <f ca="1">G75+(ENTRADAS!AI75)-(BAIXAS!AI75)</f>
        <v>2</v>
      </c>
      <c r="E75" s="79" t="s">
        <v>328</v>
      </c>
      <c r="F75" s="335"/>
      <c r="G75" s="82">
        <v>3</v>
      </c>
      <c r="H75" s="336"/>
      <c r="I75" s="337"/>
      <c r="J75" s="337"/>
      <c r="K75" s="338"/>
      <c r="L75" s="333" t="str">
        <f>IF(Configurações!$G$4="Ligado",IF(AND(Baixas_Mantimentos[[#This Row],[Total]]=0,'Qtd Pessoas'!$K$10=0),"0",Baixas_Mantimentos[[#This Row],[Total]]/'Qtd Pessoas'!$K$10),"")</f>
        <v/>
      </c>
      <c r="M75" s="343"/>
      <c r="N75" s="339"/>
    </row>
    <row r="76" spans="2:14" ht="15.75">
      <c r="B76" s="326" t="s">
        <v>311</v>
      </c>
      <c r="C76" s="327" t="str">
        <f>INDEX(Cadastro_Mantimentos[[#All],[Colunas4]],MATCH(ROW()-5,Cadastro_Mantimentos[[#All],[Colunas2]],0))</f>
        <v>Geleia Sache</v>
      </c>
      <c r="D76" s="328">
        <f ca="1">G76+(ENTRADAS!AI76)-(BAIXAS!AI76)</f>
        <v>4</v>
      </c>
      <c r="E76" s="79" t="s">
        <v>331</v>
      </c>
      <c r="F76" s="335"/>
      <c r="G76" s="82">
        <v>7</v>
      </c>
      <c r="H76" s="336"/>
      <c r="I76" s="337"/>
      <c r="J76" s="337"/>
      <c r="K76" s="338"/>
      <c r="L76" s="333" t="str">
        <f>IF(Configurações!$G$4="Ligado",IF(AND(Baixas_Mantimentos[[#This Row],[Total]]=0,'Qtd Pessoas'!$K$10=0),"0",Baixas_Mantimentos[[#This Row],[Total]]/'Qtd Pessoas'!$K$10),"")</f>
        <v/>
      </c>
      <c r="M76" s="343"/>
      <c r="N76" s="339"/>
    </row>
    <row r="77" spans="2:14" ht="15.75">
      <c r="B77" s="326" t="s">
        <v>311</v>
      </c>
      <c r="C77" s="327" t="str">
        <f>INDEX(Cadastro_Mantimentos[[#All],[Colunas4]],MATCH(ROW()-5,Cadastro_Mantimentos[[#All],[Colunas2]],0))</f>
        <v>Gergelim</v>
      </c>
      <c r="D77" s="328">
        <f ca="1">G77+(ENTRADAS!AI77)-(BAIXAS!AI77)</f>
        <v>0</v>
      </c>
      <c r="E77" s="79" t="s">
        <v>328</v>
      </c>
      <c r="F77" s="335"/>
      <c r="G77" s="82">
        <v>0</v>
      </c>
      <c r="H77" s="336"/>
      <c r="I77" s="337"/>
      <c r="J77" s="337"/>
      <c r="K77" s="338"/>
      <c r="L77" s="333" t="str">
        <f>IF(Configurações!$G$4="Ligado",IF(AND(Baixas_Mantimentos[[#This Row],[Total]]=0,'Qtd Pessoas'!$K$10=0),"0",Baixas_Mantimentos[[#This Row],[Total]]/'Qtd Pessoas'!$K$10),"")</f>
        <v/>
      </c>
      <c r="M77" s="343"/>
      <c r="N77" s="339"/>
    </row>
    <row r="78" spans="2:14" ht="15.75">
      <c r="B78" s="326" t="s">
        <v>311</v>
      </c>
      <c r="C78" s="327" t="str">
        <f>INDEX(Cadastro_Mantimentos[[#All],[Colunas4]],MATCH(ROW()-5,Cadastro_Mantimentos[[#All],[Colunas2]],0))</f>
        <v>Gergelim Branco</v>
      </c>
      <c r="D78" s="328">
        <f ca="1">G78+(ENTRADAS!AI78)-(BAIXAS!AI78)</f>
        <v>0</v>
      </c>
      <c r="E78" s="79" t="s">
        <v>328</v>
      </c>
      <c r="F78" s="335"/>
      <c r="G78" s="82">
        <v>0</v>
      </c>
      <c r="H78" s="336"/>
      <c r="I78" s="337"/>
      <c r="J78" s="337"/>
      <c r="K78" s="338"/>
      <c r="L78" s="333" t="str">
        <f>IF(Configurações!$G$4="Ligado",IF(AND(Baixas_Mantimentos[[#This Row],[Total]]=0,'Qtd Pessoas'!$K$10=0),"0",Baixas_Mantimentos[[#This Row],[Total]]/'Qtd Pessoas'!$K$10),"")</f>
        <v/>
      </c>
      <c r="M78" s="343"/>
      <c r="N78" s="339"/>
    </row>
    <row r="79" spans="2:14" ht="15.75">
      <c r="B79" s="326" t="s">
        <v>311</v>
      </c>
      <c r="C79" s="327" t="str">
        <f>INDEX(Cadastro_Mantimentos[[#All],[Colunas4]],MATCH(ROW()-5,Cadastro_Mantimentos[[#All],[Colunas2]],0))</f>
        <v>Gergelim Preto</v>
      </c>
      <c r="D79" s="328">
        <f ca="1">G79+(ENTRADAS!AI79)-(BAIXAS!AI79)</f>
        <v>0</v>
      </c>
      <c r="E79" s="79" t="s">
        <v>328</v>
      </c>
      <c r="F79" s="335"/>
      <c r="G79" s="82">
        <v>0</v>
      </c>
      <c r="H79" s="336"/>
      <c r="I79" s="337"/>
      <c r="J79" s="337"/>
      <c r="K79" s="338"/>
      <c r="L79" s="333" t="str">
        <f>IF(Configurações!$G$4="Ligado",IF(AND(Baixas_Mantimentos[[#This Row],[Total]]=0,'Qtd Pessoas'!$K$10=0),"0",Baixas_Mantimentos[[#This Row],[Total]]/'Qtd Pessoas'!$K$10),"")</f>
        <v/>
      </c>
      <c r="M79" s="343"/>
      <c r="N79" s="339"/>
    </row>
    <row r="80" spans="2:14" ht="15.75">
      <c r="B80" s="326" t="s">
        <v>311</v>
      </c>
      <c r="C80" s="327" t="str">
        <f>INDEX(Cadastro_Mantimentos[[#All],[Colunas4]],MATCH(ROW()-5,Cadastro_Mantimentos[[#All],[Colunas2]],0))</f>
        <v>Goiaba Em Calda</v>
      </c>
      <c r="D80" s="328">
        <f ca="1">G80+(ENTRADAS!AI80)-(BAIXAS!AI80)</f>
        <v>0</v>
      </c>
      <c r="E80" s="79"/>
      <c r="F80" s="335"/>
      <c r="G80" s="82">
        <v>0</v>
      </c>
      <c r="H80" s="336"/>
      <c r="I80" s="337"/>
      <c r="J80" s="337"/>
      <c r="K80" s="338"/>
      <c r="L80" s="333" t="str">
        <f>IF(Configurações!$G$4="Ligado",IF(AND(Baixas_Mantimentos[[#This Row],[Total]]=0,'Qtd Pessoas'!$K$10=0),"0",Baixas_Mantimentos[[#This Row],[Total]]/'Qtd Pessoas'!$K$10),"")</f>
        <v/>
      </c>
      <c r="M80" s="343"/>
      <c r="N80" s="339"/>
    </row>
    <row r="81" spans="2:14" ht="15.75">
      <c r="B81" s="326" t="s">
        <v>311</v>
      </c>
      <c r="C81" s="327" t="str">
        <f>INDEX(Cadastro_Mantimentos[[#All],[Colunas4]],MATCH(ROW()-5,Cadastro_Mantimentos[[#All],[Colunas2]],0))</f>
        <v xml:space="preserve">Gordura Vegetal </v>
      </c>
      <c r="D81" s="328">
        <f ca="1">G81+(ENTRADAS!AI81)-(BAIXAS!AI81)</f>
        <v>75</v>
      </c>
      <c r="E81" s="79" t="s">
        <v>328</v>
      </c>
      <c r="F81" s="335"/>
      <c r="G81" s="82">
        <v>45</v>
      </c>
      <c r="H81" s="336"/>
      <c r="I81" s="337"/>
      <c r="J81" s="337"/>
      <c r="K81" s="338"/>
      <c r="L81" s="333" t="str">
        <f>IF(Configurações!$G$4="Ligado",IF(AND(Baixas_Mantimentos[[#This Row],[Total]]=0,'Qtd Pessoas'!$K$10=0),"0",Baixas_Mantimentos[[#This Row],[Total]]/'Qtd Pessoas'!$K$10),"")</f>
        <v/>
      </c>
      <c r="M81" s="343"/>
      <c r="N81" s="339"/>
    </row>
    <row r="82" spans="2:14" ht="15.75">
      <c r="B82" s="326" t="s">
        <v>311</v>
      </c>
      <c r="C82" s="327" t="str">
        <f>INDEX(Cadastro_Mantimentos[[#All],[Colunas4]],MATCH(ROW()-5,Cadastro_Mantimentos[[#All],[Colunas2]],0))</f>
        <v xml:space="preserve">Grão De Bico </v>
      </c>
      <c r="D82" s="328">
        <f ca="1">G82+(ENTRADAS!AI82)-(BAIXAS!AI82)</f>
        <v>5</v>
      </c>
      <c r="E82" s="79" t="s">
        <v>328</v>
      </c>
      <c r="F82" s="335"/>
      <c r="G82" s="82">
        <v>5</v>
      </c>
      <c r="H82" s="336"/>
      <c r="I82" s="337"/>
      <c r="J82" s="337"/>
      <c r="K82" s="338"/>
      <c r="L82" s="333" t="str">
        <f>IF(Configurações!$G$4="Ligado",IF(AND(Baixas_Mantimentos[[#This Row],[Total]]=0,'Qtd Pessoas'!$K$10=0),"0",Baixas_Mantimentos[[#This Row],[Total]]/'Qtd Pessoas'!$K$10),"")</f>
        <v/>
      </c>
      <c r="M82" s="343"/>
      <c r="N82" s="339"/>
    </row>
    <row r="83" spans="2:14" ht="15.75">
      <c r="B83" s="326" t="s">
        <v>311</v>
      </c>
      <c r="C83" s="327" t="str">
        <f>INDEX(Cadastro_Mantimentos[[#All],[Colunas4]],MATCH(ROW()-5,Cadastro_Mantimentos[[#All],[Colunas2]],0))</f>
        <v xml:space="preserve">katchup </v>
      </c>
      <c r="D83" s="328">
        <f ca="1">G83+(ENTRADAS!AI83)-(BAIXAS!AI83)</f>
        <v>8.3000000000000007</v>
      </c>
      <c r="E83" s="79" t="s">
        <v>328</v>
      </c>
      <c r="F83" s="335"/>
      <c r="G83" s="82">
        <v>5.3</v>
      </c>
      <c r="H83" s="336"/>
      <c r="I83" s="337"/>
      <c r="J83" s="337"/>
      <c r="K83" s="338"/>
      <c r="L83" s="333" t="str">
        <f>IF(Configurações!$G$4="Ligado",IF(AND(Baixas_Mantimentos[[#This Row],[Total]]=0,'Qtd Pessoas'!$K$10=0),"0",Baixas_Mantimentos[[#This Row],[Total]]/'Qtd Pessoas'!$K$10),"")</f>
        <v/>
      </c>
      <c r="M83" s="343"/>
      <c r="N83" s="339"/>
    </row>
    <row r="84" spans="2:14" ht="15.75">
      <c r="B84" s="326" t="s">
        <v>311</v>
      </c>
      <c r="C84" s="327" t="str">
        <f>INDEX(Cadastro_Mantimentos[[#All],[Colunas4]],MATCH(ROW()-5,Cadastro_Mantimentos[[#All],[Colunas2]],0))</f>
        <v>Leite Condensado</v>
      </c>
      <c r="D84" s="328">
        <f ca="1">G84+(ENTRADAS!AI84)-(BAIXAS!AI84)</f>
        <v>19</v>
      </c>
      <c r="E84" s="79" t="s">
        <v>330</v>
      </c>
      <c r="F84" s="335"/>
      <c r="G84" s="82">
        <v>70</v>
      </c>
      <c r="H84" s="336"/>
      <c r="I84" s="337"/>
      <c r="J84" s="337"/>
      <c r="K84" s="338"/>
      <c r="L84" s="333" t="str">
        <f>IF(Configurações!$G$4="Ligado",IF(AND(Baixas_Mantimentos[[#This Row],[Total]]=0,'Qtd Pessoas'!$K$10=0),"0",Baixas_Mantimentos[[#This Row],[Total]]/'Qtd Pessoas'!$K$10),"")</f>
        <v/>
      </c>
      <c r="M84" s="343"/>
      <c r="N84" s="339"/>
    </row>
    <row r="85" spans="2:14" ht="15.75">
      <c r="B85" s="326" t="s">
        <v>311</v>
      </c>
      <c r="C85" s="327" t="str">
        <f>INDEX(Cadastro_Mantimentos[[#All],[Colunas4]],MATCH(ROW()-5,Cadastro_Mantimentos[[#All],[Colunas2]],0))</f>
        <v xml:space="preserve">Leite De Coco </v>
      </c>
      <c r="D85" s="328">
        <f ca="1">G85+(ENTRADAS!AI85)-(BAIXAS!AI85)</f>
        <v>5.5</v>
      </c>
      <c r="E85" s="79" t="s">
        <v>329</v>
      </c>
      <c r="F85" s="335"/>
      <c r="G85" s="82">
        <v>3.5</v>
      </c>
      <c r="H85" s="336"/>
      <c r="I85" s="337"/>
      <c r="J85" s="337"/>
      <c r="K85" s="338"/>
      <c r="L85" s="333" t="str">
        <f>IF(Configurações!$G$4="Ligado",IF(AND(Baixas_Mantimentos[[#This Row],[Total]]=0,'Qtd Pessoas'!$K$10=0),"0",Baixas_Mantimentos[[#This Row],[Total]]/'Qtd Pessoas'!$K$10),"")</f>
        <v/>
      </c>
      <c r="M85" s="343"/>
      <c r="N85" s="339"/>
    </row>
    <row r="86" spans="2:14" ht="15.75">
      <c r="B86" s="326" t="s">
        <v>311</v>
      </c>
      <c r="C86" s="327" t="str">
        <f>INDEX(Cadastro_Mantimentos[[#All],[Colunas4]],MATCH(ROW()-5,Cadastro_Mantimentos[[#All],[Colunas2]],0))</f>
        <v>Leite Uht Integral</v>
      </c>
      <c r="D86" s="328">
        <f ca="1">G86+(ENTRADAS!AI86)-(BAIXAS!AI86)</f>
        <v>22</v>
      </c>
      <c r="E86" s="79" t="s">
        <v>331</v>
      </c>
      <c r="F86" s="335"/>
      <c r="G86" s="82">
        <v>15</v>
      </c>
      <c r="H86" s="336"/>
      <c r="I86" s="337"/>
      <c r="J86" s="337"/>
      <c r="K86" s="338"/>
      <c r="L86" s="333" t="str">
        <f>IF(Configurações!$G$4="Ligado",IF(AND(Baixas_Mantimentos[[#This Row],[Total]]=0,'Qtd Pessoas'!$K$10=0),"0",Baixas_Mantimentos[[#This Row],[Total]]/'Qtd Pessoas'!$K$10),"")</f>
        <v/>
      </c>
      <c r="M86" s="343"/>
      <c r="N86" s="339"/>
    </row>
    <row r="87" spans="2:14" ht="15.75">
      <c r="B87" s="326" t="s">
        <v>311</v>
      </c>
      <c r="C87" s="327" t="str">
        <f>INDEX(Cadastro_Mantimentos[[#All],[Colunas4]],MATCH(ROW()-5,Cadastro_Mantimentos[[#All],[Colunas2]],0))</f>
        <v>Lentilha</v>
      </c>
      <c r="D87" s="328">
        <f ca="1">G87+(ENTRADAS!AI87)-(BAIXAS!AI87)</f>
        <v>6</v>
      </c>
      <c r="E87" s="79" t="s">
        <v>328</v>
      </c>
      <c r="F87" s="335"/>
      <c r="G87" s="82">
        <v>10</v>
      </c>
      <c r="H87" s="336"/>
      <c r="I87" s="337"/>
      <c r="J87" s="337"/>
      <c r="K87" s="338"/>
      <c r="L87" s="333" t="str">
        <f>IF(Configurações!$G$4="Ligado",IF(AND(Baixas_Mantimentos[[#This Row],[Total]]=0,'Qtd Pessoas'!$K$10=0),"0",Baixas_Mantimentos[[#This Row],[Total]]/'Qtd Pessoas'!$K$10),"")</f>
        <v/>
      </c>
      <c r="M87" s="343"/>
      <c r="N87" s="339"/>
    </row>
    <row r="88" spans="2:14" ht="15.75">
      <c r="B88" s="326" t="s">
        <v>311</v>
      </c>
      <c r="C88" s="327" t="str">
        <f>INDEX(Cadastro_Mantimentos[[#All],[Colunas4]],MATCH(ROW()-5,Cadastro_Mantimentos[[#All],[Colunas2]],0))</f>
        <v>Macarrão Espaguete</v>
      </c>
      <c r="D88" s="328">
        <f ca="1">G88+(ENTRADAS!AI88)-(BAIXAS!AI88)</f>
        <v>8</v>
      </c>
      <c r="E88" s="79" t="s">
        <v>328</v>
      </c>
      <c r="F88" s="335"/>
      <c r="G88" s="82">
        <v>20.5</v>
      </c>
      <c r="H88" s="336"/>
      <c r="I88" s="337"/>
      <c r="J88" s="337"/>
      <c r="K88" s="338"/>
      <c r="L88" s="333" t="str">
        <f>IF(Configurações!$G$4="Ligado",IF(AND(Baixas_Mantimentos[[#This Row],[Total]]=0,'Qtd Pessoas'!$K$10=0),"0",Baixas_Mantimentos[[#This Row],[Total]]/'Qtd Pessoas'!$K$10),"")</f>
        <v/>
      </c>
      <c r="M88" s="343"/>
      <c r="N88" s="339"/>
    </row>
    <row r="89" spans="2:14" ht="15.75">
      <c r="B89" s="326" t="s">
        <v>311</v>
      </c>
      <c r="C89" s="327" t="str">
        <f>INDEX(Cadastro_Mantimentos[[#All],[Colunas4]],MATCH(ROW()-5,Cadastro_Mantimentos[[#All],[Colunas2]],0))</f>
        <v>Macarrão Parafuso</v>
      </c>
      <c r="D89" s="328">
        <f ca="1">G89+(ENTRADAS!AI89)-(BAIXAS!AI89)</f>
        <v>4</v>
      </c>
      <c r="E89" s="79" t="s">
        <v>328</v>
      </c>
      <c r="F89" s="335"/>
      <c r="G89" s="82">
        <v>5.5</v>
      </c>
      <c r="H89" s="336"/>
      <c r="I89" s="337"/>
      <c r="J89" s="337"/>
      <c r="K89" s="338"/>
      <c r="L89" s="333" t="str">
        <f>IF(Configurações!$G$4="Ligado",IF(AND(Baixas_Mantimentos[[#This Row],[Total]]=0,'Qtd Pessoas'!$K$10=0),"0",Baixas_Mantimentos[[#This Row],[Total]]/'Qtd Pessoas'!$K$10),"")</f>
        <v/>
      </c>
      <c r="M89" s="343"/>
      <c r="N89" s="339"/>
    </row>
    <row r="90" spans="2:14" ht="15.75">
      <c r="B90" s="326" t="s">
        <v>311</v>
      </c>
      <c r="C90" s="327" t="str">
        <f>INDEX(Cadastro_Mantimentos[[#All],[Colunas4]],MATCH(ROW()-5,Cadastro_Mantimentos[[#All],[Colunas2]],0))</f>
        <v>Macarrão Penne</v>
      </c>
      <c r="D90" s="328">
        <f ca="1">G90+(ENTRADAS!AI90)-(BAIXAS!AI90)</f>
        <v>0</v>
      </c>
      <c r="E90" s="79" t="s">
        <v>328</v>
      </c>
      <c r="F90" s="335"/>
      <c r="G90" s="82">
        <v>0</v>
      </c>
      <c r="H90" s="336"/>
      <c r="I90" s="337"/>
      <c r="J90" s="337"/>
      <c r="K90" s="338"/>
      <c r="L90" s="333" t="str">
        <f>IF(Configurações!$G$4="Ligado",IF(AND(Baixas_Mantimentos[[#This Row],[Total]]=0,'Qtd Pessoas'!$K$10=0),"0",Baixas_Mantimentos[[#This Row],[Total]]/'Qtd Pessoas'!$K$10),"")</f>
        <v/>
      </c>
      <c r="M90" s="343"/>
      <c r="N90" s="339"/>
    </row>
    <row r="91" spans="2:14" ht="15.75">
      <c r="B91" s="326" t="s">
        <v>311</v>
      </c>
      <c r="C91" s="327" t="str">
        <f>INDEX(Cadastro_Mantimentos[[#All],[Colunas4]],MATCH(ROW()-5,Cadastro_Mantimentos[[#All],[Colunas2]],0))</f>
        <v>Macarrão Sopa</v>
      </c>
      <c r="D91" s="328">
        <f ca="1">G91+(ENTRADAS!AI91)-(BAIXAS!AI91)</f>
        <v>10</v>
      </c>
      <c r="E91" s="79" t="s">
        <v>328</v>
      </c>
      <c r="F91" s="335"/>
      <c r="G91" s="82">
        <v>11</v>
      </c>
      <c r="H91" s="336"/>
      <c r="I91" s="337"/>
      <c r="J91" s="337"/>
      <c r="K91" s="338"/>
      <c r="L91" s="333" t="str">
        <f>IF(Configurações!$G$4="Ligado",IF(AND(Baixas_Mantimentos[[#This Row],[Total]]=0,'Qtd Pessoas'!$K$10=0),"0",Baixas_Mantimentos[[#This Row],[Total]]/'Qtd Pessoas'!$K$10),"")</f>
        <v/>
      </c>
      <c r="M91" s="343"/>
      <c r="N91" s="339"/>
    </row>
    <row r="92" spans="2:14" ht="15.75">
      <c r="B92" s="326" t="s">
        <v>311</v>
      </c>
      <c r="C92" s="327" t="str">
        <f>INDEX(Cadastro_Mantimentos[[#All],[Colunas4]],MATCH(ROW()-5,Cadastro_Mantimentos[[#All],[Colunas2]],0))</f>
        <v>Macarrão Yaksoba</v>
      </c>
      <c r="D92" s="328">
        <f ca="1">G92+(ENTRADAS!AI92)-(BAIXAS!AI92)</f>
        <v>0</v>
      </c>
      <c r="E92" s="79" t="s">
        <v>328</v>
      </c>
      <c r="F92" s="335"/>
      <c r="G92" s="82">
        <v>0</v>
      </c>
      <c r="H92" s="336"/>
      <c r="I92" s="337"/>
      <c r="J92" s="337"/>
      <c r="K92" s="338"/>
      <c r="L92" s="333" t="str">
        <f>IF(Configurações!$G$4="Ligado",IF(AND(Baixas_Mantimentos[[#This Row],[Total]]=0,'Qtd Pessoas'!$K$10=0),"0",Baixas_Mantimentos[[#This Row],[Total]]/'Qtd Pessoas'!$K$10),"")</f>
        <v/>
      </c>
      <c r="M92" s="343"/>
      <c r="N92" s="339"/>
    </row>
    <row r="93" spans="2:14" ht="15.75">
      <c r="B93" s="326" t="s">
        <v>311</v>
      </c>
      <c r="C93" s="327" t="str">
        <f>INDEX(Cadastro_Mantimentos[[#All],[Colunas4]],MATCH(ROW()-5,Cadastro_Mantimentos[[#All],[Colunas2]],0))</f>
        <v>Maionese</v>
      </c>
      <c r="D93" s="328">
        <f ca="1">G93+(ENTRADAS!AI93)-(BAIXAS!AI93)</f>
        <v>18</v>
      </c>
      <c r="E93" s="79" t="s">
        <v>328</v>
      </c>
      <c r="F93" s="335"/>
      <c r="G93" s="82">
        <v>10</v>
      </c>
      <c r="H93" s="336"/>
      <c r="I93" s="337"/>
      <c r="J93" s="337"/>
      <c r="K93" s="338"/>
      <c r="L93" s="333" t="str">
        <f>IF(Configurações!$G$4="Ligado",IF(AND(Baixas_Mantimentos[[#This Row],[Total]]=0,'Qtd Pessoas'!$K$10=0),"0",Baixas_Mantimentos[[#This Row],[Total]]/'Qtd Pessoas'!$K$10),"")</f>
        <v/>
      </c>
      <c r="M93" s="343"/>
      <c r="N93" s="339"/>
    </row>
    <row r="94" spans="2:14" ht="15.75">
      <c r="B94" s="326" t="s">
        <v>311</v>
      </c>
      <c r="C94" s="327" t="str">
        <f>INDEX(Cadastro_Mantimentos[[#All],[Colunas4]],MATCH(ROW()-5,Cadastro_Mantimentos[[#All],[Colunas2]],0))</f>
        <v xml:space="preserve">Margarina </v>
      </c>
      <c r="D94" s="328">
        <f ca="1">G94+(ENTRADAS!AI94)-(BAIXAS!AI94)</f>
        <v>15</v>
      </c>
      <c r="E94" s="79" t="s">
        <v>329</v>
      </c>
      <c r="F94" s="335"/>
      <c r="G94" s="82">
        <v>15</v>
      </c>
      <c r="H94" s="336"/>
      <c r="I94" s="337"/>
      <c r="J94" s="337"/>
      <c r="K94" s="338"/>
      <c r="L94" s="333" t="str">
        <f>IF(Configurações!$G$4="Ligado",IF(AND(Baixas_Mantimentos[[#This Row],[Total]]=0,'Qtd Pessoas'!$K$10=0),"0",Baixas_Mantimentos[[#This Row],[Total]]/'Qtd Pessoas'!$K$10),"")</f>
        <v/>
      </c>
      <c r="M94" s="343"/>
      <c r="N94" s="339"/>
    </row>
    <row r="95" spans="2:14" ht="15.75">
      <c r="B95" s="326" t="s">
        <v>311</v>
      </c>
      <c r="C95" s="327" t="str">
        <f>INDEX(Cadastro_Mantimentos[[#All],[Colunas4]],MATCH(ROW()-5,Cadastro_Mantimentos[[#All],[Colunas2]],0))</f>
        <v>Margarina  Sachê</v>
      </c>
      <c r="D95" s="328">
        <f ca="1">G95+(ENTRADAS!AI95)-(BAIXAS!AI95)</f>
        <v>5</v>
      </c>
      <c r="E95" s="79"/>
      <c r="F95" s="335"/>
      <c r="G95" s="82">
        <v>3</v>
      </c>
      <c r="H95" s="336"/>
      <c r="I95" s="337"/>
      <c r="J95" s="337"/>
      <c r="K95" s="338"/>
      <c r="L95" s="333" t="str">
        <f>IF(Configurações!$G$4="Ligado",IF(AND(Baixas_Mantimentos[[#This Row],[Total]]=0,'Qtd Pessoas'!$K$10=0),"0",Baixas_Mantimentos[[#This Row],[Total]]/'Qtd Pessoas'!$K$10),"")</f>
        <v/>
      </c>
      <c r="M95" s="343"/>
      <c r="N95" s="339"/>
    </row>
    <row r="96" spans="2:14" ht="15.75">
      <c r="B96" s="326" t="s">
        <v>311</v>
      </c>
      <c r="C96" s="327" t="str">
        <f>INDEX(Cadastro_Mantimentos[[#All],[Colunas4]],MATCH(ROW()-5,Cadastro_Mantimentos[[#All],[Colunas2]],0))</f>
        <v xml:space="preserve">Milho Verde </v>
      </c>
      <c r="D96" s="328">
        <f ca="1">G96+(ENTRADAS!AI96)-(BAIXAS!AI96)</f>
        <v>10</v>
      </c>
      <c r="E96" s="79" t="s">
        <v>328</v>
      </c>
      <c r="F96" s="335"/>
      <c r="G96" s="82">
        <v>21</v>
      </c>
      <c r="H96" s="336"/>
      <c r="I96" s="337"/>
      <c r="J96" s="337"/>
      <c r="K96" s="338"/>
      <c r="L96" s="333" t="str">
        <f>IF(Configurações!$G$4="Ligado",IF(AND(Baixas_Mantimentos[[#This Row],[Total]]=0,'Qtd Pessoas'!$K$10=0),"0",Baixas_Mantimentos[[#This Row],[Total]]/'Qtd Pessoas'!$K$10),"")</f>
        <v/>
      </c>
      <c r="M96" s="343"/>
      <c r="N96" s="339"/>
    </row>
    <row r="97" spans="2:14" ht="15.75">
      <c r="B97" s="326" t="s">
        <v>311</v>
      </c>
      <c r="C97" s="327" t="str">
        <f>INDEX(Cadastro_Mantimentos[[#All],[Colunas4]],MATCH(ROW()-5,Cadastro_Mantimentos[[#All],[Colunas2]],0))</f>
        <v>Molho</v>
      </c>
      <c r="D97" s="328">
        <f ca="1">G97+(ENTRADAS!AI97)-(BAIXAS!AI97)</f>
        <v>0</v>
      </c>
      <c r="E97" s="79"/>
      <c r="F97" s="335"/>
      <c r="G97" s="82">
        <v>0</v>
      </c>
      <c r="H97" s="336"/>
      <c r="I97" s="337"/>
      <c r="J97" s="337"/>
      <c r="K97" s="338"/>
      <c r="L97" s="333" t="str">
        <f>IF(Configurações!$G$4="Ligado",IF(AND(Baixas_Mantimentos[[#This Row],[Total]]=0,'Qtd Pessoas'!$K$10=0),"0",Baixas_Mantimentos[[#This Row],[Total]]/'Qtd Pessoas'!$K$10),"")</f>
        <v/>
      </c>
      <c r="M97" s="343"/>
      <c r="N97" s="339"/>
    </row>
    <row r="98" spans="2:14" ht="15.75">
      <c r="B98" s="326" t="s">
        <v>311</v>
      </c>
      <c r="C98" s="327" t="str">
        <f>INDEX(Cadastro_Mantimentos[[#All],[Colunas4]],MATCH(ROW()-5,Cadastro_Mantimentos[[#All],[Colunas2]],0))</f>
        <v>Molho De Tomate</v>
      </c>
      <c r="D98" s="328">
        <f ca="1">G98+(ENTRADAS!AI98)-(BAIXAS!AI98)</f>
        <v>11.599999999999994</v>
      </c>
      <c r="E98" s="79" t="s">
        <v>328</v>
      </c>
      <c r="F98" s="335"/>
      <c r="G98" s="82">
        <v>52.7</v>
      </c>
      <c r="H98" s="336"/>
      <c r="I98" s="337"/>
      <c r="J98" s="337"/>
      <c r="K98" s="338"/>
      <c r="L98" s="333" t="str">
        <f>IF(Configurações!$G$4="Ligado",IF(AND(Baixas_Mantimentos[[#This Row],[Total]]=0,'Qtd Pessoas'!$K$10=0),"0",Baixas_Mantimentos[[#This Row],[Total]]/'Qtd Pessoas'!$K$10),"")</f>
        <v/>
      </c>
      <c r="M98" s="343"/>
      <c r="N98" s="339"/>
    </row>
    <row r="99" spans="2:14" ht="15.75">
      <c r="B99" s="326" t="s">
        <v>311</v>
      </c>
      <c r="C99" s="327" t="str">
        <f>INDEX(Cadastro_Mantimentos[[#All],[Colunas4]],MATCH(ROW()-5,Cadastro_Mantimentos[[#All],[Colunas2]],0))</f>
        <v>Molho Escuro</v>
      </c>
      <c r="D99" s="328">
        <f ca="1">G99+(ENTRADAS!AI99)-(BAIXAS!AI99)</f>
        <v>0</v>
      </c>
      <c r="E99" s="79" t="s">
        <v>329</v>
      </c>
      <c r="F99" s="335"/>
      <c r="G99" s="82">
        <v>1</v>
      </c>
      <c r="H99" s="336"/>
      <c r="I99" s="337"/>
      <c r="J99" s="337"/>
      <c r="K99" s="338"/>
      <c r="L99" s="333" t="str">
        <f>IF(Configurações!$G$4="Ligado",IF(AND(Baixas_Mantimentos[[#This Row],[Total]]=0,'Qtd Pessoas'!$K$10=0),"0",Baixas_Mantimentos[[#This Row],[Total]]/'Qtd Pessoas'!$K$10),"")</f>
        <v/>
      </c>
      <c r="M99" s="343"/>
      <c r="N99" s="339"/>
    </row>
    <row r="100" spans="2:14" ht="15.75">
      <c r="B100" s="326" t="s">
        <v>311</v>
      </c>
      <c r="C100" s="327" t="str">
        <f>INDEX(Cadastro_Mantimentos[[#All],[Colunas4]],MATCH(ROW()-5,Cadastro_Mantimentos[[#All],[Colunas2]],0))</f>
        <v>Molho Ingles</v>
      </c>
      <c r="D100" s="328">
        <f ca="1">G100+(ENTRADAS!AI100)-(BAIXAS!AI100)</f>
        <v>9</v>
      </c>
      <c r="E100" s="79" t="s">
        <v>329</v>
      </c>
      <c r="F100" s="335"/>
      <c r="G100" s="82">
        <v>9</v>
      </c>
      <c r="H100" s="336"/>
      <c r="I100" s="337"/>
      <c r="J100" s="337"/>
      <c r="K100" s="338"/>
      <c r="L100" s="333" t="str">
        <f>IF(Configurações!$G$4="Ligado",IF(AND(Baixas_Mantimentos[[#This Row],[Total]]=0,'Qtd Pessoas'!$K$10=0),"0",Baixas_Mantimentos[[#This Row],[Total]]/'Qtd Pessoas'!$K$10),"")</f>
        <v/>
      </c>
      <c r="M100" s="343"/>
      <c r="N100" s="339"/>
    </row>
    <row r="101" spans="2:14" ht="15.75">
      <c r="B101" s="326" t="s">
        <v>311</v>
      </c>
      <c r="C101" s="327" t="str">
        <f>INDEX(Cadastro_Mantimentos[[#All],[Colunas4]],MATCH(ROW()-5,Cadastro_Mantimentos[[#All],[Colunas2]],0))</f>
        <v>Molho Pimenta</v>
      </c>
      <c r="D101" s="328">
        <f ca="1">G101+(ENTRADAS!AI101)-(BAIXAS!AI101)</f>
        <v>3</v>
      </c>
      <c r="E101" s="79" t="s">
        <v>329</v>
      </c>
      <c r="F101" s="335"/>
      <c r="G101" s="82">
        <v>3</v>
      </c>
      <c r="H101" s="336"/>
      <c r="I101" s="337"/>
      <c r="J101" s="337"/>
      <c r="K101" s="338"/>
      <c r="L101" s="333" t="str">
        <f>IF(Configurações!$G$4="Ligado",IF(AND(Baixas_Mantimentos[[#This Row],[Total]]=0,'Qtd Pessoas'!$K$10=0),"0",Baixas_Mantimentos[[#This Row],[Total]]/'Qtd Pessoas'!$K$10),"")</f>
        <v/>
      </c>
      <c r="M101" s="343"/>
      <c r="N101" s="339"/>
    </row>
    <row r="102" spans="2:14" ht="15.75">
      <c r="B102" s="326" t="s">
        <v>311</v>
      </c>
      <c r="C102" s="327" t="str">
        <f>INDEX(Cadastro_Mantimentos[[#All],[Colunas4]],MATCH(ROW()-5,Cadastro_Mantimentos[[#All],[Colunas2]],0))</f>
        <v>Mostarda</v>
      </c>
      <c r="D102" s="328">
        <f ca="1">G102+(ENTRADAS!AI102)-(BAIXAS!AI102)</f>
        <v>3.3</v>
      </c>
      <c r="E102" s="79" t="s">
        <v>328</v>
      </c>
      <c r="F102" s="335"/>
      <c r="G102" s="82">
        <v>3.3</v>
      </c>
      <c r="H102" s="336"/>
      <c r="I102" s="337"/>
      <c r="J102" s="337"/>
      <c r="K102" s="338"/>
      <c r="L102" s="333" t="str">
        <f>IF(Configurações!$G$4="Ligado",IF(AND(Baixas_Mantimentos[[#This Row],[Total]]=0,'Qtd Pessoas'!$K$10=0),"0",Baixas_Mantimentos[[#This Row],[Total]]/'Qtd Pessoas'!$K$10),"")</f>
        <v/>
      </c>
      <c r="M102" s="343"/>
      <c r="N102" s="339"/>
    </row>
    <row r="103" spans="2:14" ht="15.75">
      <c r="B103" s="326" t="s">
        <v>311</v>
      </c>
      <c r="C103" s="327" t="str">
        <f>INDEX(Cadastro_Mantimentos[[#All],[Colunas4]],MATCH(ROW()-5,Cadastro_Mantimentos[[#All],[Colunas2]],0))</f>
        <v>Óleo De Soja</v>
      </c>
      <c r="D103" s="328">
        <f ca="1">G103+(ENTRADAS!AI103)-(BAIXAS!AI103)</f>
        <v>40</v>
      </c>
      <c r="E103" s="79" t="s">
        <v>330</v>
      </c>
      <c r="F103" s="335"/>
      <c r="G103" s="82">
        <v>31</v>
      </c>
      <c r="H103" s="336"/>
      <c r="I103" s="337"/>
      <c r="J103" s="337"/>
      <c r="K103" s="338"/>
      <c r="L103" s="333" t="str">
        <f>IF(Configurações!$G$4="Ligado",IF(AND(Baixas_Mantimentos[[#This Row],[Total]]=0,'Qtd Pessoas'!$K$10=0),"0",Baixas_Mantimentos[[#This Row],[Total]]/'Qtd Pessoas'!$K$10),"")</f>
        <v/>
      </c>
      <c r="M103" s="343"/>
      <c r="N103" s="339"/>
    </row>
    <row r="104" spans="2:14" ht="15.75">
      <c r="B104" s="326" t="s">
        <v>311</v>
      </c>
      <c r="C104" s="327" t="str">
        <f>INDEX(Cadastro_Mantimentos[[#All],[Colunas4]],MATCH(ROW()-5,Cadastro_Mantimentos[[#All],[Colunas2]],0))</f>
        <v>Óleo Maria</v>
      </c>
      <c r="D104" s="328">
        <f ca="1">G104+(ENTRADAS!AI104)-(BAIXAS!AI104)</f>
        <v>20.5</v>
      </c>
      <c r="E104" s="79" t="s">
        <v>329</v>
      </c>
      <c r="F104" s="335"/>
      <c r="G104" s="82">
        <v>25.5</v>
      </c>
      <c r="H104" s="336"/>
      <c r="I104" s="337"/>
      <c r="J104" s="337"/>
      <c r="K104" s="338"/>
      <c r="L104" s="333" t="str">
        <f>IF(Configurações!$G$4="Ligado",IF(AND(Baixas_Mantimentos[[#This Row],[Total]]=0,'Qtd Pessoas'!$K$10=0),"0",Baixas_Mantimentos[[#This Row],[Total]]/'Qtd Pessoas'!$K$10),"")</f>
        <v/>
      </c>
      <c r="M104" s="343"/>
      <c r="N104" s="339"/>
    </row>
    <row r="105" spans="2:14" ht="15.75">
      <c r="B105" s="326" t="s">
        <v>311</v>
      </c>
      <c r="C105" s="327" t="str">
        <f>INDEX(Cadastro_Mantimentos[[#All],[Colunas4]],MATCH(ROW()-5,Cadastro_Mantimentos[[#All],[Colunas2]],0))</f>
        <v>Orégano</v>
      </c>
      <c r="D105" s="328">
        <f ca="1">G105+(ENTRADAS!AI105)-(BAIXAS!AI105)</f>
        <v>0</v>
      </c>
      <c r="E105" s="79" t="s">
        <v>328</v>
      </c>
      <c r="F105" s="335"/>
      <c r="G105" s="82">
        <v>0.5</v>
      </c>
      <c r="H105" s="336"/>
      <c r="I105" s="337"/>
      <c r="J105" s="337"/>
      <c r="K105" s="338"/>
      <c r="L105" s="333" t="str">
        <f>IF(Configurações!$G$4="Ligado",IF(AND(Baixas_Mantimentos[[#This Row],[Total]]=0,'Qtd Pessoas'!$K$10=0),"0",Baixas_Mantimentos[[#This Row],[Total]]/'Qtd Pessoas'!$K$10),"")</f>
        <v/>
      </c>
      <c r="M105" s="343"/>
      <c r="N105" s="339"/>
    </row>
    <row r="106" spans="2:14" ht="15.75">
      <c r="B106" s="326" t="s">
        <v>311</v>
      </c>
      <c r="C106" s="327" t="str">
        <f>INDEX(Cadastro_Mantimentos[[#All],[Colunas4]],MATCH(ROW()-5,Cadastro_Mantimentos[[#All],[Colunas2]],0))</f>
        <v>Pão De Forma</v>
      </c>
      <c r="D106" s="328">
        <f ca="1">G106+(ENTRADAS!AI106)-(BAIXAS!AI106)</f>
        <v>-1</v>
      </c>
      <c r="E106" s="79" t="s">
        <v>330</v>
      </c>
      <c r="F106" s="335"/>
      <c r="G106" s="82">
        <v>1</v>
      </c>
      <c r="H106" s="336"/>
      <c r="I106" s="337"/>
      <c r="J106" s="337"/>
      <c r="K106" s="338"/>
      <c r="L106" s="333" t="str">
        <f>IF(Configurações!$G$4="Ligado",IF(AND(Baixas_Mantimentos[[#This Row],[Total]]=0,'Qtd Pessoas'!$K$10=0),"0",Baixas_Mantimentos[[#This Row],[Total]]/'Qtd Pessoas'!$K$10),"")</f>
        <v/>
      </c>
      <c r="M106" s="343"/>
      <c r="N106" s="339"/>
    </row>
    <row r="107" spans="2:14" ht="15.75">
      <c r="B107" s="326" t="s">
        <v>311</v>
      </c>
      <c r="C107" s="327" t="str">
        <f>INDEX(Cadastro_Mantimentos[[#All],[Colunas4]],MATCH(ROW()-5,Cadastro_Mantimentos[[#All],[Colunas2]],0))</f>
        <v>Pão Integral</v>
      </c>
      <c r="D107" s="328">
        <f ca="1">G107+(ENTRADAS!AI107)-(BAIXAS!AI107)</f>
        <v>-1</v>
      </c>
      <c r="E107" s="79" t="s">
        <v>330</v>
      </c>
      <c r="F107" s="335"/>
      <c r="G107" s="82">
        <v>7</v>
      </c>
      <c r="H107" s="336"/>
      <c r="I107" s="337"/>
      <c r="J107" s="337"/>
      <c r="K107" s="338"/>
      <c r="L107" s="333" t="str">
        <f>IF(Configurações!$G$4="Ligado",IF(AND(Baixas_Mantimentos[[#This Row],[Total]]=0,'Qtd Pessoas'!$K$10=0),"0",Baixas_Mantimentos[[#This Row],[Total]]/'Qtd Pessoas'!$K$10),"")</f>
        <v/>
      </c>
      <c r="M107" s="343"/>
      <c r="N107" s="339"/>
    </row>
    <row r="108" spans="2:14" ht="15.75">
      <c r="B108" s="326" t="s">
        <v>311</v>
      </c>
      <c r="C108" s="327" t="str">
        <f>INDEX(Cadastro_Mantimentos[[#All],[Colunas4]],MATCH(ROW()-5,Cadastro_Mantimentos[[#All],[Colunas2]],0))</f>
        <v>Páprica</v>
      </c>
      <c r="D108" s="328">
        <f ca="1">G108+(ENTRADAS!AI108)-(BAIXAS!AI108)</f>
        <v>0.5</v>
      </c>
      <c r="E108" s="79"/>
      <c r="F108" s="335"/>
      <c r="G108" s="82">
        <v>0.5</v>
      </c>
      <c r="H108" s="336"/>
      <c r="I108" s="337"/>
      <c r="J108" s="337"/>
      <c r="K108" s="338"/>
      <c r="L108" s="333" t="str">
        <f>IF(Configurações!$G$4="Ligado",IF(AND(Baixas_Mantimentos[[#This Row],[Total]]=0,'Qtd Pessoas'!$K$10=0),"0",Baixas_Mantimentos[[#This Row],[Total]]/'Qtd Pessoas'!$K$10),"")</f>
        <v/>
      </c>
      <c r="M108" s="343"/>
      <c r="N108" s="339"/>
    </row>
    <row r="109" spans="2:14" ht="15.75">
      <c r="B109" s="326" t="s">
        <v>311</v>
      </c>
      <c r="C109" s="327" t="str">
        <f>INDEX(Cadastro_Mantimentos[[#All],[Colunas4]],MATCH(ROW()-5,Cadastro_Mantimentos[[#All],[Colunas2]],0))</f>
        <v>Pêssego Em Calda</v>
      </c>
      <c r="D109" s="328">
        <f ca="1">G109+(ENTRADAS!AI109)-(BAIXAS!AI109)</f>
        <v>9</v>
      </c>
      <c r="E109" s="79" t="s">
        <v>330</v>
      </c>
      <c r="F109" s="335"/>
      <c r="G109" s="82">
        <v>2</v>
      </c>
      <c r="H109" s="336"/>
      <c r="I109" s="337"/>
      <c r="J109" s="337"/>
      <c r="K109" s="338"/>
      <c r="L109" s="333" t="str">
        <f>IF(Configurações!$G$4="Ligado",IF(AND(Baixas_Mantimentos[[#This Row],[Total]]=0,'Qtd Pessoas'!$K$10=0),"0",Baixas_Mantimentos[[#This Row],[Total]]/'Qtd Pessoas'!$K$10),"")</f>
        <v/>
      </c>
      <c r="M109" s="343"/>
      <c r="N109" s="339"/>
    </row>
    <row r="110" spans="2:14" ht="15.75">
      <c r="B110" s="326" t="s">
        <v>311</v>
      </c>
      <c r="C110" s="327" t="str">
        <f>INDEX(Cadastro_Mantimentos[[#All],[Colunas4]],MATCH(ROW()-5,Cadastro_Mantimentos[[#All],[Colunas2]],0))</f>
        <v>Pó Pudim Baunilha</v>
      </c>
      <c r="D110" s="328">
        <f ca="1">G110+(ENTRADAS!AI110)-(BAIXAS!AI110)</f>
        <v>3</v>
      </c>
      <c r="E110" s="79" t="s">
        <v>328</v>
      </c>
      <c r="F110" s="335"/>
      <c r="G110" s="82">
        <v>3</v>
      </c>
      <c r="H110" s="336"/>
      <c r="I110" s="337"/>
      <c r="J110" s="337"/>
      <c r="K110" s="338"/>
      <c r="L110" s="333" t="str">
        <f>IF(Configurações!$G$4="Ligado",IF(AND(Baixas_Mantimentos[[#This Row],[Total]]=0,'Qtd Pessoas'!$K$10=0),"0",Baixas_Mantimentos[[#This Row],[Total]]/'Qtd Pessoas'!$K$10),"")</f>
        <v/>
      </c>
      <c r="M110" s="343"/>
      <c r="N110" s="339"/>
    </row>
    <row r="111" spans="2:14" ht="15.75">
      <c r="B111" s="326" t="s">
        <v>311</v>
      </c>
      <c r="C111" s="327" t="str">
        <f>INDEX(Cadastro_Mantimentos[[#All],[Colunas4]],MATCH(ROW()-5,Cadastro_Mantimentos[[#All],[Colunas2]],0))</f>
        <v>Pó Pudim Caramelo</v>
      </c>
      <c r="D111" s="328">
        <f ca="1">G111+(ENTRADAS!AI111)-(BAIXAS!AI111)</f>
        <v>0</v>
      </c>
      <c r="E111" s="79"/>
      <c r="F111" s="335"/>
      <c r="G111" s="82">
        <v>0</v>
      </c>
      <c r="H111" s="336"/>
      <c r="I111" s="337"/>
      <c r="J111" s="337"/>
      <c r="K111" s="338"/>
      <c r="L111" s="333" t="str">
        <f>IF(Configurações!$G$4="Ligado",IF(AND(Baixas_Mantimentos[[#This Row],[Total]]=0,'Qtd Pessoas'!$K$10=0),"0",Baixas_Mantimentos[[#This Row],[Total]]/'Qtd Pessoas'!$K$10),"")</f>
        <v/>
      </c>
      <c r="M111" s="343"/>
      <c r="N111" s="339"/>
    </row>
    <row r="112" spans="2:14" ht="15.75">
      <c r="B112" s="326" t="s">
        <v>311</v>
      </c>
      <c r="C112" s="327" t="str">
        <f>INDEX(Cadastro_Mantimentos[[#All],[Colunas4]],MATCH(ROW()-5,Cadastro_Mantimentos[[#All],[Colunas2]],0))</f>
        <v>Pó Pudim Chocolate</v>
      </c>
      <c r="D112" s="328">
        <f ca="1">G112+(ENTRADAS!AI112)-(BAIXAS!AI112)</f>
        <v>3</v>
      </c>
      <c r="E112" s="79" t="s">
        <v>328</v>
      </c>
      <c r="F112" s="335"/>
      <c r="G112" s="82">
        <v>3</v>
      </c>
      <c r="H112" s="336"/>
      <c r="I112" s="337"/>
      <c r="J112" s="337"/>
      <c r="K112" s="338"/>
      <c r="L112" s="333" t="str">
        <f>IF(Configurações!$G$4="Ligado",IF(AND(Baixas_Mantimentos[[#This Row],[Total]]=0,'Qtd Pessoas'!$K$10=0),"0",Baixas_Mantimentos[[#This Row],[Total]]/'Qtd Pessoas'!$K$10),"")</f>
        <v/>
      </c>
      <c r="M112" s="343"/>
      <c r="N112" s="339"/>
    </row>
    <row r="113" spans="2:14" ht="15.75">
      <c r="B113" s="326" t="s">
        <v>311</v>
      </c>
      <c r="C113" s="327" t="str">
        <f>INDEX(Cadastro_Mantimentos[[#All],[Colunas4]],MATCH(ROW()-5,Cadastro_Mantimentos[[#All],[Colunas2]],0))</f>
        <v>Pó Pudim Coco</v>
      </c>
      <c r="D113" s="328">
        <f ca="1">G113+(ENTRADAS!AI113)-(BAIXAS!AI113)</f>
        <v>0</v>
      </c>
      <c r="E113" s="79" t="s">
        <v>328</v>
      </c>
      <c r="F113" s="335"/>
      <c r="G113" s="82">
        <v>5</v>
      </c>
      <c r="H113" s="336"/>
      <c r="I113" s="337"/>
      <c r="J113" s="337"/>
      <c r="K113" s="338"/>
      <c r="L113" s="333" t="str">
        <f>IF(Configurações!$G$4="Ligado",IF(AND(Baixas_Mantimentos[[#This Row],[Total]]=0,'Qtd Pessoas'!$K$10=0),"0",Baixas_Mantimentos[[#This Row],[Total]]/'Qtd Pessoas'!$K$10),"")</f>
        <v/>
      </c>
      <c r="M113" s="343"/>
      <c r="N113" s="339"/>
    </row>
    <row r="114" spans="2:14" ht="15.75">
      <c r="B114" s="326" t="s">
        <v>311</v>
      </c>
      <c r="C114" s="327" t="str">
        <f>INDEX(Cadastro_Mantimentos[[#All],[Colunas4]],MATCH(ROW()-5,Cadastro_Mantimentos[[#All],[Colunas2]],0))</f>
        <v>Pó Pudim Morango</v>
      </c>
      <c r="D114" s="328">
        <f ca="1">G114+(ENTRADAS!AI114)-(BAIXAS!AI114)</f>
        <v>2</v>
      </c>
      <c r="E114" s="79" t="s">
        <v>328</v>
      </c>
      <c r="F114" s="335"/>
      <c r="G114" s="82">
        <v>3</v>
      </c>
      <c r="H114" s="336"/>
      <c r="I114" s="337"/>
      <c r="J114" s="337"/>
      <c r="K114" s="338"/>
      <c r="L114" s="333" t="str">
        <f>IF(Configurações!$G$4="Ligado",IF(AND(Baixas_Mantimentos[[#This Row],[Total]]=0,'Qtd Pessoas'!$K$10=0),"0",Baixas_Mantimentos[[#This Row],[Total]]/'Qtd Pessoas'!$K$10),"")</f>
        <v/>
      </c>
      <c r="M114" s="343"/>
      <c r="N114" s="339"/>
    </row>
    <row r="115" spans="2:14" ht="15.75">
      <c r="B115" s="326" t="s">
        <v>311</v>
      </c>
      <c r="C115" s="327" t="str">
        <f>INDEX(Cadastro_Mantimentos[[#All],[Colunas4]],MATCH(ROW()-5,Cadastro_Mantimentos[[#All],[Colunas2]],0))</f>
        <v>Polenta</v>
      </c>
      <c r="D115" s="328">
        <f ca="1">G115+(ENTRADAS!AI115)-(BAIXAS!AI115)</f>
        <v>31.5</v>
      </c>
      <c r="E115" s="79" t="s">
        <v>328</v>
      </c>
      <c r="F115" s="335"/>
      <c r="G115" s="82">
        <v>0</v>
      </c>
      <c r="H115" s="336"/>
      <c r="I115" s="337"/>
      <c r="J115" s="337"/>
      <c r="K115" s="338"/>
      <c r="L115" s="333" t="str">
        <f>IF(Configurações!$G$4="Ligado",IF(AND(Baixas_Mantimentos[[#This Row],[Total]]=0,'Qtd Pessoas'!$K$10=0),"0",Baixas_Mantimentos[[#This Row],[Total]]/'Qtd Pessoas'!$K$10),"")</f>
        <v/>
      </c>
      <c r="M115" s="343"/>
      <c r="N115" s="339"/>
    </row>
    <row r="116" spans="2:14" ht="15.75">
      <c r="B116" s="326" t="s">
        <v>311</v>
      </c>
      <c r="C116" s="327" t="str">
        <f>INDEX(Cadastro_Mantimentos[[#All],[Colunas4]],MATCH(ROW()-5,Cadastro_Mantimentos[[#All],[Colunas2]],0))</f>
        <v>Pure</v>
      </c>
      <c r="D116" s="328">
        <f ca="1">G116+(ENTRADAS!AI116)-(BAIXAS!AI116)</f>
        <v>5</v>
      </c>
      <c r="E116" s="79" t="s">
        <v>328</v>
      </c>
      <c r="F116" s="335"/>
      <c r="G116" s="82">
        <v>4</v>
      </c>
      <c r="H116" s="336"/>
      <c r="I116" s="337"/>
      <c r="J116" s="337"/>
      <c r="K116" s="338"/>
      <c r="L116" s="333" t="str">
        <f>IF(Configurações!$G$4="Ligado",IF(AND(Baixas_Mantimentos[[#This Row],[Total]]=0,'Qtd Pessoas'!$K$10=0),"0",Baixas_Mantimentos[[#This Row],[Total]]/'Qtd Pessoas'!$K$10),"")</f>
        <v/>
      </c>
      <c r="M116" s="343"/>
      <c r="N116" s="339"/>
    </row>
    <row r="117" spans="2:14" ht="15.75">
      <c r="B117" s="326" t="s">
        <v>311</v>
      </c>
      <c r="C117" s="327" t="str">
        <f>INDEX(Cadastro_Mantimentos[[#All],[Colunas4]],MATCH(ROW()-5,Cadastro_Mantimentos[[#All],[Colunas2]],0))</f>
        <v>Sagu</v>
      </c>
      <c r="D117" s="328">
        <f ca="1">G117+(ENTRADAS!AI117)-(BAIXAS!AI117)</f>
        <v>0</v>
      </c>
      <c r="E117" s="79" t="s">
        <v>328</v>
      </c>
      <c r="F117" s="335"/>
      <c r="G117" s="82">
        <v>1</v>
      </c>
      <c r="H117" s="336"/>
      <c r="I117" s="337"/>
      <c r="J117" s="337"/>
      <c r="K117" s="338"/>
      <c r="L117" s="333" t="str">
        <f>IF(Configurações!$G$4="Ligado",IF(AND(Baixas_Mantimentos[[#This Row],[Total]]=0,'Qtd Pessoas'!$K$10=0),"0",Baixas_Mantimentos[[#This Row],[Total]]/'Qtd Pessoas'!$K$10),"")</f>
        <v/>
      </c>
      <c r="M117" s="343"/>
      <c r="N117" s="339"/>
    </row>
    <row r="118" spans="2:14" ht="15.75">
      <c r="B118" s="326" t="s">
        <v>311</v>
      </c>
      <c r="C118" s="327" t="str">
        <f>INDEX(Cadastro_Mantimentos[[#All],[Colunas4]],MATCH(ROW()-5,Cadastro_Mantimentos[[#All],[Colunas2]],0))</f>
        <v xml:space="preserve">Sal </v>
      </c>
      <c r="D118" s="328">
        <f ca="1">G118+(ENTRADAS!AI118)-(BAIXAS!AI118)</f>
        <v>33</v>
      </c>
      <c r="E118" s="79" t="s">
        <v>328</v>
      </c>
      <c r="F118" s="335"/>
      <c r="G118" s="82">
        <v>44</v>
      </c>
      <c r="H118" s="336"/>
      <c r="I118" s="337"/>
      <c r="J118" s="337"/>
      <c r="K118" s="338"/>
      <c r="L118" s="333" t="str">
        <f>IF(Configurações!$G$4="Ligado",IF(AND(Baixas_Mantimentos[[#This Row],[Total]]=0,'Qtd Pessoas'!$K$10=0),"0",Baixas_Mantimentos[[#This Row],[Total]]/'Qtd Pessoas'!$K$10),"")</f>
        <v/>
      </c>
      <c r="M118" s="343"/>
      <c r="N118" s="339"/>
    </row>
    <row r="119" spans="2:14" ht="15.75">
      <c r="B119" s="326" t="s">
        <v>311</v>
      </c>
      <c r="C119" s="327" t="str">
        <f>INDEX(Cadastro_Mantimentos[[#All],[Colunas4]],MATCH(ROW()-5,Cadastro_Mantimentos[[#All],[Colunas2]],0))</f>
        <v>Sal Sache</v>
      </c>
      <c r="D119" s="328">
        <f ca="1">G119+(ENTRADAS!AI119)-(BAIXAS!AI119)</f>
        <v>2</v>
      </c>
      <c r="E119" s="79" t="s">
        <v>331</v>
      </c>
      <c r="F119" s="335"/>
      <c r="G119" s="82">
        <v>2</v>
      </c>
      <c r="H119" s="336"/>
      <c r="I119" s="337"/>
      <c r="J119" s="337"/>
      <c r="K119" s="338"/>
      <c r="L119" s="333" t="str">
        <f>IF(Configurações!$G$4="Ligado",IF(AND(Baixas_Mantimentos[[#This Row],[Total]]=0,'Qtd Pessoas'!$K$10=0),"0",Baixas_Mantimentos[[#This Row],[Total]]/'Qtd Pessoas'!$K$10),"")</f>
        <v/>
      </c>
      <c r="M119" s="343"/>
      <c r="N119" s="339"/>
    </row>
    <row r="120" spans="2:14" ht="15.75">
      <c r="B120" s="326" t="s">
        <v>311</v>
      </c>
      <c r="C120" s="327" t="str">
        <f>INDEX(Cadastro_Mantimentos[[#All],[Colunas4]],MATCH(ROW()-5,Cadastro_Mantimentos[[#All],[Colunas2]],0))</f>
        <v>Sardinha</v>
      </c>
      <c r="D120" s="328">
        <f ca="1">G120+(ENTRADAS!AI120)-(BAIXAS!AI120)</f>
        <v>0.5</v>
      </c>
      <c r="E120" s="79"/>
      <c r="F120" s="335"/>
      <c r="G120" s="82">
        <v>0.5</v>
      </c>
      <c r="H120" s="336"/>
      <c r="I120" s="337"/>
      <c r="J120" s="337"/>
      <c r="K120" s="338"/>
      <c r="L120" s="333" t="str">
        <f>IF(Configurações!$G$4="Ligado",IF(AND(Baixas_Mantimentos[[#This Row],[Total]]=0,'Qtd Pessoas'!$K$10=0),"0",Baixas_Mantimentos[[#This Row],[Total]]/'Qtd Pessoas'!$K$10),"")</f>
        <v/>
      </c>
      <c r="M120" s="343"/>
      <c r="N120" s="339"/>
    </row>
    <row r="121" spans="2:14" ht="15.75">
      <c r="B121" s="326" t="s">
        <v>311</v>
      </c>
      <c r="C121" s="327" t="str">
        <f>INDEX(Cadastro_Mantimentos[[#All],[Colunas4]],MATCH(ROW()-5,Cadastro_Mantimentos[[#All],[Colunas2]],0))</f>
        <v>Shoyo</v>
      </c>
      <c r="D121" s="328">
        <f ca="1">G121+(ENTRADAS!AI121)-(BAIXAS!AI121)</f>
        <v>0</v>
      </c>
      <c r="E121" s="79" t="s">
        <v>329</v>
      </c>
      <c r="F121" s="335"/>
      <c r="G121" s="82">
        <v>0</v>
      </c>
      <c r="H121" s="336"/>
      <c r="I121" s="337"/>
      <c r="J121" s="337"/>
      <c r="K121" s="338"/>
      <c r="L121" s="333" t="str">
        <f>IF(Configurações!$G$4="Ligado",IF(AND(Baixas_Mantimentos[[#This Row],[Total]]=0,'Qtd Pessoas'!$K$10=0),"0",Baixas_Mantimentos[[#This Row],[Total]]/'Qtd Pessoas'!$K$10),"")</f>
        <v/>
      </c>
      <c r="M121" s="343"/>
      <c r="N121" s="339"/>
    </row>
    <row r="122" spans="2:14" ht="15.75">
      <c r="B122" s="326" t="s">
        <v>311</v>
      </c>
      <c r="C122" s="327" t="str">
        <f>INDEX(Cadastro_Mantimentos[[#All],[Colunas4]],MATCH(ROW()-5,Cadastro_Mantimentos[[#All],[Colunas2]],0))</f>
        <v>Soja em Grãos</v>
      </c>
      <c r="D122" s="328">
        <f ca="1">G122+(ENTRADAS!AI122)-(BAIXAS!AI122)</f>
        <v>0</v>
      </c>
      <c r="E122" s="79"/>
      <c r="F122" s="335"/>
      <c r="G122" s="82">
        <v>0</v>
      </c>
      <c r="H122" s="336"/>
      <c r="I122" s="337"/>
      <c r="J122" s="337"/>
      <c r="K122" s="338"/>
      <c r="L122" s="333" t="str">
        <f>IF(Configurações!$G$4="Ligado",IF(AND(Baixas_Mantimentos[[#This Row],[Total]]=0,'Qtd Pessoas'!$K$10=0),"0",Baixas_Mantimentos[[#This Row],[Total]]/'Qtd Pessoas'!$K$10),"")</f>
        <v/>
      </c>
      <c r="M122" s="343"/>
      <c r="N122" s="339"/>
    </row>
    <row r="123" spans="2:14" ht="15.75">
      <c r="B123" s="326" t="s">
        <v>311</v>
      </c>
      <c r="C123" s="327" t="str">
        <f>INDEX(Cadastro_Mantimentos[[#All],[Colunas4]],MATCH(ROW()-5,Cadastro_Mantimentos[[#All],[Colunas2]],0))</f>
        <v xml:space="preserve">Suco De Abacaxi </v>
      </c>
      <c r="D123" s="328">
        <f ca="1">G123+(ENTRADAS!AI123)-(BAIXAS!AI123)</f>
        <v>9</v>
      </c>
      <c r="E123" s="79" t="s">
        <v>329</v>
      </c>
      <c r="F123" s="335"/>
      <c r="G123" s="82">
        <v>0</v>
      </c>
      <c r="H123" s="336"/>
      <c r="I123" s="337"/>
      <c r="J123" s="337"/>
      <c r="K123" s="338"/>
      <c r="L123" s="333" t="str">
        <f>IF(Configurações!$G$4="Ligado",IF(AND(Baixas_Mantimentos[[#This Row],[Total]]=0,'Qtd Pessoas'!$K$10=0),"0",Baixas_Mantimentos[[#This Row],[Total]]/'Qtd Pessoas'!$K$10),"")</f>
        <v/>
      </c>
      <c r="M123" s="343"/>
      <c r="N123" s="339"/>
    </row>
    <row r="124" spans="2:14" ht="15.75">
      <c r="B124" s="326" t="s">
        <v>311</v>
      </c>
      <c r="C124" s="327" t="str">
        <f>INDEX(Cadastro_Mantimentos[[#All],[Colunas4]],MATCH(ROW()-5,Cadastro_Mantimentos[[#All],[Colunas2]],0))</f>
        <v>Suco de Acerola</v>
      </c>
      <c r="D124" s="328">
        <f ca="1">G124+(ENTRADAS!AI124)-(BAIXAS!AI124)</f>
        <v>0</v>
      </c>
      <c r="E124" s="79" t="s">
        <v>329</v>
      </c>
      <c r="F124" s="335"/>
      <c r="G124" s="82">
        <v>0</v>
      </c>
      <c r="H124" s="336"/>
      <c r="I124" s="337"/>
      <c r="J124" s="337"/>
      <c r="K124" s="338"/>
      <c r="L124" s="333" t="str">
        <f>IF(Configurações!$G$4="Ligado",IF(AND(Baixas_Mantimentos[[#This Row],[Total]]=0,'Qtd Pessoas'!$K$10=0),"0",Baixas_Mantimentos[[#This Row],[Total]]/'Qtd Pessoas'!$K$10),"")</f>
        <v/>
      </c>
      <c r="M124" s="343"/>
      <c r="N124" s="339"/>
    </row>
    <row r="125" spans="2:14" ht="15.75">
      <c r="B125" s="326" t="s">
        <v>311</v>
      </c>
      <c r="C125" s="327" t="str">
        <f>INDEX(Cadastro_Mantimentos[[#All],[Colunas4]],MATCH(ROW()-5,Cadastro_Mantimentos[[#All],[Colunas2]],0))</f>
        <v>Suco De Cajú</v>
      </c>
      <c r="D125" s="328">
        <f ca="1">G125+(ENTRADAS!AI125)-(BAIXAS!AI125)</f>
        <v>0</v>
      </c>
      <c r="E125" s="80" t="s">
        <v>329</v>
      </c>
      <c r="F125" s="335"/>
      <c r="G125" s="82">
        <v>0</v>
      </c>
      <c r="H125" s="336"/>
      <c r="I125" s="337"/>
      <c r="J125" s="337"/>
      <c r="K125" s="338"/>
      <c r="L125" s="333" t="str">
        <f>IF(Configurações!$G$4="Ligado",IF(AND(Baixas_Mantimentos[[#This Row],[Total]]=0,'Qtd Pessoas'!$K$10=0),"0",Baixas_Mantimentos[[#This Row],[Total]]/'Qtd Pessoas'!$K$10),"")</f>
        <v/>
      </c>
      <c r="M125" s="343"/>
      <c r="N125" s="339"/>
    </row>
    <row r="126" spans="2:14" ht="15.75">
      <c r="B126" s="326" t="s">
        <v>311</v>
      </c>
      <c r="C126" s="327" t="str">
        <f>INDEX(Cadastro_Mantimentos[[#All],[Colunas4]],MATCH(ROW()-5,Cadastro_Mantimentos[[#All],[Colunas2]],0))</f>
        <v>Suco De Goiaba</v>
      </c>
      <c r="D126" s="328">
        <f ca="1">G126+(ENTRADAS!AI126)-(BAIXAS!AI126)</f>
        <v>6</v>
      </c>
      <c r="E126" s="79" t="s">
        <v>329</v>
      </c>
      <c r="F126" s="335"/>
      <c r="G126" s="82">
        <v>0</v>
      </c>
      <c r="H126" s="336"/>
      <c r="I126" s="337"/>
      <c r="J126" s="337"/>
      <c r="K126" s="338"/>
      <c r="L126" s="333" t="str">
        <f>IF(Configurações!$G$4="Ligado",IF(AND(Baixas_Mantimentos[[#This Row],[Total]]=0,'Qtd Pessoas'!$K$10=0),"0",Baixas_Mantimentos[[#This Row],[Total]]/'Qtd Pessoas'!$K$10),"")</f>
        <v/>
      </c>
      <c r="M126" s="343"/>
      <c r="N126" s="339"/>
    </row>
    <row r="127" spans="2:14" ht="15.75">
      <c r="B127" s="326" t="s">
        <v>311</v>
      </c>
      <c r="C127" s="327" t="str">
        <f>INDEX(Cadastro_Mantimentos[[#All],[Colunas4]],MATCH(ROW()-5,Cadastro_Mantimentos[[#All],[Colunas2]],0))</f>
        <v>Suco De Laranja</v>
      </c>
      <c r="D127" s="328">
        <f ca="1">G127+(ENTRADAS!AI127)-(BAIXAS!AI127)</f>
        <v>0</v>
      </c>
      <c r="E127" s="124" t="s">
        <v>329</v>
      </c>
      <c r="F127" s="344"/>
      <c r="G127" s="82">
        <v>0</v>
      </c>
      <c r="H127" s="336"/>
      <c r="I127" s="337"/>
      <c r="J127" s="337"/>
      <c r="K127" s="338"/>
      <c r="L127" s="333" t="str">
        <f>IF(Configurações!$G$4="Ligado",IF(AND(Baixas_Mantimentos[[#This Row],[Total]]=0,'Qtd Pessoas'!$K$10=0),"0",Baixas_Mantimentos[[#This Row],[Total]]/'Qtd Pessoas'!$K$10),"")</f>
        <v/>
      </c>
      <c r="M127" s="343"/>
      <c r="N127" s="339"/>
    </row>
    <row r="128" spans="2:14" ht="15.75">
      <c r="B128" s="326" t="s">
        <v>311</v>
      </c>
      <c r="C128" s="327" t="str">
        <f>INDEX(Cadastro_Mantimentos[[#All],[Colunas4]],MATCH(ROW()-5,Cadastro_Mantimentos[[#All],[Colunas2]],0))</f>
        <v>Suco de Manga</v>
      </c>
      <c r="D128" s="328">
        <f ca="1">G128+(ENTRADAS!AI128)-(BAIXAS!AI128)</f>
        <v>0</v>
      </c>
      <c r="E128" s="124" t="s">
        <v>329</v>
      </c>
      <c r="F128" s="344"/>
      <c r="G128" s="82">
        <v>0</v>
      </c>
      <c r="H128" s="336"/>
      <c r="I128" s="337"/>
      <c r="J128" s="337"/>
      <c r="K128" s="338"/>
      <c r="L128" s="333" t="str">
        <f>IF(Configurações!$G$4="Ligado",IF(AND(Baixas_Mantimentos[[#This Row],[Total]]=0,'Qtd Pessoas'!$K$10=0),"0",Baixas_Mantimentos[[#This Row],[Total]]/'Qtd Pessoas'!$K$10),"")</f>
        <v/>
      </c>
      <c r="M128" s="343"/>
      <c r="N128" s="339"/>
    </row>
    <row r="129" spans="1:14" ht="15.75">
      <c r="B129" s="326" t="s">
        <v>311</v>
      </c>
      <c r="C129" s="327" t="str">
        <f>INDEX(Cadastro_Mantimentos[[#All],[Colunas4]],MATCH(ROW()-5,Cadastro_Mantimentos[[#All],[Colunas2]],0))</f>
        <v>Suco De Maracujá</v>
      </c>
      <c r="D129" s="328">
        <f ca="1">G129+(ENTRADAS!AI129)-(BAIXAS!AI129)</f>
        <v>0</v>
      </c>
      <c r="E129" s="79" t="s">
        <v>329</v>
      </c>
      <c r="F129" s="335"/>
      <c r="G129" s="82">
        <v>0</v>
      </c>
      <c r="H129" s="336"/>
      <c r="I129" s="337"/>
      <c r="J129" s="337"/>
      <c r="K129" s="338"/>
      <c r="L129" s="333" t="str">
        <f>IF(Configurações!$G$4="Ligado",IF(AND(Baixas_Mantimentos[[#This Row],[Total]]=0,'Qtd Pessoas'!$K$10=0),"0",Baixas_Mantimentos[[#This Row],[Total]]/'Qtd Pessoas'!$K$10),"")</f>
        <v/>
      </c>
      <c r="M129" s="343"/>
      <c r="N129" s="339"/>
    </row>
    <row r="130" spans="1:14" ht="15.75">
      <c r="B130" s="326" t="s">
        <v>311</v>
      </c>
      <c r="C130" s="327" t="str">
        <f>INDEX(Cadastro_Mantimentos[[#All],[Colunas4]],MATCH(ROW()-5,Cadastro_Mantimentos[[#All],[Colunas2]],0))</f>
        <v>Suco De Tangerina</v>
      </c>
      <c r="D130" s="328">
        <f ca="1">G130+(ENTRADAS!AI130)-(BAIXAS!AI130)</f>
        <v>0</v>
      </c>
      <c r="E130" s="79" t="s">
        <v>329</v>
      </c>
      <c r="F130" s="335"/>
      <c r="G130" s="82">
        <v>0</v>
      </c>
      <c r="H130" s="336"/>
      <c r="I130" s="337"/>
      <c r="J130" s="337"/>
      <c r="K130" s="338"/>
      <c r="L130" s="333" t="str">
        <f>IF(Configurações!$G$4="Ligado",IF(AND(Baixas_Mantimentos[[#This Row],[Total]]=0,'Qtd Pessoas'!$K$10=0),"0",Baixas_Mantimentos[[#This Row],[Total]]/'Qtd Pessoas'!$K$10),"")</f>
        <v/>
      </c>
      <c r="M130" s="343"/>
      <c r="N130" s="339"/>
    </row>
    <row r="131" spans="1:14" ht="15.75">
      <c r="B131" s="326" t="s">
        <v>311</v>
      </c>
      <c r="C131" s="345" t="str">
        <f>INDEX(Cadastro_Mantimentos[[#All],[Colunas4]],MATCH(ROW()-5,Cadastro_Mantimentos[[#All],[Colunas2]],0))</f>
        <v>Suco de Uva</v>
      </c>
      <c r="D131" s="328">
        <f ca="1">G131+(ENTRADAS!AI131)-(BAIXAS!AI131)</f>
        <v>10</v>
      </c>
      <c r="E131" s="124" t="s">
        <v>329</v>
      </c>
      <c r="F131" s="346"/>
      <c r="G131" s="82">
        <v>0</v>
      </c>
      <c r="H131" s="336"/>
      <c r="I131" s="337"/>
      <c r="J131" s="337"/>
      <c r="K131" s="338"/>
      <c r="L131" s="333" t="str">
        <f>IF(Configurações!$G$4="Ligado",IF(AND(Baixas_Mantimentos[[#This Row],[Total]]=0,'Qtd Pessoas'!$K$10=0),"0",Baixas_Mantimentos[[#This Row],[Total]]/'Qtd Pessoas'!$K$10),"")</f>
        <v/>
      </c>
      <c r="M131" s="343"/>
      <c r="N131" s="339"/>
    </row>
    <row r="132" spans="1:14" ht="15.75">
      <c r="B132" s="326" t="s">
        <v>311</v>
      </c>
      <c r="C132" s="345" t="str">
        <f>INDEX(Cadastro_Mantimentos[[#All],[Colunas4]],MATCH(ROW()-5,Cadastro_Mantimentos[[#All],[Colunas2]],0))</f>
        <v>Tempero Fondor</v>
      </c>
      <c r="D132" s="328">
        <f ca="1">G132+(ENTRADAS!AI132)-(BAIXAS!AI132)</f>
        <v>0</v>
      </c>
      <c r="E132" s="124" t="s">
        <v>328</v>
      </c>
      <c r="F132" s="346"/>
      <c r="G132" s="82">
        <v>0</v>
      </c>
      <c r="H132" s="336"/>
      <c r="I132" s="337"/>
      <c r="J132" s="337"/>
      <c r="K132" s="338"/>
      <c r="L132" s="333" t="str">
        <f>IF(Configurações!$G$4="Ligado",IF(AND(Baixas_Mantimentos[[#This Row],[Total]]=0,'Qtd Pessoas'!$K$10=0),"0",Baixas_Mantimentos[[#This Row],[Total]]/'Qtd Pessoas'!$K$10),"")</f>
        <v/>
      </c>
      <c r="M132" s="343"/>
      <c r="N132" s="339"/>
    </row>
    <row r="133" spans="1:14" ht="15.75">
      <c r="B133" s="326" t="s">
        <v>311</v>
      </c>
      <c r="C133" s="345" t="str">
        <f>INDEX(Cadastro_Mantimentos[[#All],[Colunas4]],MATCH(ROW()-5,Cadastro_Mantimentos[[#All],[Colunas2]],0))</f>
        <v xml:space="preserve">Trigo Para Kibe </v>
      </c>
      <c r="D133" s="328">
        <f ca="1">G133+(ENTRADAS!AI133)-(BAIXAS!AI133)</f>
        <v>4</v>
      </c>
      <c r="E133" s="124" t="s">
        <v>328</v>
      </c>
      <c r="F133" s="346"/>
      <c r="G133" s="82">
        <v>0</v>
      </c>
      <c r="H133" s="336"/>
      <c r="I133" s="337"/>
      <c r="J133" s="337"/>
      <c r="K133" s="338"/>
      <c r="L133" s="333" t="str">
        <f>IF(Configurações!$G$4="Ligado",IF(AND(Baixas_Mantimentos[[#This Row],[Total]]=0,'Qtd Pessoas'!$K$10=0),"0",Baixas_Mantimentos[[#This Row],[Total]]/'Qtd Pessoas'!$K$10),"")</f>
        <v/>
      </c>
      <c r="M133" s="343"/>
      <c r="N133" s="339"/>
    </row>
    <row r="134" spans="1:14" ht="15.75">
      <c r="B134" s="326" t="s">
        <v>311</v>
      </c>
      <c r="C134" s="345" t="str">
        <f>INDEX(Cadastro_Mantimentos[[#All],[Colunas4]],MATCH(ROW()-5,Cadastro_Mantimentos[[#All],[Colunas2]],0))</f>
        <v>Uva Passa Preta</v>
      </c>
      <c r="D134" s="328">
        <f ca="1">G134+(ENTRADAS!AI134)-(BAIXAS!AI134)</f>
        <v>5.3000000000000007</v>
      </c>
      <c r="E134" s="124" t="s">
        <v>328</v>
      </c>
      <c r="F134" s="346"/>
      <c r="G134" s="82">
        <v>2</v>
      </c>
      <c r="H134" s="336"/>
      <c r="I134" s="337"/>
      <c r="J134" s="337"/>
      <c r="K134" s="338"/>
      <c r="L134" s="333" t="str">
        <f>IF(Configurações!$G$4="Ligado",IF(AND(Baixas_Mantimentos[[#This Row],[Total]]=0,'Qtd Pessoas'!$K$10=0),"0",Baixas_Mantimentos[[#This Row],[Total]]/'Qtd Pessoas'!$K$10),"")</f>
        <v/>
      </c>
      <c r="M134" s="343"/>
      <c r="N134" s="339"/>
    </row>
    <row r="135" spans="1:14" ht="15.75">
      <c r="B135" s="326" t="s">
        <v>311</v>
      </c>
      <c r="C135" s="327" t="str">
        <f>INDEX(Cadastro_Mantimentos[[#All],[Colunas4]],MATCH(ROW()-5,Cadastro_Mantimentos[[#All],[Colunas2]],0))</f>
        <v xml:space="preserve">Vinagre </v>
      </c>
      <c r="D135" s="328">
        <f ca="1">G135+(ENTRADAS!AI135)-(BAIXAS!AI135)</f>
        <v>15</v>
      </c>
      <c r="E135" s="79" t="s">
        <v>330</v>
      </c>
      <c r="F135" s="335"/>
      <c r="G135" s="82">
        <v>39</v>
      </c>
      <c r="H135" s="336"/>
      <c r="I135" s="337"/>
      <c r="J135" s="337"/>
      <c r="K135" s="338"/>
      <c r="L135" s="333" t="str">
        <f>IF(Configurações!$G$4="Ligado",IF(AND(Baixas_Mantimentos[[#This Row],[Total]]=0,'Qtd Pessoas'!$K$10=0),"0",Baixas_Mantimentos[[#This Row],[Total]]/'Qtd Pessoas'!$K$10),"")</f>
        <v/>
      </c>
      <c r="M135" s="343"/>
      <c r="N135" s="339"/>
    </row>
    <row r="136" spans="1:14" ht="15.75">
      <c r="B136" s="326" t="s">
        <v>311</v>
      </c>
      <c r="C136" s="327" t="str">
        <f>INDEX(Cadastro_Mantimentos[[#All],[Colunas4]],MATCH(ROW()-5,Cadastro_Mantimentos[[#All],[Colunas2]],0))</f>
        <v>Vinagre Sachê</v>
      </c>
      <c r="D136" s="328">
        <f ca="1">G136+(ENTRADAS!AI136)-(BAIXAS!AI136)</f>
        <v>-1</v>
      </c>
      <c r="E136" s="79"/>
      <c r="F136" s="335"/>
      <c r="G136" s="82">
        <v>0</v>
      </c>
      <c r="H136" s="336"/>
      <c r="I136" s="337"/>
      <c r="J136" s="337"/>
      <c r="K136" s="338"/>
      <c r="L136" s="333" t="str">
        <f>IF(Configurações!$G$4="Ligado",IF(AND(Baixas_Mantimentos[[#This Row],[Total]]=0,'Qtd Pessoas'!$K$10=0),"0",Baixas_Mantimentos[[#This Row],[Total]]/'Qtd Pessoas'!$K$10),"")</f>
        <v/>
      </c>
      <c r="M136" s="343"/>
      <c r="N136" s="339"/>
    </row>
    <row r="137" spans="1:14" ht="16.5" thickBot="1">
      <c r="B137" s="326" t="s">
        <v>311</v>
      </c>
      <c r="C137" s="327" t="str">
        <f>INDEX(Cadastro_Mantimentos[[#All],[Colunas4]],MATCH(ROW()-5,Cadastro_Mantimentos[[#All],[Colunas2]],0))</f>
        <v>Vinho</v>
      </c>
      <c r="D137" s="328">
        <f ca="1">G137+(ENTRADAS!AI137)-(BAIXAS!AI137)</f>
        <v>5</v>
      </c>
      <c r="E137" s="81" t="s">
        <v>329</v>
      </c>
      <c r="F137" s="335"/>
      <c r="G137" s="83">
        <v>5</v>
      </c>
      <c r="H137" s="347"/>
      <c r="I137" s="348"/>
      <c r="J137" s="348"/>
      <c r="K137" s="349"/>
      <c r="L137" s="333" t="str">
        <f>IF(Configurações!$G$4="Ligado",IF(AND(Baixas_Mantimentos[[#This Row],[Total]]=0,'Qtd Pessoas'!$K$10=0),"0",Baixas_Mantimentos[[#This Row],[Total]]/'Qtd Pessoas'!$K$10),"")</f>
        <v/>
      </c>
      <c r="M137" s="343"/>
      <c r="N137" s="339"/>
    </row>
    <row r="138" spans="1:14" ht="15.75" thickBot="1">
      <c r="B138" s="326" t="s">
        <v>311</v>
      </c>
      <c r="C138" s="418"/>
      <c r="D138" s="418"/>
      <c r="E138" s="418"/>
      <c r="F138" s="418"/>
      <c r="G138" s="418"/>
      <c r="H138" s="418"/>
      <c r="I138" s="418"/>
      <c r="J138" s="418"/>
      <c r="K138" s="418"/>
      <c r="L138" s="350"/>
      <c r="M138" s="343"/>
      <c r="N138" s="339"/>
    </row>
    <row r="139" spans="1:14" ht="24" thickBot="1">
      <c r="A139" s="306">
        <f>COUNT(Estoque_Carnes[[#All],[Colunas5]])</f>
        <v>29</v>
      </c>
      <c r="B139" s="326" t="s">
        <v>311</v>
      </c>
      <c r="C139" s="419" t="s">
        <v>32</v>
      </c>
      <c r="D139" s="420"/>
      <c r="E139" s="420"/>
      <c r="F139" s="420"/>
      <c r="G139" s="420"/>
      <c r="H139" s="420"/>
      <c r="I139" s="420"/>
      <c r="J139" s="420"/>
      <c r="K139" s="421"/>
      <c r="L139" s="333"/>
      <c r="M139" s="343"/>
      <c r="N139" s="339"/>
    </row>
    <row r="140" spans="1:14" ht="16.5" thickBot="1">
      <c r="A140" s="306">
        <f>COUNTBLANK(Estoque_Carnes[[#All],[Colunas5]])</f>
        <v>0</v>
      </c>
      <c r="B140" s="326" t="s">
        <v>311</v>
      </c>
      <c r="C140" s="327" t="str">
        <f>INDEX(Cadastro_Carnes[[#All],[Colunas4]],MATCH(ROW()-5,Cadastro_Carnes[[#All],[Colunas2]],0))</f>
        <v>Almondega</v>
      </c>
      <c r="D140" s="351">
        <f ca="1">G140+(ENTRADAS!AI140)-(BAIXAS!AI140)</f>
        <v>26.715000000000003</v>
      </c>
      <c r="E140" s="85" t="s">
        <v>328</v>
      </c>
      <c r="F140" s="329"/>
      <c r="G140" s="87">
        <v>15.23</v>
      </c>
      <c r="H140" s="352"/>
      <c r="I140" s="352"/>
      <c r="J140" s="352"/>
      <c r="K140" s="352"/>
      <c r="L140" s="350" t="str">
        <f>IF(Configurações!$G$4="Ligado",IF(AND(Baixas_Carnes[[#This Row],[Colunas35]]=0,'Qtd Pessoas'!$K$10=0),"0",Baixas_Carnes[[#This Row],[Colunas35]]/'Qtd Pessoas'!$K$10),"")</f>
        <v/>
      </c>
      <c r="M140" s="343"/>
      <c r="N140" s="339"/>
    </row>
    <row r="141" spans="1:14" ht="16.5" thickBot="1">
      <c r="A141" s="306">
        <f>A139*100/(A139+A140)</f>
        <v>100</v>
      </c>
      <c r="B141" s="326" t="s">
        <v>311</v>
      </c>
      <c r="C141" s="353" t="str">
        <f>INDEX(Cadastro_Carnes[[#All],[Colunas4]],MATCH(ROW()-5,Cadastro_Carnes[[#All],[Colunas2]],0))</f>
        <v xml:space="preserve">Bacon </v>
      </c>
      <c r="D141" s="354">
        <f ca="1">G141+(ENTRADAS!AI141)-(BAIXAS!AI141)</f>
        <v>9.907</v>
      </c>
      <c r="E141" s="73" t="s">
        <v>328</v>
      </c>
      <c r="F141" s="335"/>
      <c r="G141" s="77">
        <v>10.922000000000001</v>
      </c>
      <c r="H141" s="352"/>
      <c r="I141" s="352"/>
      <c r="J141" s="352"/>
      <c r="K141" s="352"/>
      <c r="L141" s="350" t="str">
        <f>IF(Configurações!$G$4="Ligado",IF(AND(Baixas_Carnes[[#This Row],[Colunas35]]=0,'Qtd Pessoas'!$K$10=0),"0",Baixas_Carnes[[#This Row],[Colunas35]]/'Qtd Pessoas'!$K$10),"")</f>
        <v/>
      </c>
      <c r="M141" s="343"/>
      <c r="N141" s="339"/>
    </row>
    <row r="142" spans="1:14" ht="16.5" thickBot="1">
      <c r="B142" s="326" t="s">
        <v>311</v>
      </c>
      <c r="C142" s="353" t="str">
        <f>INDEX(Cadastro_Carnes[[#All],[Colunas4]],MATCH(ROW()-5,Cadastro_Carnes[[#All],[Colunas2]],0))</f>
        <v>Barriga</v>
      </c>
      <c r="D142" s="354">
        <f ca="1">G142+(ENTRADAS!AI142)-(BAIXAS!AI142)</f>
        <v>36.090000000000003</v>
      </c>
      <c r="E142" s="73" t="s">
        <v>328</v>
      </c>
      <c r="F142" s="335"/>
      <c r="G142" s="190">
        <v>38.97</v>
      </c>
      <c r="H142" s="352"/>
      <c r="I142" s="352"/>
      <c r="J142" s="352"/>
      <c r="K142" s="352"/>
      <c r="L142" s="350" t="str">
        <f>IF(Configurações!$G$4="Ligado",IF(AND(Baixas_Carnes[[#This Row],[Colunas35]]=0,'Qtd Pessoas'!$K$10=0),"0",Baixas_Carnes[[#This Row],[Colunas35]]/'Qtd Pessoas'!$K$10),"")</f>
        <v/>
      </c>
      <c r="M142" s="343"/>
      <c r="N142" s="339"/>
    </row>
    <row r="143" spans="1:14" ht="16.5" thickBot="1">
      <c r="B143" s="326" t="s">
        <v>311</v>
      </c>
      <c r="C143" s="353" t="str">
        <f>INDEX(Cadastro_Carnes[[#All],[Colunas4]],MATCH(ROW()-5,Cadastro_Carnes[[#All],[Colunas2]],0))</f>
        <v>Bisteca Porco</v>
      </c>
      <c r="D143" s="354">
        <f ca="1">G143+(ENTRADAS!AI143)-(BAIXAS!AI143)</f>
        <v>41.935000000000002</v>
      </c>
      <c r="E143" s="73" t="s">
        <v>328</v>
      </c>
      <c r="F143" s="335"/>
      <c r="G143" s="77">
        <v>38.125</v>
      </c>
      <c r="H143" s="352"/>
      <c r="I143" s="352"/>
      <c r="J143" s="352"/>
      <c r="K143" s="352"/>
      <c r="L143" s="350" t="str">
        <f>IF(Configurações!$G$4="Ligado",IF(AND(Baixas_Carnes[[#This Row],[Colunas35]]=0,'Qtd Pessoas'!$K$10=0),"0",Baixas_Carnes[[#This Row],[Colunas35]]/'Qtd Pessoas'!$K$10),"")</f>
        <v/>
      </c>
      <c r="M143" s="343"/>
      <c r="N143" s="339"/>
    </row>
    <row r="144" spans="1:14" ht="16.5" thickBot="1">
      <c r="B144" s="326" t="s">
        <v>311</v>
      </c>
      <c r="C144" s="353" t="str">
        <f>INDEX(Cadastro_Carnes[[#All],[Colunas4]],MATCH(ROW()-5,Cadastro_Carnes[[#All],[Colunas2]],0))</f>
        <v>Carne Moida Patinho</v>
      </c>
      <c r="D144" s="354">
        <f ca="1">G144+(ENTRADAS!AI144)-(BAIXAS!AI144)</f>
        <v>28.447000000000003</v>
      </c>
      <c r="E144" s="73" t="s">
        <v>328</v>
      </c>
      <c r="F144" s="335"/>
      <c r="G144" s="77">
        <v>18.675000000000001</v>
      </c>
      <c r="H144" s="352"/>
      <c r="I144" s="352"/>
      <c r="J144" s="352"/>
      <c r="K144" s="352"/>
      <c r="L144" s="350" t="str">
        <f>IF(Configurações!$G$4="Ligado",IF(AND(Baixas_Carnes[[#This Row],[Colunas35]]=0,'Qtd Pessoas'!$K$10=0),"0",Baixas_Carnes[[#This Row],[Colunas35]]/'Qtd Pessoas'!$K$10),"")</f>
        <v/>
      </c>
      <c r="M144" s="343"/>
      <c r="N144" s="339"/>
    </row>
    <row r="145" spans="2:14" ht="16.5" thickBot="1">
      <c r="B145" s="326" t="s">
        <v>311</v>
      </c>
      <c r="C145" s="353" t="str">
        <f>INDEX(Cadastro_Carnes[[#All],[Colunas4]],MATCH(ROW()-5,Cadastro_Carnes[[#All],[Colunas2]],0))</f>
        <v>Carne Seca</v>
      </c>
      <c r="D145" s="354">
        <f ca="1">G145+(ENTRADAS!AI145)-(BAIXAS!AI145)</f>
        <v>30</v>
      </c>
      <c r="E145" s="73" t="s">
        <v>328</v>
      </c>
      <c r="F145" s="335"/>
      <c r="G145" s="77">
        <v>10</v>
      </c>
      <c r="H145" s="352"/>
      <c r="I145" s="352"/>
      <c r="J145" s="352"/>
      <c r="K145" s="352"/>
      <c r="L145" s="350" t="str">
        <f>IF(Configurações!$G$4="Ligado",IF(AND(Baixas_Carnes[[#This Row],[Colunas35]]=0,'Qtd Pessoas'!$K$10=0),"0",Baixas_Carnes[[#This Row],[Colunas35]]/'Qtd Pessoas'!$K$10),"")</f>
        <v/>
      </c>
      <c r="M145" s="343"/>
      <c r="N145" s="339"/>
    </row>
    <row r="146" spans="2:14" ht="16.5" thickBot="1">
      <c r="B146" s="326" t="s">
        <v>311</v>
      </c>
      <c r="C146" s="353" t="str">
        <f>INDEX(Cadastro_Carnes[[#All],[Colunas4]],MATCH(ROW()-5,Cadastro_Carnes[[#All],[Colunas2]],0))</f>
        <v>Cheester</v>
      </c>
      <c r="D146" s="354">
        <f ca="1">G146+(ENTRADAS!AI146)-(BAIXAS!AI146)</f>
        <v>0</v>
      </c>
      <c r="E146" s="73" t="s">
        <v>328</v>
      </c>
      <c r="F146" s="335"/>
      <c r="G146" s="77">
        <v>0</v>
      </c>
      <c r="H146" s="352"/>
      <c r="I146" s="352"/>
      <c r="J146" s="352"/>
      <c r="K146" s="352"/>
      <c r="L146" s="350" t="str">
        <f>IF(Configurações!$G$4="Ligado",IF(AND(Baixas_Carnes[[#This Row],[Colunas35]]=0,'Qtd Pessoas'!$K$10=0),"0",Baixas_Carnes[[#This Row],[Colunas35]]/'Qtd Pessoas'!$K$10),"")</f>
        <v/>
      </c>
      <c r="M146" s="343"/>
      <c r="N146" s="339"/>
    </row>
    <row r="147" spans="2:14" ht="16.5" thickBot="1">
      <c r="B147" s="326" t="s">
        <v>311</v>
      </c>
      <c r="C147" s="353" t="str">
        <f>INDEX(Cadastro_Carnes[[#All],[Colunas4]],MATCH(ROW()-5,Cadastro_Carnes[[#All],[Colunas2]],0))</f>
        <v>Contra Filé</v>
      </c>
      <c r="D147" s="354">
        <f ca="1">G147+(ENTRADAS!AI147)-(BAIXAS!AI147)</f>
        <v>3.9709999999999894</v>
      </c>
      <c r="E147" s="73" t="s">
        <v>328</v>
      </c>
      <c r="F147" s="335"/>
      <c r="G147" s="77">
        <v>27.670999999999999</v>
      </c>
      <c r="H147" s="352"/>
      <c r="I147" s="352"/>
      <c r="J147" s="352"/>
      <c r="K147" s="352"/>
      <c r="L147" s="350" t="str">
        <f>IF(Configurações!$G$4="Ligado",IF(AND(Baixas_Carnes[[#This Row],[Colunas35]]=0,'Qtd Pessoas'!$K$10=0),"0",Baixas_Carnes[[#This Row],[Colunas35]]/'Qtd Pessoas'!$K$10),"")</f>
        <v/>
      </c>
      <c r="M147" s="343"/>
      <c r="N147" s="339"/>
    </row>
    <row r="148" spans="2:14" ht="16.5" thickBot="1">
      <c r="B148" s="326" t="s">
        <v>311</v>
      </c>
      <c r="C148" s="353" t="str">
        <f>INDEX(Cadastro_Carnes[[#All],[Colunas4]],MATCH(ROW()-5,Cadastro_Carnes[[#All],[Colunas2]],0))</f>
        <v>Costela Fresca</v>
      </c>
      <c r="D148" s="354">
        <f ca="1">G148+(ENTRADAS!AI148)-(BAIXAS!AI148)</f>
        <v>30.668999999999997</v>
      </c>
      <c r="E148" s="73" t="s">
        <v>328</v>
      </c>
      <c r="F148" s="335"/>
      <c r="G148" s="77">
        <v>22.68</v>
      </c>
      <c r="H148" s="352"/>
      <c r="I148" s="352"/>
      <c r="J148" s="352"/>
      <c r="K148" s="352"/>
      <c r="L148" s="350" t="str">
        <f>IF(Configurações!$G$4="Ligado",IF(AND(Baixas_Carnes[[#This Row],[Colunas35]]=0,'Qtd Pessoas'!$K$10=0),"0",Baixas_Carnes[[#This Row],[Colunas35]]/'Qtd Pessoas'!$K$10),"")</f>
        <v/>
      </c>
      <c r="M148" s="343"/>
      <c r="N148" s="339"/>
    </row>
    <row r="149" spans="2:14" ht="16.5" thickBot="1">
      <c r="B149" s="326" t="s">
        <v>311</v>
      </c>
      <c r="C149" s="353" t="str">
        <f>INDEX(Cadastro_Carnes[[#All],[Colunas4]],MATCH(ROW()-5,Cadastro_Carnes[[#All],[Colunas2]],0))</f>
        <v>Costela Salgada</v>
      </c>
      <c r="D149" s="354">
        <f ca="1">G149+(ENTRADAS!AI149)-(BAIXAS!AI149)</f>
        <v>39.774999999999999</v>
      </c>
      <c r="E149" s="73" t="s">
        <v>328</v>
      </c>
      <c r="F149" s="335"/>
      <c r="G149" s="77">
        <v>19.895</v>
      </c>
      <c r="H149" s="352"/>
      <c r="I149" s="352"/>
      <c r="J149" s="352"/>
      <c r="K149" s="352"/>
      <c r="L149" s="350" t="str">
        <f>IF(Configurações!$G$4="Ligado",IF(AND(Baixas_Carnes[[#This Row],[Colunas35]]=0,'Qtd Pessoas'!$K$10=0),"0",Baixas_Carnes[[#This Row],[Colunas35]]/'Qtd Pessoas'!$K$10),"")</f>
        <v/>
      </c>
      <c r="M149" s="343"/>
      <c r="N149" s="339"/>
    </row>
    <row r="150" spans="2:14" ht="16.5" thickBot="1">
      <c r="B150" s="326" t="s">
        <v>311</v>
      </c>
      <c r="C150" s="353" t="str">
        <f>INDEX(Cadastro_Carnes[[#All],[Colunas4]],MATCH(ROW()-5,Cadastro_Carnes[[#All],[Colunas2]],0))</f>
        <v>Coxa Com Sobrecoxa</v>
      </c>
      <c r="D150" s="354">
        <f ca="1">G150+(ENTRADAS!AI150)-(BAIXAS!AI150)</f>
        <v>26.859999999999985</v>
      </c>
      <c r="E150" s="73" t="s">
        <v>328</v>
      </c>
      <c r="F150" s="335"/>
      <c r="G150" s="77">
        <v>53.59</v>
      </c>
      <c r="H150" s="352"/>
      <c r="I150" s="352"/>
      <c r="J150" s="352"/>
      <c r="K150" s="352"/>
      <c r="L150" s="350" t="str">
        <f>IF(Configurações!$G$4="Ligado",IF(AND(Baixas_Carnes[[#This Row],[Colunas35]]=0,'Qtd Pessoas'!$K$10=0),"0",Baixas_Carnes[[#This Row],[Colunas35]]/'Qtd Pessoas'!$K$10),"")</f>
        <v/>
      </c>
      <c r="M150" s="343"/>
      <c r="N150" s="339"/>
    </row>
    <row r="151" spans="2:14" ht="16.5" thickBot="1">
      <c r="B151" s="326" t="s">
        <v>311</v>
      </c>
      <c r="C151" s="353" t="str">
        <f>INDEX(Cadastro_Carnes[[#All],[Colunas4]],MATCH(ROW()-5,Cadastro_Carnes[[#All],[Colunas2]],0))</f>
        <v>Coxão Duro</v>
      </c>
      <c r="D151" s="354">
        <f ca="1">G151+(ENTRADAS!AI151)-(BAIXAS!AI151)</f>
        <v>0</v>
      </c>
      <c r="E151" s="73" t="s">
        <v>328</v>
      </c>
      <c r="F151" s="335"/>
      <c r="G151" s="77">
        <v>6.8000000000000005E-2</v>
      </c>
      <c r="H151" s="352"/>
      <c r="I151" s="352"/>
      <c r="J151" s="352"/>
      <c r="K151" s="352"/>
      <c r="L151" s="350" t="str">
        <f>IF(Configurações!$G$4="Ligado",IF(AND(Baixas_Carnes[[#This Row],[Colunas35]]=0,'Qtd Pessoas'!$K$10=0),"0",Baixas_Carnes[[#This Row],[Colunas35]]/'Qtd Pessoas'!$K$10),"")</f>
        <v/>
      </c>
      <c r="M151" s="343"/>
      <c r="N151" s="339"/>
    </row>
    <row r="152" spans="2:14" ht="16.5" thickBot="1">
      <c r="B152" s="326" t="s">
        <v>311</v>
      </c>
      <c r="C152" s="353" t="str">
        <f>INDEX(Cadastro_Carnes[[#All],[Colunas4]],MATCH(ROW()-5,Cadastro_Carnes[[#All],[Colunas2]],0))</f>
        <v xml:space="preserve">Coxão Mole </v>
      </c>
      <c r="D152" s="354">
        <f ca="1">G152+(ENTRADAS!AI152)-(BAIXAS!AI152)</f>
        <v>23.340999999999994</v>
      </c>
      <c r="E152" s="73" t="s">
        <v>328</v>
      </c>
      <c r="F152" s="335"/>
      <c r="G152" s="77">
        <v>0</v>
      </c>
      <c r="H152" s="352"/>
      <c r="I152" s="352"/>
      <c r="J152" s="352"/>
      <c r="K152" s="352"/>
      <c r="L152" s="350" t="str">
        <f>IF(Configurações!$G$4="Ligado",IF(AND(Baixas_Carnes[[#This Row],[Colunas35]]=0,'Qtd Pessoas'!$K$10=0),"0",Baixas_Carnes[[#This Row],[Colunas35]]/'Qtd Pessoas'!$K$10),"")</f>
        <v/>
      </c>
      <c r="M152" s="343"/>
      <c r="N152" s="339"/>
    </row>
    <row r="153" spans="2:14" ht="16.5" thickBot="1">
      <c r="B153" s="326" t="s">
        <v>311</v>
      </c>
      <c r="C153" s="353" t="str">
        <f>INDEX(Cadastro_Carnes[[#All],[Colunas4]],MATCH(ROW()-5,Cadastro_Carnes[[#All],[Colunas2]],0))</f>
        <v>Cupim</v>
      </c>
      <c r="D153" s="354">
        <f ca="1">G153+(ENTRADAS!AI153)-(BAIXAS!AI153)</f>
        <v>18.094999999999999</v>
      </c>
      <c r="E153" s="73" t="s">
        <v>328</v>
      </c>
      <c r="F153" s="335"/>
      <c r="G153" s="77">
        <v>2.6699999999999982</v>
      </c>
      <c r="H153" s="352"/>
      <c r="I153" s="352"/>
      <c r="J153" s="352"/>
      <c r="K153" s="352"/>
      <c r="L153" s="350" t="str">
        <f>IF(Configurações!$G$4="Ligado",IF(AND(Baixas_Carnes[[#This Row],[Colunas35]]=0,'Qtd Pessoas'!$K$10=0),"0",Baixas_Carnes[[#This Row],[Colunas35]]/'Qtd Pessoas'!$K$10),"")</f>
        <v/>
      </c>
      <c r="M153" s="343"/>
      <c r="N153" s="339"/>
    </row>
    <row r="154" spans="2:14" ht="16.5" thickBot="1">
      <c r="B154" s="326" t="s">
        <v>311</v>
      </c>
      <c r="C154" s="353" t="str">
        <f>INDEX(Cadastro_Carnes[[#All],[Colunas4]],MATCH(ROW()-5,Cadastro_Carnes[[#All],[Colunas2]],0))</f>
        <v>Filé Frango</v>
      </c>
      <c r="D154" s="354">
        <f ca="1">G154+(ENTRADAS!AI154)-(BAIXAS!AI154)</f>
        <v>30.089999999999989</v>
      </c>
      <c r="E154" s="73" t="s">
        <v>328</v>
      </c>
      <c r="F154" s="335"/>
      <c r="G154" s="77">
        <v>59.14</v>
      </c>
      <c r="H154" s="352"/>
      <c r="I154" s="352"/>
      <c r="J154" s="352"/>
      <c r="K154" s="352"/>
      <c r="L154" s="350" t="str">
        <f>IF(Configurações!$G$4="Ligado",IF(AND(Baixas_Carnes[[#This Row],[Colunas35]]=0,'Qtd Pessoas'!$K$10=0),"0",Baixas_Carnes[[#This Row],[Colunas35]]/'Qtd Pessoas'!$K$10),"")</f>
        <v/>
      </c>
      <c r="M154" s="343"/>
      <c r="N154" s="339"/>
    </row>
    <row r="155" spans="2:14" ht="16.5" thickBot="1">
      <c r="B155" s="326" t="s">
        <v>311</v>
      </c>
      <c r="C155" s="353" t="str">
        <f>INDEX(Cadastro_Carnes[[#All],[Colunas4]],MATCH(ROW()-5,Cadastro_Carnes[[#All],[Colunas2]],0))</f>
        <v>Fraldinha</v>
      </c>
      <c r="D155" s="354">
        <f ca="1">G155+(ENTRADAS!AI155)-(BAIXAS!AI155)</f>
        <v>0</v>
      </c>
      <c r="E155" s="73" t="s">
        <v>328</v>
      </c>
      <c r="F155" s="335"/>
      <c r="G155" s="77">
        <v>0</v>
      </c>
      <c r="H155" s="352"/>
      <c r="I155" s="352"/>
      <c r="J155" s="352"/>
      <c r="K155" s="352"/>
      <c r="L155" s="350" t="str">
        <f>IF(Configurações!$G$4="Ligado",IF(AND(Baixas_Carnes[[#This Row],[Colunas35]]=0,'Qtd Pessoas'!$K$10=0),"0",Baixas_Carnes[[#This Row],[Colunas35]]/'Qtd Pessoas'!$K$10),"")</f>
        <v/>
      </c>
      <c r="M155" s="343"/>
      <c r="N155" s="339"/>
    </row>
    <row r="156" spans="2:14" ht="16.5" thickBot="1">
      <c r="B156" s="326" t="s">
        <v>311</v>
      </c>
      <c r="C156" s="353" t="str">
        <f>INDEX(Cadastro_Carnes[[#All],[Colunas4]],MATCH(ROW()-5,Cadastro_Carnes[[#All],[Colunas2]],0))</f>
        <v>Hambúrguer</v>
      </c>
      <c r="D156" s="354">
        <f ca="1">G156+(ENTRADAS!AI156)-(BAIXAS!AI156)</f>
        <v>0</v>
      </c>
      <c r="E156" s="73" t="s">
        <v>328</v>
      </c>
      <c r="F156" s="335"/>
      <c r="G156" s="77">
        <v>0</v>
      </c>
      <c r="H156" s="352"/>
      <c r="I156" s="352"/>
      <c r="J156" s="352"/>
      <c r="K156" s="352"/>
      <c r="L156" s="350" t="str">
        <f>IF(Configurações!$G$4="Ligado",IF(AND(Baixas_Carnes[[#This Row],[Colunas35]]=0,'Qtd Pessoas'!$K$10=0),"0",Baixas_Carnes[[#This Row],[Colunas35]]/'Qtd Pessoas'!$K$10),"")</f>
        <v/>
      </c>
      <c r="M156" s="343"/>
      <c r="N156" s="339"/>
    </row>
    <row r="157" spans="2:14" ht="16.5" thickBot="1">
      <c r="B157" s="326" t="s">
        <v>311</v>
      </c>
      <c r="C157" s="353" t="str">
        <f>INDEX(Cadastro_Carnes[[#All],[Colunas4]],MATCH(ROW()-5,Cadastro_Carnes[[#All],[Colunas2]],0))</f>
        <v>Lagarto</v>
      </c>
      <c r="D157" s="354">
        <f ca="1">G157+(ENTRADAS!AI157)-(BAIXAS!AI157)</f>
        <v>26.556999999999995</v>
      </c>
      <c r="E157" s="73" t="s">
        <v>328</v>
      </c>
      <c r="F157" s="335"/>
      <c r="G157" s="77">
        <v>24.713999999999999</v>
      </c>
      <c r="H157" s="352"/>
      <c r="I157" s="352"/>
      <c r="J157" s="352"/>
      <c r="K157" s="352"/>
      <c r="L157" s="350" t="str">
        <f>IF(Configurações!$G$4="Ligado",IF(AND(Baixas_Carnes[[#This Row],[Colunas35]]=0,'Qtd Pessoas'!$K$10=0),"0",Baixas_Carnes[[#This Row],[Colunas35]]/'Qtd Pessoas'!$K$10),"")</f>
        <v/>
      </c>
      <c r="M157" s="343"/>
      <c r="N157" s="339"/>
    </row>
    <row r="158" spans="2:14" ht="16.5" thickBot="1">
      <c r="B158" s="326" t="s">
        <v>311</v>
      </c>
      <c r="C158" s="353" t="str">
        <f>INDEX(Cadastro_Carnes[[#All],[Colunas4]],MATCH(ROW()-5,Cadastro_Carnes[[#All],[Colunas2]],0))</f>
        <v xml:space="preserve">Linguiça Calabresa </v>
      </c>
      <c r="D158" s="354">
        <f ca="1">G158+(ENTRADAS!AI158)-(BAIXAS!AI158)</f>
        <v>12.5</v>
      </c>
      <c r="E158" s="73" t="s">
        <v>328</v>
      </c>
      <c r="F158" s="335"/>
      <c r="G158" s="77">
        <v>20</v>
      </c>
      <c r="H158" s="352"/>
      <c r="I158" s="352"/>
      <c r="J158" s="352"/>
      <c r="K158" s="352"/>
      <c r="L158" s="350" t="str">
        <f>IF(Configurações!$G$4="Ligado",IF(AND(Baixas_Carnes[[#This Row],[Colunas35]]=0,'Qtd Pessoas'!$K$10=0),"0",Baixas_Carnes[[#This Row],[Colunas35]]/'Qtd Pessoas'!$K$10),"")</f>
        <v/>
      </c>
      <c r="M158" s="343"/>
      <c r="N158" s="339"/>
    </row>
    <row r="159" spans="2:14" ht="16.5" thickBot="1">
      <c r="B159" s="326" t="s">
        <v>311</v>
      </c>
      <c r="C159" s="353" t="str">
        <f>INDEX(Cadastro_Carnes[[#All],[Colunas4]],MATCH(ROW()-5,Cadastro_Carnes[[#All],[Colunas2]],0))</f>
        <v xml:space="preserve">Linguiça Fresca </v>
      </c>
      <c r="D159" s="354">
        <f ca="1">G159+(ENTRADAS!AI159)-(BAIXAS!AI159)</f>
        <v>10</v>
      </c>
      <c r="E159" s="73" t="s">
        <v>328</v>
      </c>
      <c r="F159" s="335"/>
      <c r="G159" s="77">
        <v>10</v>
      </c>
      <c r="H159" s="352"/>
      <c r="I159" s="352"/>
      <c r="J159" s="352"/>
      <c r="K159" s="352"/>
      <c r="L159" s="350" t="str">
        <f>IF(Configurações!$G$4="Ligado",IF(AND(Baixas_Carnes[[#This Row],[Colunas35]]=0,'Qtd Pessoas'!$K$10=0),"0",Baixas_Carnes[[#This Row],[Colunas35]]/'Qtd Pessoas'!$K$10),"")</f>
        <v/>
      </c>
      <c r="M159" s="343"/>
      <c r="N159" s="339"/>
    </row>
    <row r="160" spans="2:14" ht="16.5" thickBot="1">
      <c r="B160" s="326" t="s">
        <v>311</v>
      </c>
      <c r="C160" s="353" t="str">
        <f>INDEX(Cadastro_Carnes[[#All],[Colunas4]],MATCH(ROW()-5,Cadastro_Carnes[[#All],[Colunas2]],0))</f>
        <v>Lingüiça Paio</v>
      </c>
      <c r="D160" s="354">
        <f ca="1">G160+(ENTRADAS!AI160)-(BAIXAS!AI160)</f>
        <v>27.5</v>
      </c>
      <c r="E160" s="73" t="s">
        <v>328</v>
      </c>
      <c r="F160" s="335"/>
      <c r="G160" s="77">
        <v>15</v>
      </c>
      <c r="H160" s="352"/>
      <c r="I160" s="352"/>
      <c r="J160" s="352"/>
      <c r="K160" s="352"/>
      <c r="L160" s="350" t="str">
        <f>IF(Configurações!$G$4="Ligado",IF(AND(Baixas_Carnes[[#This Row],[Colunas35]]=0,'Qtd Pessoas'!$K$10=0),"0",Baixas_Carnes[[#This Row],[Colunas35]]/'Qtd Pessoas'!$K$10),"")</f>
        <v/>
      </c>
      <c r="M160" s="343"/>
      <c r="N160" s="339"/>
    </row>
    <row r="161" spans="1:257" ht="16.5" thickBot="1">
      <c r="B161" s="326" t="s">
        <v>311</v>
      </c>
      <c r="C161" s="353" t="str">
        <f>INDEX(Cadastro_Carnes[[#All],[Colunas4]],MATCH(ROW()-5,Cadastro_Carnes[[#All],[Colunas2]],0))</f>
        <v>Lombo De Porco</v>
      </c>
      <c r="D161" s="354">
        <f ca="1">G161+(ENTRADAS!AI161)-(BAIXAS!AI161)</f>
        <v>8.6210000000000022</v>
      </c>
      <c r="E161" s="73" t="s">
        <v>328</v>
      </c>
      <c r="F161" s="335"/>
      <c r="G161" s="77">
        <v>42.04</v>
      </c>
      <c r="H161" s="352"/>
      <c r="I161" s="352"/>
      <c r="J161" s="352"/>
      <c r="K161" s="352"/>
      <c r="L161" s="350" t="str">
        <f>IF(Configurações!$G$4="Ligado",IF(AND(Baixas_Carnes[[#This Row],[Colunas35]]=0,'Qtd Pessoas'!$K$10=0),"0",Baixas_Carnes[[#This Row],[Colunas35]]/'Qtd Pessoas'!$K$10),"")</f>
        <v/>
      </c>
      <c r="M161" s="343"/>
      <c r="N161" s="339"/>
    </row>
    <row r="162" spans="1:257" ht="16.5" thickBot="1">
      <c r="B162" s="326" t="s">
        <v>311</v>
      </c>
      <c r="C162" s="353" t="str">
        <f>INDEX(Cadastro_Carnes[[#All],[Colunas4]],MATCH(ROW()-5,Cadastro_Carnes[[#All],[Colunas2]],0))</f>
        <v>Maminha</v>
      </c>
      <c r="D162" s="354">
        <f ca="1">G162+(ENTRADAS!AI162)-(BAIXAS!AI162)</f>
        <v>40.450000000000003</v>
      </c>
      <c r="E162" s="73" t="s">
        <v>328</v>
      </c>
      <c r="F162" s="335"/>
      <c r="G162" s="77">
        <v>0</v>
      </c>
      <c r="H162" s="352"/>
      <c r="I162" s="352"/>
      <c r="J162" s="352"/>
      <c r="K162" s="352"/>
      <c r="L162" s="350" t="str">
        <f>IF(Configurações!$G$4="Ligado",IF(AND(Baixas_Carnes[[#This Row],[Colunas35]]=0,'Qtd Pessoas'!$K$10=0),"0",Baixas_Carnes[[#This Row],[Colunas35]]/'Qtd Pessoas'!$K$10),"")</f>
        <v/>
      </c>
      <c r="M162" s="343"/>
      <c r="N162" s="339"/>
    </row>
    <row r="163" spans="1:257" ht="16.5" thickBot="1">
      <c r="B163" s="326" t="s">
        <v>311</v>
      </c>
      <c r="C163" s="353" t="str">
        <f>INDEX(Cadastro_Carnes[[#All],[Colunas4]],MATCH(ROW()-5,Cadastro_Carnes[[#All],[Colunas2]],0))</f>
        <v>Paleta</v>
      </c>
      <c r="D163" s="354">
        <f ca="1">G163+(ENTRADAS!AI163)-(BAIXAS!AI163)</f>
        <v>0</v>
      </c>
      <c r="E163" s="73" t="s">
        <v>328</v>
      </c>
      <c r="F163" s="335"/>
      <c r="G163" s="77">
        <v>0</v>
      </c>
      <c r="H163" s="352"/>
      <c r="I163" s="352"/>
      <c r="J163" s="352"/>
      <c r="K163" s="352"/>
      <c r="L163" s="350" t="str">
        <f>IF(Configurações!$G$4="Ligado",IF(AND(Baixas_Carnes[[#This Row],[Colunas35]]=0,'Qtd Pessoas'!$K$10=0),"0",Baixas_Carnes[[#This Row],[Colunas35]]/'Qtd Pessoas'!$K$10),"")</f>
        <v/>
      </c>
      <c r="M163" s="343"/>
      <c r="N163" s="339"/>
    </row>
    <row r="164" spans="1:257" ht="16.5" thickBot="1">
      <c r="B164" s="326" t="s">
        <v>311</v>
      </c>
      <c r="C164" s="353" t="str">
        <f>INDEX(Cadastro_Carnes[[#All],[Colunas4]],MATCH(ROW()-5,Cadastro_Carnes[[#All],[Colunas2]],0))</f>
        <v>Pernil</v>
      </c>
      <c r="D164" s="354">
        <f ca="1">G164+(ENTRADAS!AI164)-(BAIXAS!AI164)</f>
        <v>0</v>
      </c>
      <c r="E164" s="73" t="s">
        <v>328</v>
      </c>
      <c r="F164" s="335"/>
      <c r="G164" s="77">
        <v>0</v>
      </c>
      <c r="H164" s="352"/>
      <c r="I164" s="352"/>
      <c r="J164" s="352"/>
      <c r="K164" s="352"/>
      <c r="L164" s="350" t="str">
        <f>IF(Configurações!$G$4="Ligado",IF(AND(Baixas_Carnes[[#This Row],[Colunas35]]=0,'Qtd Pessoas'!$K$10=0),"0",Baixas_Carnes[[#This Row],[Colunas35]]/'Qtd Pessoas'!$K$10),"")</f>
        <v/>
      </c>
      <c r="M164" s="343"/>
      <c r="N164" s="339"/>
    </row>
    <row r="165" spans="1:257" ht="16.5" thickBot="1">
      <c r="B165" s="326" t="s">
        <v>311</v>
      </c>
      <c r="C165" s="353" t="str">
        <f>INDEX(Cadastro_Carnes[[#All],[Colunas4]],MATCH(ROW()-5,Cadastro_Carnes[[#All],[Colunas2]],0))</f>
        <v>Peru</v>
      </c>
      <c r="D165" s="354">
        <f ca="1">G165+(ENTRADAS!AI165)-(BAIXAS!AI165)</f>
        <v>10.149999999999999</v>
      </c>
      <c r="E165" s="73" t="s">
        <v>328</v>
      </c>
      <c r="F165" s="335"/>
      <c r="G165" s="77">
        <v>0</v>
      </c>
      <c r="H165" s="352"/>
      <c r="I165" s="352"/>
      <c r="J165" s="352"/>
      <c r="K165" s="352"/>
      <c r="L165" s="350" t="str">
        <f>IF(Configurações!$G$4="Ligado",IF(AND(Baixas_Carnes[[#This Row],[Colunas35]]=0,'Qtd Pessoas'!$K$10=0),"0",Baixas_Carnes[[#This Row],[Colunas35]]/'Qtd Pessoas'!$K$10),"")</f>
        <v/>
      </c>
      <c r="M165" s="343"/>
      <c r="N165" s="339"/>
    </row>
    <row r="166" spans="1:257" ht="16.5" thickBot="1">
      <c r="B166" s="326" t="s">
        <v>311</v>
      </c>
      <c r="C166" s="353" t="str">
        <f>INDEX(Cadastro_Carnes[[#All],[Colunas4]],MATCH(ROW()-5,Cadastro_Carnes[[#All],[Colunas2]],0))</f>
        <v>Presunto</v>
      </c>
      <c r="D166" s="354">
        <f ca="1">G166+(ENTRADAS!AI166)-(BAIXAS!AI166)</f>
        <v>17.205000000000002</v>
      </c>
      <c r="E166" s="73" t="s">
        <v>328</v>
      </c>
      <c r="F166" s="335"/>
      <c r="G166" s="77">
        <v>13.74</v>
      </c>
      <c r="H166" s="352"/>
      <c r="I166" s="352"/>
      <c r="J166" s="352"/>
      <c r="K166" s="352"/>
      <c r="L166" s="350" t="str">
        <f>IF(Configurações!$G$4="Ligado",IF(AND(Baixas_Carnes[[#This Row],[Colunas35]]=0,'Qtd Pessoas'!$K$10=0),"0",Baixas_Carnes[[#This Row],[Colunas35]]/'Qtd Pessoas'!$K$10),"")</f>
        <v/>
      </c>
      <c r="M166" s="343"/>
      <c r="N166" s="339"/>
    </row>
    <row r="167" spans="1:257" ht="15.75" customHeight="1" thickBot="1">
      <c r="B167" s="326" t="s">
        <v>311</v>
      </c>
      <c r="C167" s="353" t="str">
        <f>INDEX(Cadastro_Carnes[[#All],[Colunas4]],MATCH(ROW()-5,Cadastro_Carnes[[#All],[Colunas2]],0))</f>
        <v>Salsicha</v>
      </c>
      <c r="D167" s="354">
        <f ca="1">G167+(ENTRADAS!AI167)-(BAIXAS!AI167)</f>
        <v>5</v>
      </c>
      <c r="E167" s="73" t="s">
        <v>328</v>
      </c>
      <c r="F167" s="335"/>
      <c r="G167" s="77">
        <v>10</v>
      </c>
      <c r="H167" s="352"/>
      <c r="I167" s="352"/>
      <c r="J167" s="352"/>
      <c r="K167" s="352"/>
      <c r="L167" s="350" t="str">
        <f>IF(Configurações!$G$4="Ligado",IF(AND(Baixas_Carnes[[#This Row],[Colunas35]]=0,'Qtd Pessoas'!$K$10=0),"0",Baixas_Carnes[[#This Row],[Colunas35]]/'Qtd Pessoas'!$K$10),"")</f>
        <v/>
      </c>
      <c r="M167" s="343"/>
      <c r="N167" s="339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  <c r="EA167" s="62"/>
      <c r="EB167" s="62"/>
      <c r="EC167" s="62"/>
      <c r="ED167" s="62"/>
      <c r="EE167" s="62"/>
      <c r="EF167" s="62"/>
      <c r="EG167" s="62"/>
      <c r="EH167" s="62"/>
      <c r="EI167" s="62"/>
      <c r="EJ167" s="62"/>
      <c r="EK167" s="62"/>
      <c r="EL167" s="62"/>
      <c r="EM167" s="62"/>
      <c r="EN167" s="62"/>
      <c r="EO167" s="62"/>
      <c r="EP167" s="62"/>
      <c r="EQ167" s="62"/>
      <c r="ER167" s="62"/>
      <c r="ES167" s="62"/>
      <c r="ET167" s="62"/>
      <c r="EU167" s="62"/>
      <c r="EV167" s="62"/>
      <c r="EW167" s="62"/>
      <c r="EX167" s="62"/>
      <c r="EY167" s="62"/>
      <c r="EZ167" s="62"/>
      <c r="FA167" s="62"/>
      <c r="FB167" s="62"/>
      <c r="FC167" s="62"/>
      <c r="FD167" s="62"/>
      <c r="FE167" s="62"/>
      <c r="FF167" s="62"/>
      <c r="FG167" s="62"/>
      <c r="FH167" s="62"/>
      <c r="FI167" s="62"/>
      <c r="FJ167" s="62"/>
      <c r="FK167" s="62"/>
      <c r="FL167" s="62"/>
      <c r="FM167" s="62"/>
      <c r="FN167" s="62"/>
      <c r="FO167" s="62"/>
      <c r="FP167" s="62"/>
      <c r="FQ167" s="62"/>
      <c r="FR167" s="62"/>
      <c r="FS167" s="62"/>
      <c r="FT167" s="62"/>
      <c r="FU167" s="62"/>
      <c r="FV167" s="62"/>
      <c r="FW167" s="62"/>
      <c r="FX167" s="62"/>
      <c r="FY167" s="62"/>
      <c r="FZ167" s="62"/>
      <c r="GA167" s="62"/>
      <c r="GB167" s="62"/>
      <c r="GC167" s="62"/>
      <c r="GD167" s="62"/>
      <c r="GE167" s="62"/>
      <c r="GF167" s="62"/>
      <c r="GG167" s="62"/>
      <c r="GH167" s="62"/>
      <c r="GI167" s="62"/>
      <c r="GJ167" s="62"/>
      <c r="GK167" s="62"/>
      <c r="GL167" s="62"/>
      <c r="GM167" s="62"/>
      <c r="GN167" s="62"/>
      <c r="GO167" s="62"/>
      <c r="GP167" s="62"/>
      <c r="GQ167" s="62"/>
      <c r="GR167" s="62"/>
      <c r="GS167" s="62"/>
      <c r="GT167" s="62"/>
      <c r="GU167" s="62"/>
      <c r="GV167" s="62"/>
      <c r="GW167" s="62"/>
      <c r="GX167" s="62"/>
      <c r="GY167" s="62"/>
      <c r="GZ167" s="62"/>
      <c r="HA167" s="62"/>
      <c r="HB167" s="62"/>
      <c r="HC167" s="62"/>
      <c r="HD167" s="62"/>
      <c r="HE167" s="62"/>
      <c r="HF167" s="62"/>
      <c r="HG167" s="62"/>
      <c r="HH167" s="62"/>
      <c r="HI167" s="62"/>
      <c r="HJ167" s="62"/>
      <c r="HK167" s="62"/>
      <c r="HL167" s="62"/>
      <c r="HM167" s="62"/>
      <c r="HN167" s="62"/>
      <c r="HO167" s="62"/>
      <c r="HP167" s="62"/>
      <c r="HQ167" s="62"/>
      <c r="HR167" s="62"/>
      <c r="HS167" s="62"/>
      <c r="HT167" s="62"/>
      <c r="HU167" s="62"/>
      <c r="HV167" s="62"/>
      <c r="HW167" s="62"/>
      <c r="HX167" s="62"/>
      <c r="HY167" s="62"/>
      <c r="HZ167" s="62"/>
      <c r="IA167" s="62"/>
      <c r="IB167" s="62"/>
      <c r="IC167" s="62"/>
      <c r="ID167" s="62"/>
      <c r="IE167" s="62"/>
      <c r="IF167" s="62"/>
      <c r="IG167" s="62"/>
      <c r="IH167" s="62"/>
      <c r="II167" s="62"/>
      <c r="IJ167" s="62"/>
      <c r="IK167" s="62"/>
      <c r="IL167" s="62"/>
      <c r="IM167" s="62"/>
      <c r="IN167" s="62"/>
      <c r="IO167" s="62"/>
      <c r="IP167" s="62"/>
      <c r="IQ167" s="62"/>
      <c r="IR167" s="62"/>
      <c r="IS167" s="62"/>
      <c r="IT167" s="62"/>
      <c r="IU167" s="62"/>
      <c r="IV167" s="62"/>
      <c r="IW167" s="62"/>
    </row>
    <row r="168" spans="1:257" ht="16.5" thickBot="1">
      <c r="B168" s="326" t="s">
        <v>311</v>
      </c>
      <c r="C168" s="353" t="str">
        <f>INDEX(Cadastro_Carnes[[#All],[Colunas4]],MATCH(ROW()-5,Cadastro_Carnes[[#All],[Colunas2]],0))</f>
        <v>Tender</v>
      </c>
      <c r="D168" s="354">
        <f ca="1">G168+(ENTRADAS!AI168)-(BAIXAS!AI168)</f>
        <v>0</v>
      </c>
      <c r="E168" s="74" t="s">
        <v>328</v>
      </c>
      <c r="F168" s="355"/>
      <c r="G168" s="78">
        <v>0</v>
      </c>
      <c r="H168" s="352"/>
      <c r="I168" s="352"/>
      <c r="J168" s="352"/>
      <c r="K168" s="352"/>
      <c r="L168" s="350" t="str">
        <f>IF(Configurações!$G$4="Ligado",IF(AND(Baixas_Carnes[[#This Row],[Colunas35]]=0,'Qtd Pessoas'!$K$10=0),"0",Baixas_Carnes[[#This Row],[Colunas35]]/'Qtd Pessoas'!$K$10),"")</f>
        <v/>
      </c>
      <c r="M168" s="343"/>
      <c r="N168" s="339"/>
    </row>
    <row r="169" spans="1:257" ht="15.75" thickBot="1">
      <c r="B169" s="326" t="s">
        <v>311</v>
      </c>
      <c r="C169" s="425"/>
      <c r="D169" s="425"/>
      <c r="E169" s="425"/>
      <c r="F169" s="425"/>
      <c r="G169" s="425"/>
      <c r="H169" s="425"/>
      <c r="I169" s="425"/>
      <c r="J169" s="425"/>
      <c r="K169" s="425"/>
      <c r="L169" s="350"/>
      <c r="M169" s="356"/>
      <c r="N169" s="339"/>
    </row>
    <row r="170" spans="1:257" ht="24" thickBot="1">
      <c r="A170" s="306">
        <f>COUNT(Estoque_Laticinios[[#All],[Colunas5]])</f>
        <v>3</v>
      </c>
      <c r="B170" s="326" t="s">
        <v>311</v>
      </c>
      <c r="C170" s="429" t="s">
        <v>46</v>
      </c>
      <c r="D170" s="430"/>
      <c r="E170" s="430"/>
      <c r="F170" s="430"/>
      <c r="G170" s="430"/>
      <c r="H170" s="430"/>
      <c r="I170" s="430"/>
      <c r="J170" s="430"/>
      <c r="K170" s="431"/>
      <c r="L170" s="333"/>
      <c r="M170" s="343"/>
      <c r="N170" s="339"/>
    </row>
    <row r="171" spans="1:257" ht="15.75" customHeight="1" thickBot="1">
      <c r="A171" s="306">
        <f>COUNTBLANK(Estoque_Laticinios[[#All],[Colunas5]])</f>
        <v>0</v>
      </c>
      <c r="B171" s="326" t="s">
        <v>311</v>
      </c>
      <c r="C171" s="327" t="str">
        <f>INDEX(Cadastro_Queijo[[#All],[Colunas4]],MATCH(ROW()-5,Cadastro_Queijo[[#All],[Colunas2]],0))</f>
        <v>Queijo Branco/Fresco</v>
      </c>
      <c r="D171" s="357">
        <f ca="1">G171+(ENTRADAS!AI171)-(BAIXAS!AI171)</f>
        <v>29.555000000000007</v>
      </c>
      <c r="E171" s="85" t="s">
        <v>328</v>
      </c>
      <c r="F171" s="329"/>
      <c r="G171" s="86">
        <v>0</v>
      </c>
      <c r="H171" s="358"/>
      <c r="I171" s="358"/>
      <c r="J171" s="358"/>
      <c r="K171" s="358"/>
      <c r="L171" s="350" t="str">
        <f>IF(Configurações!$G$4="Ligado",IF(AND(Baixas_Laticionios[[#This Row],[Colunas35]]=0,'Qtd Pessoas'!$K$10=0),"0",Baixas_Laticionios[[#This Row],[Colunas35]]/'Qtd Pessoas'!$K$10),"")</f>
        <v/>
      </c>
      <c r="M171" s="343"/>
      <c r="N171" s="339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  <c r="EA171" s="62"/>
      <c r="EB171" s="62"/>
      <c r="EC171" s="62"/>
      <c r="ED171" s="62"/>
      <c r="EE171" s="62"/>
      <c r="EF171" s="62"/>
      <c r="EG171" s="62"/>
      <c r="EH171" s="62"/>
      <c r="EI171" s="62"/>
      <c r="EJ171" s="62"/>
      <c r="EK171" s="62"/>
      <c r="EL171" s="62"/>
      <c r="EM171" s="62"/>
      <c r="EN171" s="62"/>
      <c r="EO171" s="62"/>
      <c r="EP171" s="62"/>
      <c r="EQ171" s="62"/>
      <c r="ER171" s="62"/>
      <c r="ES171" s="62"/>
      <c r="ET171" s="62"/>
      <c r="EU171" s="62"/>
      <c r="EV171" s="62"/>
      <c r="EW171" s="62"/>
      <c r="EX171" s="62"/>
      <c r="EY171" s="62"/>
      <c r="EZ171" s="62"/>
      <c r="FA171" s="62"/>
      <c r="FB171" s="62"/>
      <c r="FC171" s="62"/>
      <c r="FD171" s="62"/>
      <c r="FE171" s="62"/>
      <c r="FF171" s="62"/>
      <c r="FG171" s="62"/>
      <c r="FH171" s="62"/>
      <c r="FI171" s="62"/>
      <c r="FJ171" s="62"/>
      <c r="FK171" s="62"/>
      <c r="FL171" s="62"/>
      <c r="FM171" s="62"/>
      <c r="FN171" s="62"/>
      <c r="FO171" s="62"/>
      <c r="FP171" s="62"/>
      <c r="FQ171" s="62"/>
      <c r="FR171" s="62"/>
      <c r="FS171" s="62"/>
      <c r="FT171" s="62"/>
      <c r="FU171" s="62"/>
      <c r="FV171" s="62"/>
      <c r="FW171" s="62"/>
      <c r="FX171" s="62"/>
      <c r="FY171" s="62"/>
      <c r="FZ171" s="62"/>
      <c r="GA171" s="62"/>
      <c r="GB171" s="62"/>
      <c r="GC171" s="62"/>
      <c r="GD171" s="62"/>
      <c r="GE171" s="62"/>
      <c r="GF171" s="62"/>
      <c r="GG171" s="62"/>
      <c r="GH171" s="62"/>
      <c r="GI171" s="62"/>
      <c r="GJ171" s="62"/>
      <c r="GK171" s="62"/>
      <c r="GL171" s="62"/>
      <c r="GM171" s="62"/>
      <c r="GN171" s="62"/>
      <c r="GO171" s="62"/>
      <c r="GP171" s="62"/>
      <c r="GQ171" s="62"/>
      <c r="GR171" s="62"/>
      <c r="GS171" s="62"/>
      <c r="GT171" s="62"/>
      <c r="GU171" s="62"/>
      <c r="GV171" s="62"/>
      <c r="GW171" s="62"/>
      <c r="GX171" s="62"/>
      <c r="GY171" s="62"/>
      <c r="GZ171" s="62"/>
      <c r="HA171" s="62"/>
      <c r="HB171" s="62"/>
      <c r="HC171" s="62"/>
      <c r="HD171" s="62"/>
      <c r="HE171" s="62"/>
      <c r="HF171" s="62"/>
      <c r="HG171" s="62"/>
      <c r="HH171" s="62"/>
      <c r="HI171" s="62"/>
      <c r="HJ171" s="62"/>
      <c r="HK171" s="62"/>
      <c r="HL171" s="62"/>
      <c r="HM171" s="62"/>
      <c r="HN171" s="62"/>
      <c r="HO171" s="62"/>
      <c r="HP171" s="62"/>
      <c r="HQ171" s="62"/>
      <c r="HR171" s="62"/>
      <c r="HS171" s="62"/>
      <c r="HT171" s="62"/>
      <c r="HU171" s="62"/>
      <c r="HV171" s="62"/>
      <c r="HW171" s="62"/>
      <c r="HX171" s="62"/>
      <c r="HY171" s="62"/>
      <c r="HZ171" s="62"/>
      <c r="IA171" s="62"/>
      <c r="IB171" s="62"/>
      <c r="IC171" s="62"/>
      <c r="ID171" s="62"/>
      <c r="IE171" s="62"/>
      <c r="IF171" s="62"/>
      <c r="IG171" s="62"/>
      <c r="IH171" s="62"/>
      <c r="II171" s="62"/>
      <c r="IJ171" s="62"/>
      <c r="IK171" s="62"/>
      <c r="IL171" s="62"/>
      <c r="IM171" s="62"/>
      <c r="IN171" s="62"/>
      <c r="IO171" s="62"/>
      <c r="IP171" s="62"/>
      <c r="IQ171" s="62"/>
      <c r="IR171" s="62"/>
      <c r="IS171" s="62"/>
      <c r="IT171" s="62"/>
      <c r="IU171" s="62"/>
      <c r="IV171" s="62"/>
      <c r="IW171" s="62"/>
    </row>
    <row r="172" spans="1:257" ht="18.75" thickBot="1">
      <c r="A172" s="306">
        <f>A170*100/(A170+A171)</f>
        <v>100</v>
      </c>
      <c r="B172" s="326" t="s">
        <v>311</v>
      </c>
      <c r="C172" s="353" t="str">
        <f>INDEX(Cadastro_Queijo[[#All],[Colunas4]],MATCH(ROW()-5,Cadastro_Queijo[[#All],[Colunas2]],0))</f>
        <v>Queijo Mussarela</v>
      </c>
      <c r="D172" s="359">
        <f ca="1">G172+(ENTRADAS!AI172)-(BAIXAS!AI172)</f>
        <v>36.124000000000002</v>
      </c>
      <c r="E172" s="73" t="s">
        <v>328</v>
      </c>
      <c r="F172" s="335"/>
      <c r="G172" s="75">
        <v>0</v>
      </c>
      <c r="H172" s="358"/>
      <c r="I172" s="358"/>
      <c r="J172" s="358"/>
      <c r="K172" s="358"/>
      <c r="L172" s="350" t="str">
        <f>IF(Configurações!$G$4="Ligado",IF(AND(Baixas_Laticionios[[#This Row],[Colunas35]]=0,'Qtd Pessoas'!$K$10=0),"0",Baixas_Laticionios[[#This Row],[Colunas35]]/'Qtd Pessoas'!$K$10),"")</f>
        <v/>
      </c>
      <c r="M172" s="343"/>
      <c r="N172" s="339"/>
    </row>
    <row r="173" spans="1:257" ht="18.75" thickBot="1">
      <c r="B173" s="326" t="s">
        <v>311</v>
      </c>
      <c r="C173" s="353" t="str">
        <f>INDEX(Cadastro_Queijo[[#All],[Colunas4]],MATCH(ROW()-5,Cadastro_Queijo[[#All],[Colunas2]],0))</f>
        <v>Queijo Ralado</v>
      </c>
      <c r="D173" s="360">
        <f ca="1">G173+(ENTRADAS!AI173)-(BAIXAS!AI173)</f>
        <v>19.5</v>
      </c>
      <c r="E173" s="74" t="s">
        <v>328</v>
      </c>
      <c r="F173" s="335"/>
      <c r="G173" s="76">
        <v>0</v>
      </c>
      <c r="H173" s="358"/>
      <c r="I173" s="358"/>
      <c r="J173" s="358"/>
      <c r="K173" s="358"/>
      <c r="L173" s="350" t="str">
        <f>IF(Configurações!$G$4="Ligado",IF(AND(Baixas_Laticionios[[#This Row],[Colunas35]]=0,'Qtd Pessoas'!$K$10=0),"0",Baixas_Laticionios[[#This Row],[Colunas35]]/'Qtd Pessoas'!$K$10),"")</f>
        <v/>
      </c>
      <c r="M173" s="343"/>
      <c r="N173" s="339"/>
    </row>
    <row r="174" spans="1:257" ht="15.75" thickBot="1">
      <c r="B174" s="326" t="s">
        <v>311</v>
      </c>
      <c r="C174" s="425"/>
      <c r="D174" s="425"/>
      <c r="E174" s="425"/>
      <c r="F174" s="425"/>
      <c r="G174" s="425"/>
      <c r="H174" s="425"/>
      <c r="I174" s="425"/>
      <c r="J174" s="425"/>
      <c r="K174" s="425"/>
      <c r="L174" s="350"/>
      <c r="M174" s="343"/>
      <c r="N174" s="339"/>
    </row>
    <row r="175" spans="1:257" ht="24" thickBot="1">
      <c r="A175" s="306">
        <f>COUNT(Estoque_Peixes[[#All],[Colunas5]])</f>
        <v>5</v>
      </c>
      <c r="B175" s="326" t="s">
        <v>311</v>
      </c>
      <c r="C175" s="426" t="s">
        <v>49</v>
      </c>
      <c r="D175" s="427"/>
      <c r="E175" s="427"/>
      <c r="F175" s="427"/>
      <c r="G175" s="427"/>
      <c r="H175" s="427"/>
      <c r="I175" s="427"/>
      <c r="J175" s="427"/>
      <c r="K175" s="428"/>
      <c r="L175" s="406"/>
      <c r="M175" s="343"/>
      <c r="N175" s="339"/>
    </row>
    <row r="176" spans="1:257" ht="16.5" thickBot="1">
      <c r="A176" s="306">
        <f>COUNTBLANK(Estoque_Peixes[[#All],[Colunas5]])</f>
        <v>0</v>
      </c>
      <c r="B176" s="326" t="s">
        <v>311</v>
      </c>
      <c r="C176" s="361" t="str">
        <f>INDEX(Cadastro_Peixes[[#All],[Colunas4]],MATCH(ROW()-5,Cadastro_Peixes[[#All],[Colunas2]],0))</f>
        <v>Camarão</v>
      </c>
      <c r="D176" s="362">
        <f ca="1">G176+(ENTRADAS!AI176)-(BAIXAS!AI176)</f>
        <v>0</v>
      </c>
      <c r="E176" s="84" t="s">
        <v>328</v>
      </c>
      <c r="F176" s="329"/>
      <c r="G176" s="84">
        <v>0</v>
      </c>
      <c r="H176" s="363"/>
      <c r="I176" s="363"/>
      <c r="J176" s="363"/>
      <c r="K176" s="363"/>
      <c r="L176" s="407" t="str">
        <f>IF(Configurações!$G$4="Ligado",IF(AND(Baixas_Peixes[[#This Row],[Colunas35]]=0,'Qtd Pessoas'!$K$10=0),"0",Baixas_Peixes[[#This Row],[Colunas35]]/'Qtd Pessoas'!$K$10),"")</f>
        <v/>
      </c>
      <c r="M176" s="343"/>
      <c r="N176" s="339"/>
    </row>
    <row r="177" spans="1:14" ht="16.5" thickBot="1">
      <c r="A177" s="306">
        <f>A175*100/(A175+A176)</f>
        <v>100</v>
      </c>
      <c r="B177" s="326" t="s">
        <v>311</v>
      </c>
      <c r="C177" s="364" t="str">
        <f>INDEX(Cadastro_Peixes[[#All],[Colunas4]],MATCH(ROW()-5,Cadastro_Peixes[[#All],[Colunas2]],0))</f>
        <v>Filé de Merluza</v>
      </c>
      <c r="D177" s="365">
        <f ca="1">G177+(ENTRADAS!AI177)-(BAIXAS!AI177)</f>
        <v>4.7149999999999999</v>
      </c>
      <c r="E177" s="71" t="s">
        <v>328</v>
      </c>
      <c r="F177" s="335"/>
      <c r="G177" s="71">
        <v>34</v>
      </c>
      <c r="H177" s="358"/>
      <c r="I177" s="358"/>
      <c r="J177" s="358"/>
      <c r="K177" s="358"/>
      <c r="L177" s="407" t="str">
        <f>IF(Configurações!$G$4="Ligado",IF(AND(Baixas_Peixes[[#This Row],[Colunas35]]=0,'Qtd Pessoas'!$K$10=0),"0",Baixas_Peixes[[#This Row],[Colunas35]]/'Qtd Pessoas'!$K$10),"")</f>
        <v/>
      </c>
      <c r="M177" s="343" t="s">
        <v>1150</v>
      </c>
      <c r="N177" s="339"/>
    </row>
    <row r="178" spans="1:14" ht="16.5" thickBot="1">
      <c r="B178" s="326" t="s">
        <v>311</v>
      </c>
      <c r="C178" s="364" t="str">
        <f>INDEX(Cadastro_Peixes[[#All],[Colunas4]],MATCH(ROW()-5,Cadastro_Peixes[[#All],[Colunas2]],0))</f>
        <v>Kani</v>
      </c>
      <c r="D178" s="365">
        <f ca="1">G178+(ENTRADAS!AI178)-(BAIXAS!AI178)</f>
        <v>0</v>
      </c>
      <c r="E178" s="71" t="s">
        <v>328</v>
      </c>
      <c r="F178" s="335"/>
      <c r="G178" s="71">
        <v>0</v>
      </c>
      <c r="H178" s="358"/>
      <c r="I178" s="358"/>
      <c r="J178" s="358"/>
      <c r="K178" s="358"/>
      <c r="L178" s="407" t="str">
        <f>IF(Configurações!$G$4="Ligado",IF(AND(Baixas_Peixes[[#This Row],[Colunas35]]=0,'Qtd Pessoas'!$K$10=0),"0",Baixas_Peixes[[#This Row],[Colunas35]]/'Qtd Pessoas'!$K$10),"")</f>
        <v/>
      </c>
      <c r="M178" s="343"/>
      <c r="N178" s="339"/>
    </row>
    <row r="179" spans="1:14" ht="16.5" thickBot="1">
      <c r="B179" s="326" t="s">
        <v>311</v>
      </c>
      <c r="C179" s="364" t="str">
        <f>INDEX(Cadastro_Peixes[[#All],[Colunas4]],MATCH(ROW()-5,Cadastro_Peixes[[#All],[Colunas2]],0))</f>
        <v>Pangasius</v>
      </c>
      <c r="D179" s="365">
        <f ca="1">G179+(ENTRADAS!AI179)-(BAIXAS!AI179)</f>
        <v>4.4199999999999982</v>
      </c>
      <c r="E179" s="71" t="s">
        <v>328</v>
      </c>
      <c r="F179" s="335"/>
      <c r="G179" s="71">
        <v>24.689999999999998</v>
      </c>
      <c r="H179" s="358"/>
      <c r="I179" s="358"/>
      <c r="J179" s="358"/>
      <c r="K179" s="358"/>
      <c r="L179" s="407" t="str">
        <f>IF(Configurações!$G$4="Ligado",IF(AND(Baixas_Peixes[[#This Row],[Colunas35]]=0,'Qtd Pessoas'!$K$10=0),"0",Baixas_Peixes[[#This Row],[Colunas35]]/'Qtd Pessoas'!$K$10),"")</f>
        <v/>
      </c>
      <c r="M179" s="343"/>
      <c r="N179" s="339"/>
    </row>
    <row r="180" spans="1:14" ht="16.5" thickBot="1">
      <c r="B180" s="326" t="s">
        <v>311</v>
      </c>
      <c r="C180" s="364" t="str">
        <f>INDEX(Cadastro_Peixes[[#All],[Colunas4]],MATCH(ROW()-5,Cadastro_Peixes[[#All],[Colunas2]],0))</f>
        <v>Peixe cação</v>
      </c>
      <c r="D180" s="366">
        <f ca="1">G180+(ENTRADAS!AI180)-(BAIXAS!AI180)</f>
        <v>54.35</v>
      </c>
      <c r="E180" s="72" t="s">
        <v>328</v>
      </c>
      <c r="F180" s="335"/>
      <c r="G180" s="72">
        <v>66.34</v>
      </c>
      <c r="H180" s="358"/>
      <c r="I180" s="358"/>
      <c r="J180" s="358"/>
      <c r="K180" s="358"/>
      <c r="L180" s="407" t="str">
        <f>IF(Configurações!$G$4="Ligado",IF(AND(Baixas_Peixes[[#This Row],[Colunas35]]=0,'Qtd Pessoas'!$K$10=0),"0",Baixas_Peixes[[#This Row],[Colunas35]]/'Qtd Pessoas'!$K$10),"")</f>
        <v/>
      </c>
      <c r="M180" s="343"/>
      <c r="N180" s="339"/>
    </row>
    <row r="181" spans="1:14" ht="15.75" thickBot="1">
      <c r="B181" s="326" t="s">
        <v>311</v>
      </c>
      <c r="C181" s="418"/>
      <c r="D181" s="418"/>
      <c r="E181" s="418"/>
      <c r="F181" s="418"/>
      <c r="G181" s="418"/>
      <c r="H181" s="418"/>
      <c r="I181" s="418"/>
      <c r="J181" s="418"/>
      <c r="K181" s="418"/>
      <c r="L181" s="350"/>
      <c r="M181" s="343"/>
      <c r="N181" s="339"/>
    </row>
    <row r="182" spans="1:14" ht="24" thickBot="1">
      <c r="A182" s="306">
        <f>COUNT(Estoque_Hortfrut[[#All],[Colunas5]])</f>
        <v>59</v>
      </c>
      <c r="B182" s="326" t="s">
        <v>311</v>
      </c>
      <c r="C182" s="422" t="s">
        <v>135</v>
      </c>
      <c r="D182" s="423"/>
      <c r="E182" s="423"/>
      <c r="F182" s="423"/>
      <c r="G182" s="423"/>
      <c r="H182" s="423"/>
      <c r="I182" s="423"/>
      <c r="J182" s="423"/>
      <c r="K182" s="424"/>
      <c r="L182" s="333"/>
      <c r="M182" s="343"/>
      <c r="N182" s="339"/>
    </row>
    <row r="183" spans="1:14" ht="16.5" thickBot="1">
      <c r="A183" s="306">
        <f>COUNTBLANK(Estoque_Hortfrut[[#All],[Colunas5]])</f>
        <v>0</v>
      </c>
      <c r="B183" s="326" t="s">
        <v>311</v>
      </c>
      <c r="C183" s="367" t="str">
        <f>INDEX(Cadastro_Hortfrut[[#All],[Colunas4]],MATCH(ROW()-5,Cadastro_Hortfrut[[#All],[Colunas2]],0))</f>
        <v xml:space="preserve">Abacaxi </v>
      </c>
      <c r="D183" s="368">
        <f ca="1">G183+(ENTRADAS!AI183)-(BAIXAS!AI183)</f>
        <v>-10</v>
      </c>
      <c r="E183" s="163" t="s">
        <v>330</v>
      </c>
      <c r="F183" s="329"/>
      <c r="G183" s="167">
        <v>1</v>
      </c>
      <c r="H183" s="369"/>
      <c r="I183" s="369"/>
      <c r="J183" s="369"/>
      <c r="K183" s="369"/>
      <c r="L183" s="350" t="str">
        <f>IF(Configurações!$G$4="Ligado",IF(AND(Baixas_Hortfrut[[#This Row],[Colunas35]]=0,'Qtd Pessoas'!$K$10=0),"0",Baixas_Hortfrut[[#This Row],[Colunas35]]/'Qtd Pessoas'!$K$10),"")</f>
        <v/>
      </c>
      <c r="M183" s="343"/>
      <c r="N183" s="339"/>
    </row>
    <row r="184" spans="1:14" ht="16.5" thickBot="1">
      <c r="A184" s="306">
        <f>A182*100/(A182+A183)</f>
        <v>100</v>
      </c>
      <c r="B184" s="326" t="s">
        <v>311</v>
      </c>
      <c r="C184" s="370" t="str">
        <f>INDEX(Cadastro_Hortfrut[[#All],[Colunas4]],MATCH(ROW()-5,Cadastro_Hortfrut[[#All],[Colunas2]],0))</f>
        <v>Abobora</v>
      </c>
      <c r="D184" s="371">
        <f ca="1">G184+(ENTRADAS!AI184)-(BAIXAS!AI184)</f>
        <v>0</v>
      </c>
      <c r="E184" s="164"/>
      <c r="F184" s="335"/>
      <c r="G184" s="168">
        <v>0</v>
      </c>
      <c r="H184" s="369"/>
      <c r="I184" s="369"/>
      <c r="J184" s="369"/>
      <c r="K184" s="369"/>
      <c r="L184" s="350" t="str">
        <f>IF(Configurações!$G$4="Ligado",IF(AND(Baixas_Hortfrut[[#This Row],[Colunas35]]=0,'Qtd Pessoas'!$K$10=0),"0",Baixas_Hortfrut[[#This Row],[Colunas35]]/'Qtd Pessoas'!$K$10),"")</f>
        <v/>
      </c>
      <c r="M184" s="343"/>
      <c r="N184" s="339"/>
    </row>
    <row r="185" spans="1:14" ht="16.5" thickBot="1">
      <c r="B185" s="326" t="s">
        <v>311</v>
      </c>
      <c r="C185" s="370" t="str">
        <f>INDEX(Cadastro_Hortfrut[[#All],[Colunas4]],MATCH(ROW()-5,Cadastro_Hortfrut[[#All],[Colunas2]],0))</f>
        <v>Abobrinha</v>
      </c>
      <c r="D185" s="371">
        <f ca="1">G185+(ENTRADAS!AI185)-(BAIXAS!AI185)</f>
        <v>7.82</v>
      </c>
      <c r="E185" s="164" t="s">
        <v>328</v>
      </c>
      <c r="F185" s="335"/>
      <c r="G185" s="168">
        <v>6</v>
      </c>
      <c r="H185" s="369"/>
      <c r="I185" s="369"/>
      <c r="J185" s="369"/>
      <c r="K185" s="369"/>
      <c r="L185" s="350" t="str">
        <f>IF(Configurações!$G$4="Ligado",IF(AND(Baixas_Hortfrut[[#This Row],[Colunas35]]=0,'Qtd Pessoas'!$K$10=0),"0",Baixas_Hortfrut[[#This Row],[Colunas35]]/'Qtd Pessoas'!$K$10),"")</f>
        <v/>
      </c>
      <c r="M185" s="343"/>
      <c r="N185" s="339"/>
    </row>
    <row r="186" spans="1:14" ht="16.5" thickBot="1">
      <c r="B186" s="326" t="s">
        <v>311</v>
      </c>
      <c r="C186" s="370" t="str">
        <f>INDEX(Cadastro_Hortfrut[[#All],[Colunas4]],MATCH(ROW()-5,Cadastro_Hortfrut[[#All],[Colunas2]],0))</f>
        <v>Acelga</v>
      </c>
      <c r="D186" s="371">
        <f ca="1">G186+(ENTRADAS!AI186)-(BAIXAS!AI186)</f>
        <v>0</v>
      </c>
      <c r="E186" s="164" t="s">
        <v>330</v>
      </c>
      <c r="F186" s="335"/>
      <c r="G186" s="168">
        <v>0</v>
      </c>
      <c r="H186" s="369"/>
      <c r="I186" s="369"/>
      <c r="J186" s="369"/>
      <c r="K186" s="369"/>
      <c r="L186" s="350" t="str">
        <f>IF(Configurações!$G$4="Ligado",IF(AND(Baixas_Hortfrut[[#This Row],[Colunas35]]=0,'Qtd Pessoas'!$K$10=0),"0",Baixas_Hortfrut[[#This Row],[Colunas35]]/'Qtd Pessoas'!$K$10),"")</f>
        <v/>
      </c>
      <c r="M186" s="343"/>
      <c r="N186" s="339"/>
    </row>
    <row r="187" spans="1:14" ht="16.5" thickBot="1">
      <c r="B187" s="326" t="s">
        <v>311</v>
      </c>
      <c r="C187" s="370" t="str">
        <f>INDEX(Cadastro_Hortfrut[[#All],[Colunas4]],MATCH(ROW()-5,Cadastro_Hortfrut[[#All],[Colunas2]],0))</f>
        <v>Agrião</v>
      </c>
      <c r="D187" s="371">
        <f ca="1">G187+(ENTRADAS!AI187)-(BAIXAS!AI187)</f>
        <v>-1</v>
      </c>
      <c r="E187" s="164" t="s">
        <v>330</v>
      </c>
      <c r="F187" s="335"/>
      <c r="G187" s="168">
        <v>0</v>
      </c>
      <c r="H187" s="369"/>
      <c r="I187" s="369"/>
      <c r="J187" s="369"/>
      <c r="K187" s="369"/>
      <c r="L187" s="350" t="str">
        <f>IF(Configurações!$G$4="Ligado",IF(AND(Baixas_Hortfrut[[#This Row],[Colunas35]]=0,'Qtd Pessoas'!$K$10=0),"0",Baixas_Hortfrut[[#This Row],[Colunas35]]/'Qtd Pessoas'!$K$10),"")</f>
        <v/>
      </c>
      <c r="M187" s="343"/>
      <c r="N187" s="339"/>
    </row>
    <row r="188" spans="1:14" ht="16.5" thickBot="1">
      <c r="B188" s="326" t="s">
        <v>311</v>
      </c>
      <c r="C188" s="370" t="str">
        <f>INDEX(Cadastro_Hortfrut[[#All],[Colunas4]],MATCH(ROW()-5,Cadastro_Hortfrut[[#All],[Colunas2]],0))</f>
        <v>Alface Americana</v>
      </c>
      <c r="D188" s="371">
        <f ca="1">G188+(ENTRADAS!AI188)-(BAIXAS!AI188)</f>
        <v>8</v>
      </c>
      <c r="E188" s="164" t="s">
        <v>330</v>
      </c>
      <c r="F188" s="335"/>
      <c r="G188" s="168">
        <v>4</v>
      </c>
      <c r="H188" s="369"/>
      <c r="I188" s="369"/>
      <c r="J188" s="369"/>
      <c r="K188" s="369"/>
      <c r="L188" s="350" t="str">
        <f>IF(Configurações!$G$4="Ligado",IF(AND(Baixas_Hortfrut[[#This Row],[Colunas35]]=0,'Qtd Pessoas'!$K$10=0),"0",Baixas_Hortfrut[[#This Row],[Colunas35]]/'Qtd Pessoas'!$K$10),"")</f>
        <v/>
      </c>
      <c r="M188" s="343"/>
      <c r="N188" s="339"/>
    </row>
    <row r="189" spans="1:14" ht="16.5" thickBot="1">
      <c r="B189" s="326" t="s">
        <v>311</v>
      </c>
      <c r="C189" s="370" t="str">
        <f>INDEX(Cadastro_Hortfrut[[#All],[Colunas4]],MATCH(ROW()-5,Cadastro_Hortfrut[[#All],[Colunas2]],0))</f>
        <v>Alface Crespa</v>
      </c>
      <c r="D189" s="371">
        <f ca="1">G189+(ENTRADAS!AI189)-(BAIXAS!AI189)</f>
        <v>22</v>
      </c>
      <c r="E189" s="164" t="s">
        <v>330</v>
      </c>
      <c r="F189" s="335"/>
      <c r="G189" s="168">
        <v>4</v>
      </c>
      <c r="H189" s="369"/>
      <c r="I189" s="369"/>
      <c r="J189" s="369"/>
      <c r="K189" s="369"/>
      <c r="L189" s="350" t="str">
        <f>IF(Configurações!$G$4="Ligado",IF(AND(Baixas_Hortfrut[[#This Row],[Colunas35]]=0,'Qtd Pessoas'!$K$10=0),"0",Baixas_Hortfrut[[#This Row],[Colunas35]]/'Qtd Pessoas'!$K$10),"")</f>
        <v/>
      </c>
      <c r="M189" s="343"/>
      <c r="N189" s="339"/>
    </row>
    <row r="190" spans="1:14" ht="16.5" thickBot="1">
      <c r="B190" s="326" t="s">
        <v>311</v>
      </c>
      <c r="C190" s="370" t="str">
        <f>INDEX(Cadastro_Hortfrut[[#All],[Colunas4]],MATCH(ROW()-5,Cadastro_Hortfrut[[#All],[Colunas2]],0))</f>
        <v>Alface Lisa</v>
      </c>
      <c r="D190" s="371">
        <f ca="1">G190+(ENTRADAS!AI190)-(BAIXAS!AI190)</f>
        <v>0</v>
      </c>
      <c r="E190" s="164" t="s">
        <v>330</v>
      </c>
      <c r="F190" s="335"/>
      <c r="G190" s="168">
        <v>0</v>
      </c>
      <c r="H190" s="369"/>
      <c r="I190" s="369"/>
      <c r="J190" s="369"/>
      <c r="K190" s="369"/>
      <c r="L190" s="350" t="str">
        <f>IF(Configurações!$G$4="Ligado",IF(AND(Baixas_Hortfrut[[#This Row],[Colunas35]]=0,'Qtd Pessoas'!$K$10=0),"0",Baixas_Hortfrut[[#This Row],[Colunas35]]/'Qtd Pessoas'!$K$10),"")</f>
        <v/>
      </c>
      <c r="M190" s="343"/>
      <c r="N190" s="339"/>
    </row>
    <row r="191" spans="1:14" ht="16.5" thickBot="1">
      <c r="B191" s="326" t="s">
        <v>311</v>
      </c>
      <c r="C191" s="370" t="str">
        <f>INDEX(Cadastro_Hortfrut[[#All],[Colunas4]],MATCH(ROW()-5,Cadastro_Hortfrut[[#All],[Colunas2]],0))</f>
        <v>Alface Roxo</v>
      </c>
      <c r="D191" s="371">
        <f ca="1">G191+(ENTRADAS!AI191)-(BAIXAS!AI191)</f>
        <v>0</v>
      </c>
      <c r="E191" s="164" t="s">
        <v>330</v>
      </c>
      <c r="F191" s="335"/>
      <c r="G191" s="168">
        <v>0</v>
      </c>
      <c r="H191" s="369"/>
      <c r="I191" s="369"/>
      <c r="J191" s="369"/>
      <c r="K191" s="369"/>
      <c r="L191" s="350" t="str">
        <f>IF(Configurações!$G$4="Ligado",IF(AND(Baixas_Hortfrut[[#This Row],[Colunas35]]=0,'Qtd Pessoas'!$K$10=0),"0",Baixas_Hortfrut[[#This Row],[Colunas35]]/'Qtd Pessoas'!$K$10),"")</f>
        <v/>
      </c>
      <c r="M191" s="343"/>
      <c r="N191" s="339"/>
    </row>
    <row r="192" spans="1:14" ht="16.5" thickBot="1">
      <c r="B192" s="326" t="s">
        <v>311</v>
      </c>
      <c r="C192" s="370" t="str">
        <f>INDEX(Cadastro_Hortfrut[[#All],[Colunas4]],MATCH(ROW()-5,Cadastro_Hortfrut[[#All],[Colunas2]],0))</f>
        <v>Almeirão</v>
      </c>
      <c r="D192" s="371">
        <f ca="1">G192+(ENTRADAS!AI192)-(BAIXAS!AI192)</f>
        <v>1</v>
      </c>
      <c r="E192" s="164" t="s">
        <v>330</v>
      </c>
      <c r="F192" s="335"/>
      <c r="G192" s="168">
        <v>0</v>
      </c>
      <c r="H192" s="369"/>
      <c r="I192" s="369"/>
      <c r="J192" s="369"/>
      <c r="K192" s="369"/>
      <c r="L192" s="350" t="str">
        <f>IF(Configurações!$G$4="Ligado",IF(AND(Baixas_Hortfrut[[#This Row],[Colunas35]]=0,'Qtd Pessoas'!$K$10=0),"0",Baixas_Hortfrut[[#This Row],[Colunas35]]/'Qtd Pessoas'!$K$10),"")</f>
        <v/>
      </c>
      <c r="M192" s="343"/>
      <c r="N192" s="339"/>
    </row>
    <row r="193" spans="2:14" ht="16.5" thickBot="1">
      <c r="B193" s="326" t="s">
        <v>311</v>
      </c>
      <c r="C193" s="370" t="str">
        <f>INDEX(Cadastro_Hortfrut[[#All],[Colunas4]],MATCH(ROW()-5,Cadastro_Hortfrut[[#All],[Colunas2]],0))</f>
        <v>Ameixa</v>
      </c>
      <c r="D193" s="371">
        <f ca="1">G193+(ENTRADAS!AI193)-(BAIXAS!AI193)</f>
        <v>-2</v>
      </c>
      <c r="E193" s="164"/>
      <c r="F193" s="335"/>
      <c r="G193" s="168">
        <v>0</v>
      </c>
      <c r="H193" s="369"/>
      <c r="I193" s="369"/>
      <c r="J193" s="369"/>
      <c r="K193" s="369"/>
      <c r="L193" s="350" t="str">
        <f>IF(Configurações!$G$4="Ligado",IF(AND(Baixas_Hortfrut[[#This Row],[Colunas35]]=0,'Qtd Pessoas'!$K$10=0),"0",Baixas_Hortfrut[[#This Row],[Colunas35]]/'Qtd Pessoas'!$K$10),"")</f>
        <v/>
      </c>
      <c r="M193" s="343"/>
      <c r="N193" s="339"/>
    </row>
    <row r="194" spans="2:14" ht="16.5" thickBot="1">
      <c r="B194" s="326" t="s">
        <v>311</v>
      </c>
      <c r="C194" s="370" t="str">
        <f>INDEX(Cadastro_Hortfrut[[#All],[Colunas4]],MATCH(ROW()-5,Cadastro_Hortfrut[[#All],[Colunas2]],0))</f>
        <v xml:space="preserve">Banana </v>
      </c>
      <c r="D194" s="371">
        <f ca="1">G194+(ENTRADAS!AI194)-(BAIXAS!AI194)</f>
        <v>65.695000000000007</v>
      </c>
      <c r="E194" s="164" t="s">
        <v>328</v>
      </c>
      <c r="F194" s="335"/>
      <c r="G194" s="168">
        <v>10</v>
      </c>
      <c r="H194" s="369"/>
      <c r="I194" s="369"/>
      <c r="J194" s="369"/>
      <c r="K194" s="369"/>
      <c r="L194" s="350" t="str">
        <f>IF(Configurações!$G$4="Ligado",IF(AND(Baixas_Hortfrut[[#This Row],[Colunas35]]=0,'Qtd Pessoas'!$K$10=0),"0",Baixas_Hortfrut[[#This Row],[Colunas35]]/'Qtd Pessoas'!$K$10),"")</f>
        <v/>
      </c>
      <c r="M194" s="343"/>
      <c r="N194" s="339"/>
    </row>
    <row r="195" spans="2:14" ht="16.5" thickBot="1">
      <c r="B195" s="326" t="s">
        <v>311</v>
      </c>
      <c r="C195" s="370" t="str">
        <f>INDEX(Cadastro_Hortfrut[[#All],[Colunas4]],MATCH(ROW()-5,Cadastro_Hortfrut[[#All],[Colunas2]],0))</f>
        <v xml:space="preserve">Batata </v>
      </c>
      <c r="D195" s="372">
        <f ca="1">G195+(ENTRADAS!AI195)-(BAIXAS!AI195)</f>
        <v>19.545000000000002</v>
      </c>
      <c r="E195" s="164" t="s">
        <v>328</v>
      </c>
      <c r="F195" s="335"/>
      <c r="G195" s="168">
        <v>6</v>
      </c>
      <c r="H195" s="369"/>
      <c r="I195" s="369"/>
      <c r="J195" s="369"/>
      <c r="K195" s="369"/>
      <c r="L195" s="350" t="str">
        <f>IF(Configurações!$G$4="Ligado",IF(AND(Baixas_Hortfrut[[#This Row],[Colunas35]]=0,'Qtd Pessoas'!$K$10=0),"0",Baixas_Hortfrut[[#This Row],[Colunas35]]/'Qtd Pessoas'!$K$10),"")</f>
        <v/>
      </c>
      <c r="M195" s="343"/>
      <c r="N195" s="339"/>
    </row>
    <row r="196" spans="2:14" ht="16.5" thickBot="1">
      <c r="B196" s="326" t="s">
        <v>311</v>
      </c>
      <c r="C196" s="370" t="str">
        <f>INDEX(Cadastro_Hortfrut[[#All],[Colunas4]],MATCH(ROW()-5,Cadastro_Hortfrut[[#All],[Colunas2]],0))</f>
        <v>Berinjela</v>
      </c>
      <c r="D196" s="371">
        <f ca="1">G196+(ENTRADAS!AI196)-(BAIXAS!AI196)</f>
        <v>-2.4999999999999964</v>
      </c>
      <c r="E196" s="164" t="s">
        <v>328</v>
      </c>
      <c r="F196" s="335"/>
      <c r="G196" s="168">
        <v>5</v>
      </c>
      <c r="H196" s="369"/>
      <c r="I196" s="369"/>
      <c r="J196" s="369"/>
      <c r="K196" s="369"/>
      <c r="L196" s="350" t="str">
        <f>IF(Configurações!$G$4="Ligado",IF(AND(Baixas_Hortfrut[[#This Row],[Colunas35]]=0,'Qtd Pessoas'!$K$10=0),"0",Baixas_Hortfrut[[#This Row],[Colunas35]]/'Qtd Pessoas'!$K$10),"")</f>
        <v/>
      </c>
      <c r="M196" s="343"/>
      <c r="N196" s="339"/>
    </row>
    <row r="197" spans="2:14" ht="16.5" thickBot="1">
      <c r="B197" s="326" t="s">
        <v>311</v>
      </c>
      <c r="C197" s="370" t="str">
        <f>INDEX(Cadastro_Hortfrut[[#All],[Colunas4]],MATCH(ROW()-5,Cadastro_Hortfrut[[#All],[Colunas2]],0))</f>
        <v xml:space="preserve">Beterraba </v>
      </c>
      <c r="D197" s="371">
        <f ca="1">G197+(ENTRADAS!AI197)-(BAIXAS!AI197)</f>
        <v>10.15</v>
      </c>
      <c r="E197" s="164" t="s">
        <v>328</v>
      </c>
      <c r="F197" s="335"/>
      <c r="G197" s="168">
        <v>0</v>
      </c>
      <c r="H197" s="369"/>
      <c r="I197" s="369"/>
      <c r="J197" s="369"/>
      <c r="K197" s="369"/>
      <c r="L197" s="350" t="str">
        <f>IF(Configurações!$G$4="Ligado",IF(AND(Baixas_Hortfrut[[#This Row],[Colunas35]]=0,'Qtd Pessoas'!$K$10=0),"0",Baixas_Hortfrut[[#This Row],[Colunas35]]/'Qtd Pessoas'!$K$10),"")</f>
        <v/>
      </c>
      <c r="M197" s="343"/>
      <c r="N197" s="339"/>
    </row>
    <row r="198" spans="2:14" ht="16.5" thickBot="1">
      <c r="B198" s="326" t="s">
        <v>311</v>
      </c>
      <c r="C198" s="370" t="str">
        <f>INDEX(Cadastro_Hortfrut[[#All],[Colunas4]],MATCH(ROW()-5,Cadastro_Hortfrut[[#All],[Colunas2]],0))</f>
        <v>Brócolis</v>
      </c>
      <c r="D198" s="371">
        <f ca="1">G198+(ENTRADAS!AI198)-(BAIXAS!AI198)</f>
        <v>0</v>
      </c>
      <c r="E198" s="164"/>
      <c r="F198" s="335"/>
      <c r="G198" s="168">
        <v>0</v>
      </c>
      <c r="H198" s="369"/>
      <c r="I198" s="369"/>
      <c r="J198" s="369"/>
      <c r="K198" s="369"/>
      <c r="L198" s="350" t="str">
        <f>IF(Configurações!$G$4="Ligado",IF(AND(Baixas_Hortfrut[[#This Row],[Colunas35]]=0,'Qtd Pessoas'!$K$10=0),"0",Baixas_Hortfrut[[#This Row],[Colunas35]]/'Qtd Pessoas'!$K$10),"")</f>
        <v/>
      </c>
      <c r="M198" s="343"/>
      <c r="N198" s="339"/>
    </row>
    <row r="199" spans="2:14" ht="16.5" thickBot="1">
      <c r="B199" s="326" t="s">
        <v>311</v>
      </c>
      <c r="C199" s="370" t="str">
        <f>INDEX(Cadastro_Hortfrut[[#All],[Colunas4]],MATCH(ROW()-5,Cadastro_Hortfrut[[#All],[Colunas2]],0))</f>
        <v xml:space="preserve">Caquí </v>
      </c>
      <c r="D199" s="371">
        <f ca="1">G199+(ENTRADAS!AI199)-(BAIXAS!AI199)</f>
        <v>0</v>
      </c>
      <c r="E199" s="164" t="s">
        <v>328</v>
      </c>
      <c r="F199" s="335"/>
      <c r="G199" s="168">
        <v>0</v>
      </c>
      <c r="H199" s="369"/>
      <c r="I199" s="369"/>
      <c r="J199" s="369"/>
      <c r="K199" s="369"/>
      <c r="L199" s="350" t="str">
        <f>IF(Configurações!$G$4="Ligado",IF(AND(Baixas_Hortfrut[[#This Row],[Colunas35]]=0,'Qtd Pessoas'!$K$10=0),"0",Baixas_Hortfrut[[#This Row],[Colunas35]]/'Qtd Pessoas'!$K$10),"")</f>
        <v/>
      </c>
      <c r="M199" s="343"/>
      <c r="N199" s="339"/>
    </row>
    <row r="200" spans="2:14" ht="16.5" thickBot="1">
      <c r="B200" s="326" t="s">
        <v>311</v>
      </c>
      <c r="C200" s="370" t="str">
        <f>INDEX(Cadastro_Hortfrut[[#All],[Colunas4]],MATCH(ROW()-5,Cadastro_Hortfrut[[#All],[Colunas2]],0))</f>
        <v xml:space="preserve">Cebola </v>
      </c>
      <c r="D200" s="371">
        <f ca="1">G200+(ENTRADAS!AI200)-(BAIXAS!AI200)</f>
        <v>2.4989999999999952</v>
      </c>
      <c r="E200" s="164" t="s">
        <v>328</v>
      </c>
      <c r="F200" s="335"/>
      <c r="G200" s="168">
        <v>6</v>
      </c>
      <c r="H200" s="369"/>
      <c r="I200" s="369"/>
      <c r="J200" s="369"/>
      <c r="K200" s="369"/>
      <c r="L200" s="350" t="str">
        <f>IF(Configurações!$G$4="Ligado",IF(AND(Baixas_Hortfrut[[#This Row],[Colunas35]]=0,'Qtd Pessoas'!$K$10=0),"0",Baixas_Hortfrut[[#This Row],[Colunas35]]/'Qtd Pessoas'!$K$10),"")</f>
        <v/>
      </c>
      <c r="M200" s="343"/>
      <c r="N200" s="339"/>
    </row>
    <row r="201" spans="2:14" ht="16.5" thickBot="1">
      <c r="B201" s="326" t="s">
        <v>311</v>
      </c>
      <c r="C201" s="370" t="str">
        <f>INDEX(Cadastro_Hortfrut[[#All],[Colunas4]],MATCH(ROW()-5,Cadastro_Hortfrut[[#All],[Colunas2]],0))</f>
        <v xml:space="preserve">Cenoura  </v>
      </c>
      <c r="D201" s="371">
        <f ca="1">G201+(ENTRADAS!AI201)-(BAIXAS!AI201)</f>
        <v>3.1919999999999931</v>
      </c>
      <c r="E201" s="164" t="s">
        <v>328</v>
      </c>
      <c r="F201" s="335"/>
      <c r="G201" s="168">
        <v>6</v>
      </c>
      <c r="H201" s="369"/>
      <c r="I201" s="369"/>
      <c r="J201" s="369"/>
      <c r="K201" s="369"/>
      <c r="L201" s="350" t="str">
        <f>IF(Configurações!$G$4="Ligado",IF(AND(Baixas_Hortfrut[[#This Row],[Colunas35]]=0,'Qtd Pessoas'!$K$10=0),"0",Baixas_Hortfrut[[#This Row],[Colunas35]]/'Qtd Pessoas'!$K$10),"")</f>
        <v/>
      </c>
      <c r="M201" s="343"/>
      <c r="N201" s="339"/>
    </row>
    <row r="202" spans="2:14" ht="16.5" thickBot="1">
      <c r="B202" s="326" t="s">
        <v>311</v>
      </c>
      <c r="C202" s="370" t="str">
        <f>INDEX(Cadastro_Hortfrut[[#All],[Colunas4]],MATCH(ROW()-5,Cadastro_Hortfrut[[#All],[Colunas2]],0))</f>
        <v xml:space="preserve">Chuchu </v>
      </c>
      <c r="D202" s="371">
        <f ca="1">G202+(ENTRADAS!AI202)-(BAIXAS!AI202)</f>
        <v>12.765000000000004</v>
      </c>
      <c r="E202" s="164" t="s">
        <v>328</v>
      </c>
      <c r="F202" s="335"/>
      <c r="G202" s="168">
        <v>6</v>
      </c>
      <c r="H202" s="369"/>
      <c r="I202" s="369"/>
      <c r="J202" s="369"/>
      <c r="K202" s="369"/>
      <c r="L202" s="350" t="str">
        <f>IF(Configurações!$G$4="Ligado",IF(AND(Baixas_Hortfrut[[#This Row],[Colunas35]]=0,'Qtd Pessoas'!$K$10=0),"0",Baixas_Hortfrut[[#This Row],[Colunas35]]/'Qtd Pessoas'!$K$10),"")</f>
        <v/>
      </c>
      <c r="M202" s="343"/>
      <c r="N202" s="339"/>
    </row>
    <row r="203" spans="2:14" ht="16.5" thickBot="1">
      <c r="B203" s="326" t="s">
        <v>311</v>
      </c>
      <c r="C203" s="370" t="str">
        <f>INDEX(Cadastro_Hortfrut[[#All],[Colunas4]],MATCH(ROW()-5,Cadastro_Hortfrut[[#All],[Colunas2]],0))</f>
        <v>Coentro</v>
      </c>
      <c r="D203" s="371">
        <f ca="1">G203+(ENTRADAS!AI203)-(BAIXAS!AI203)</f>
        <v>9</v>
      </c>
      <c r="E203" s="164" t="s">
        <v>330</v>
      </c>
      <c r="F203" s="335"/>
      <c r="G203" s="168">
        <v>4</v>
      </c>
      <c r="H203" s="369"/>
      <c r="I203" s="369"/>
      <c r="J203" s="369"/>
      <c r="K203" s="369"/>
      <c r="L203" s="350" t="str">
        <f>IF(Configurações!$G$4="Ligado",IF(AND(Baixas_Hortfrut[[#This Row],[Colunas35]]=0,'Qtd Pessoas'!$K$10=0),"0",Baixas_Hortfrut[[#This Row],[Colunas35]]/'Qtd Pessoas'!$K$10),"")</f>
        <v/>
      </c>
      <c r="M203" s="343"/>
      <c r="N203" s="339"/>
    </row>
    <row r="204" spans="2:14" ht="16.5" thickBot="1">
      <c r="B204" s="326" t="s">
        <v>311</v>
      </c>
      <c r="C204" s="370" t="str">
        <f>INDEX(Cadastro_Hortfrut[[#All],[Colunas4]],MATCH(ROW()-5,Cadastro_Hortfrut[[#All],[Colunas2]],0))</f>
        <v>Couve</v>
      </c>
      <c r="D204" s="371">
        <f ca="1">G204+(ENTRADAS!AI204)-(BAIXAS!AI204)</f>
        <v>9</v>
      </c>
      <c r="E204" s="164" t="s">
        <v>330</v>
      </c>
      <c r="F204" s="335"/>
      <c r="G204" s="168">
        <v>4</v>
      </c>
      <c r="H204" s="369"/>
      <c r="I204" s="369"/>
      <c r="J204" s="369"/>
      <c r="K204" s="369"/>
      <c r="L204" s="350" t="str">
        <f>IF(Configurações!$G$4="Ligado",IF(AND(Baixas_Hortfrut[[#This Row],[Colunas35]]=0,'Qtd Pessoas'!$K$10=0),"0",Baixas_Hortfrut[[#This Row],[Colunas35]]/'Qtd Pessoas'!$K$10),"")</f>
        <v/>
      </c>
      <c r="M204" s="343"/>
      <c r="N204" s="339"/>
    </row>
    <row r="205" spans="2:14" ht="16.5" thickBot="1">
      <c r="B205" s="326" t="s">
        <v>311</v>
      </c>
      <c r="C205" s="370" t="str">
        <f>INDEX(Cadastro_Hortfrut[[#All],[Colunas4]],MATCH(ROW()-5,Cadastro_Hortfrut[[#All],[Colunas2]],0))</f>
        <v>Couve-flor</v>
      </c>
      <c r="D205" s="371">
        <f ca="1">G205+(ENTRADAS!AI205)-(BAIXAS!AI205)</f>
        <v>0</v>
      </c>
      <c r="E205" s="164" t="s">
        <v>330</v>
      </c>
      <c r="F205" s="335"/>
      <c r="G205" s="168">
        <v>0</v>
      </c>
      <c r="H205" s="369"/>
      <c r="I205" s="369"/>
      <c r="J205" s="369"/>
      <c r="K205" s="369"/>
      <c r="L205" s="350" t="str">
        <f>IF(Configurações!$G$4="Ligado",IF(AND(Baixas_Hortfrut[[#This Row],[Colunas35]]=0,'Qtd Pessoas'!$K$10=0),"0",Baixas_Hortfrut[[#This Row],[Colunas35]]/'Qtd Pessoas'!$K$10),"")</f>
        <v/>
      </c>
      <c r="M205" s="343"/>
      <c r="N205" s="339"/>
    </row>
    <row r="206" spans="2:14" ht="16.5" thickBot="1">
      <c r="B206" s="326" t="s">
        <v>311</v>
      </c>
      <c r="C206" s="370" t="str">
        <f>INDEX(Cadastro_Hortfrut[[#All],[Colunas4]],MATCH(ROW()-5,Cadastro_Hortfrut[[#All],[Colunas2]],0))</f>
        <v xml:space="preserve">Escarola </v>
      </c>
      <c r="D206" s="371">
        <f ca="1">G206+(ENTRADAS!AI206)-(BAIXAS!AI206)</f>
        <v>7</v>
      </c>
      <c r="E206" s="164" t="s">
        <v>330</v>
      </c>
      <c r="F206" s="335"/>
      <c r="G206" s="168">
        <v>0</v>
      </c>
      <c r="H206" s="369"/>
      <c r="I206" s="369"/>
      <c r="J206" s="369"/>
      <c r="K206" s="369"/>
      <c r="L206" s="350" t="str">
        <f>IF(Configurações!$G$4="Ligado",IF(AND(Baixas_Hortfrut[[#This Row],[Colunas35]]=0,'Qtd Pessoas'!$K$10=0),"0",Baixas_Hortfrut[[#This Row],[Colunas35]]/'Qtd Pessoas'!$K$10),"")</f>
        <v/>
      </c>
      <c r="M206" s="343"/>
      <c r="N206" s="339"/>
    </row>
    <row r="207" spans="2:14" ht="16.5" thickBot="1">
      <c r="B207" s="326" t="s">
        <v>311</v>
      </c>
      <c r="C207" s="370" t="str">
        <f>INDEX(Cadastro_Hortfrut[[#All],[Colunas4]],MATCH(ROW()-5,Cadastro_Hortfrut[[#All],[Colunas2]],0))</f>
        <v>Goiaba</v>
      </c>
      <c r="D207" s="371">
        <f ca="1">G207+(ENTRADAS!AI207)-(BAIXAS!AI207)</f>
        <v>0</v>
      </c>
      <c r="E207" s="164" t="s">
        <v>328</v>
      </c>
      <c r="F207" s="335"/>
      <c r="G207" s="168">
        <v>0</v>
      </c>
      <c r="H207" s="369"/>
      <c r="I207" s="369"/>
      <c r="J207" s="369"/>
      <c r="K207" s="369"/>
      <c r="L207" s="350" t="str">
        <f>IF(Configurações!$G$4="Ligado",IF(AND(Baixas_Hortfrut[[#This Row],[Colunas35]]=0,'Qtd Pessoas'!$K$10=0),"0",Baixas_Hortfrut[[#This Row],[Colunas35]]/'Qtd Pessoas'!$K$10),"")</f>
        <v/>
      </c>
      <c r="M207" s="343"/>
      <c r="N207" s="339"/>
    </row>
    <row r="208" spans="2:14" ht="16.5" thickBot="1">
      <c r="B208" s="326" t="s">
        <v>311</v>
      </c>
      <c r="C208" s="370" t="str">
        <f>INDEX(Cadastro_Hortfrut[[#All],[Colunas4]],MATCH(ROW()-5,Cadastro_Hortfrut[[#All],[Colunas2]],0))</f>
        <v>Hortelã</v>
      </c>
      <c r="D208" s="371">
        <f ca="1">G208+(ENTRADAS!AI208)-(BAIXAS!AI208)</f>
        <v>0</v>
      </c>
      <c r="E208" s="164" t="s">
        <v>330</v>
      </c>
      <c r="F208" s="335"/>
      <c r="G208" s="168">
        <v>0</v>
      </c>
      <c r="H208" s="369"/>
      <c r="I208" s="369"/>
      <c r="J208" s="369"/>
      <c r="K208" s="369"/>
      <c r="L208" s="350" t="str">
        <f>IF(Configurações!$G$4="Ligado",IF(AND(Baixas_Hortfrut[[#This Row],[Colunas35]]=0,'Qtd Pessoas'!$K$10=0),"0",Baixas_Hortfrut[[#This Row],[Colunas35]]/'Qtd Pessoas'!$K$10),"")</f>
        <v/>
      </c>
      <c r="M208" s="343"/>
      <c r="N208" s="339"/>
    </row>
    <row r="209" spans="2:14" ht="16.5" thickBot="1">
      <c r="B209" s="326" t="s">
        <v>311</v>
      </c>
      <c r="C209" s="370" t="str">
        <f>INDEX(Cadastro_Hortfrut[[#All],[Colunas4]],MATCH(ROW()-5,Cadastro_Hortfrut[[#All],[Colunas2]],0))</f>
        <v xml:space="preserve">Laranja </v>
      </c>
      <c r="D209" s="371">
        <f ca="1">G209+(ENTRADAS!AI209)-(BAIXAS!AI209)</f>
        <v>11.924999999999997</v>
      </c>
      <c r="E209" s="164" t="s">
        <v>328</v>
      </c>
      <c r="F209" s="335"/>
      <c r="G209" s="168">
        <v>8</v>
      </c>
      <c r="H209" s="369"/>
      <c r="I209" s="369"/>
      <c r="J209" s="369"/>
      <c r="K209" s="369"/>
      <c r="L209" s="350" t="str">
        <f>IF(Configurações!$G$4="Ligado",IF(AND(Baixas_Hortfrut[[#This Row],[Colunas35]]=0,'Qtd Pessoas'!$K$10=0),"0",Baixas_Hortfrut[[#This Row],[Colunas35]]/'Qtd Pessoas'!$K$10),"")</f>
        <v/>
      </c>
      <c r="M209" s="343"/>
      <c r="N209" s="339"/>
    </row>
    <row r="210" spans="2:14" ht="16.5" thickBot="1">
      <c r="B210" s="326" t="s">
        <v>311</v>
      </c>
      <c r="C210" s="370" t="str">
        <f>INDEX(Cadastro_Hortfrut[[#All],[Colunas4]],MATCH(ROW()-5,Cadastro_Hortfrut[[#All],[Colunas2]],0))</f>
        <v>Limão</v>
      </c>
      <c r="D210" s="371">
        <f ca="1">G210+(ENTRADAS!AI210)-(BAIXAS!AI210)</f>
        <v>9.8800000000000026</v>
      </c>
      <c r="E210" s="164" t="s">
        <v>328</v>
      </c>
      <c r="F210" s="335"/>
      <c r="G210" s="168">
        <v>6</v>
      </c>
      <c r="H210" s="369"/>
      <c r="I210" s="369"/>
      <c r="J210" s="369"/>
      <c r="K210" s="369"/>
      <c r="L210" s="350" t="str">
        <f>IF(Configurações!$G$4="Ligado",IF(AND(Baixas_Hortfrut[[#This Row],[Colunas35]]=0,'Qtd Pessoas'!$K$10=0),"0",Baixas_Hortfrut[[#This Row],[Colunas35]]/'Qtd Pessoas'!$K$10),"")</f>
        <v/>
      </c>
      <c r="M210" s="343"/>
      <c r="N210" s="339"/>
    </row>
    <row r="211" spans="2:14" ht="16.5" thickBot="1">
      <c r="B211" s="326" t="s">
        <v>311</v>
      </c>
      <c r="C211" s="370" t="str">
        <f>INDEX(Cadastro_Hortfrut[[#All],[Colunas4]],MATCH(ROW()-5,Cadastro_Hortfrut[[#All],[Colunas2]],0))</f>
        <v>Louro maço</v>
      </c>
      <c r="D211" s="371">
        <f ca="1">G211+(ENTRADAS!AI211)-(BAIXAS!AI211)</f>
        <v>2</v>
      </c>
      <c r="E211" s="164" t="s">
        <v>330</v>
      </c>
      <c r="F211" s="335"/>
      <c r="G211" s="168">
        <v>0</v>
      </c>
      <c r="H211" s="369"/>
      <c r="I211" s="369"/>
      <c r="J211" s="369"/>
      <c r="K211" s="369"/>
      <c r="L211" s="350" t="str">
        <f>IF(Configurações!$G$4="Ligado",IF(AND(Baixas_Hortfrut[[#This Row],[Colunas35]]=0,'Qtd Pessoas'!$K$10=0),"0",Baixas_Hortfrut[[#This Row],[Colunas35]]/'Qtd Pessoas'!$K$10),"")</f>
        <v/>
      </c>
      <c r="M211" s="343"/>
      <c r="N211" s="339"/>
    </row>
    <row r="212" spans="2:14" ht="16.5" thickBot="1">
      <c r="B212" s="326" t="s">
        <v>311</v>
      </c>
      <c r="C212" s="370" t="str">
        <f>INDEX(Cadastro_Hortfrut[[#All],[Colunas4]],MATCH(ROW()-5,Cadastro_Hortfrut[[#All],[Colunas2]],0))</f>
        <v xml:space="preserve">Maçã </v>
      </c>
      <c r="D212" s="371">
        <f ca="1">G212+(ENTRADAS!AI212)-(BAIXAS!AI212)</f>
        <v>14.505000000000001</v>
      </c>
      <c r="E212" s="164" t="s">
        <v>328</v>
      </c>
      <c r="F212" s="335"/>
      <c r="G212" s="168">
        <v>7</v>
      </c>
      <c r="H212" s="369"/>
      <c r="I212" s="369"/>
      <c r="J212" s="369"/>
      <c r="K212" s="369"/>
      <c r="L212" s="350" t="str">
        <f>IF(Configurações!$G$4="Ligado",IF(AND(Baixas_Hortfrut[[#This Row],[Colunas35]]=0,'Qtd Pessoas'!$K$10=0),"0",Baixas_Hortfrut[[#This Row],[Colunas35]]/'Qtd Pessoas'!$K$10),"")</f>
        <v/>
      </c>
      <c r="M212" s="343"/>
      <c r="N212" s="339"/>
    </row>
    <row r="213" spans="2:14" ht="16.5" thickBot="1">
      <c r="B213" s="326" t="s">
        <v>311</v>
      </c>
      <c r="C213" s="370" t="str">
        <f>INDEX(Cadastro_Hortfrut[[#All],[Colunas4]],MATCH(ROW()-5,Cadastro_Hortfrut[[#All],[Colunas2]],0))</f>
        <v>Mamão Formosa</v>
      </c>
      <c r="D213" s="371">
        <f ca="1">G213+(ENTRADAS!AI213)-(BAIXAS!AI213)</f>
        <v>0</v>
      </c>
      <c r="E213" s="164" t="s">
        <v>330</v>
      </c>
      <c r="F213" s="335"/>
      <c r="G213" s="168">
        <v>0</v>
      </c>
      <c r="H213" s="369"/>
      <c r="I213" s="369"/>
      <c r="J213" s="369"/>
      <c r="K213" s="369"/>
      <c r="L213" s="350" t="str">
        <f>IF(Configurações!$G$4="Ligado",IF(AND(Baixas_Hortfrut[[#This Row],[Colunas35]]=0,'Qtd Pessoas'!$K$10=0),"0",Baixas_Hortfrut[[#This Row],[Colunas35]]/'Qtd Pessoas'!$K$10),"")</f>
        <v/>
      </c>
      <c r="M213" s="343"/>
      <c r="N213" s="339"/>
    </row>
    <row r="214" spans="2:14" ht="16.5" thickBot="1">
      <c r="B214" s="326" t="s">
        <v>311</v>
      </c>
      <c r="C214" s="370" t="str">
        <f>INDEX(Cadastro_Hortfrut[[#All],[Colunas4]],MATCH(ROW()-5,Cadastro_Hortfrut[[#All],[Colunas2]],0))</f>
        <v>Mamão Papaya</v>
      </c>
      <c r="D214" s="371">
        <f ca="1">G214+(ENTRADAS!AI214)-(BAIXAS!AI214)</f>
        <v>-8</v>
      </c>
      <c r="E214" s="164"/>
      <c r="F214" s="335"/>
      <c r="G214" s="168">
        <v>0</v>
      </c>
      <c r="H214" s="369"/>
      <c r="I214" s="369"/>
      <c r="J214" s="369"/>
      <c r="K214" s="369"/>
      <c r="L214" s="350" t="str">
        <f>IF(Configurações!$G$4="Ligado",IF(AND(Baixas_Hortfrut[[#This Row],[Colunas35]]=0,'Qtd Pessoas'!$K$10=0),"0",Baixas_Hortfrut[[#This Row],[Colunas35]]/'Qtd Pessoas'!$K$10),"")</f>
        <v/>
      </c>
      <c r="M214" s="343"/>
      <c r="N214" s="339"/>
    </row>
    <row r="215" spans="2:14" ht="16.5" thickBot="1">
      <c r="B215" s="326" t="s">
        <v>311</v>
      </c>
      <c r="C215" s="370" t="str">
        <f>INDEX(Cadastro_Hortfrut[[#All],[Colunas4]],MATCH(ROW()-5,Cadastro_Hortfrut[[#All],[Colunas2]],0))</f>
        <v xml:space="preserve">Mandioca </v>
      </c>
      <c r="D215" s="371">
        <f ca="1">G215+(ENTRADAS!AI215)-(BAIXAS!AI215)</f>
        <v>0</v>
      </c>
      <c r="E215" s="164" t="s">
        <v>328</v>
      </c>
      <c r="F215" s="335"/>
      <c r="G215" s="168">
        <v>0</v>
      </c>
      <c r="H215" s="369"/>
      <c r="I215" s="369"/>
      <c r="J215" s="369"/>
      <c r="K215" s="369"/>
      <c r="L215" s="350" t="str">
        <f>IF(Configurações!$G$4="Ligado",IF(AND(Baixas_Hortfrut[[#This Row],[Colunas35]]=0,'Qtd Pessoas'!$K$10=0),"0",Baixas_Hortfrut[[#This Row],[Colunas35]]/'Qtd Pessoas'!$K$10),"")</f>
        <v/>
      </c>
      <c r="M215" s="343"/>
      <c r="N215" s="339"/>
    </row>
    <row r="216" spans="2:14" ht="16.5" thickBot="1">
      <c r="B216" s="326" t="s">
        <v>311</v>
      </c>
      <c r="C216" s="370" t="str">
        <f>INDEX(Cadastro_Hortfrut[[#All],[Colunas4]],MATCH(ROW()-5,Cadastro_Hortfrut[[#All],[Colunas2]],0))</f>
        <v>Mandioquinha</v>
      </c>
      <c r="D216" s="371">
        <f ca="1">G216+(ENTRADAS!AI216)-(BAIXAS!AI216)</f>
        <v>0</v>
      </c>
      <c r="E216" s="164" t="s">
        <v>328</v>
      </c>
      <c r="F216" s="335"/>
      <c r="G216" s="168">
        <v>0</v>
      </c>
      <c r="H216" s="369"/>
      <c r="I216" s="369"/>
      <c r="J216" s="369"/>
      <c r="K216" s="369"/>
      <c r="L216" s="350" t="str">
        <f>IF(Configurações!$G$4="Ligado",IF(AND(Baixas_Hortfrut[[#This Row],[Colunas35]]=0,'Qtd Pessoas'!$K$10=0),"0",Baixas_Hortfrut[[#This Row],[Colunas35]]/'Qtd Pessoas'!$K$10),"")</f>
        <v/>
      </c>
      <c r="M216" s="343"/>
      <c r="N216" s="339"/>
    </row>
    <row r="217" spans="2:14" ht="16.5" thickBot="1">
      <c r="B217" s="326" t="s">
        <v>311</v>
      </c>
      <c r="C217" s="370" t="str">
        <f>INDEX(Cadastro_Hortfrut[[#All],[Colunas4]],MATCH(ROW()-5,Cadastro_Hortfrut[[#All],[Colunas2]],0))</f>
        <v xml:space="preserve">Manga </v>
      </c>
      <c r="D217" s="371">
        <f ca="1">G217+(ENTRADAS!AI217)-(BAIXAS!AI217)</f>
        <v>0.46999999999999886</v>
      </c>
      <c r="E217" s="164" t="s">
        <v>328</v>
      </c>
      <c r="F217" s="335"/>
      <c r="G217" s="168">
        <v>0</v>
      </c>
      <c r="H217" s="369"/>
      <c r="I217" s="369"/>
      <c r="J217" s="369"/>
      <c r="K217" s="369"/>
      <c r="L217" s="350" t="str">
        <f>IF(Configurações!$G$4="Ligado",IF(AND(Baixas_Hortfrut[[#This Row],[Colunas35]]=0,'Qtd Pessoas'!$K$10=0),"0",Baixas_Hortfrut[[#This Row],[Colunas35]]/'Qtd Pessoas'!$K$10),"")</f>
        <v/>
      </c>
      <c r="M217" s="343"/>
      <c r="N217" s="339"/>
    </row>
    <row r="218" spans="2:14" ht="16.5" thickBot="1">
      <c r="B218" s="326" t="s">
        <v>311</v>
      </c>
      <c r="C218" s="370" t="str">
        <f>INDEX(Cadastro_Hortfrut[[#All],[Colunas4]],MATCH(ROW()-5,Cadastro_Hortfrut[[#All],[Colunas2]],0))</f>
        <v>Maracujá</v>
      </c>
      <c r="D218" s="371">
        <f ca="1">G218+(ENTRADAS!AI218)-(BAIXAS!AI218)</f>
        <v>0</v>
      </c>
      <c r="E218" s="164"/>
      <c r="F218" s="335"/>
      <c r="G218" s="168">
        <v>0</v>
      </c>
      <c r="H218" s="369"/>
      <c r="I218" s="369"/>
      <c r="J218" s="369"/>
      <c r="K218" s="369"/>
      <c r="L218" s="350" t="str">
        <f>IF(Configurações!$G$4="Ligado",IF(AND(Baixas_Hortfrut[[#This Row],[Colunas35]]=0,'Qtd Pessoas'!$K$10=0),"0",Baixas_Hortfrut[[#This Row],[Colunas35]]/'Qtd Pessoas'!$K$10),"")</f>
        <v/>
      </c>
      <c r="M218" s="343"/>
      <c r="N218" s="339"/>
    </row>
    <row r="219" spans="2:14" ht="16.5" thickBot="1">
      <c r="B219" s="326" t="s">
        <v>311</v>
      </c>
      <c r="C219" s="370" t="str">
        <f>INDEX(Cadastro_Hortfrut[[#All],[Colunas4]],MATCH(ROW()-5,Cadastro_Hortfrut[[#All],[Colunas2]],0))</f>
        <v>Melancia</v>
      </c>
      <c r="D219" s="371">
        <f ca="1">G219+(ENTRADAS!AI219)-(BAIXAS!AI219)</f>
        <v>0</v>
      </c>
      <c r="E219" s="164" t="s">
        <v>330</v>
      </c>
      <c r="F219" s="335"/>
      <c r="G219" s="168">
        <v>0</v>
      </c>
      <c r="H219" s="369"/>
      <c r="I219" s="369"/>
      <c r="J219" s="369"/>
      <c r="K219" s="369"/>
      <c r="L219" s="350" t="str">
        <f>IF(Configurações!$G$4="Ligado",IF(AND(Baixas_Hortfrut[[#This Row],[Colunas35]]=0,'Qtd Pessoas'!$K$10=0),"0",Baixas_Hortfrut[[#This Row],[Colunas35]]/'Qtd Pessoas'!$K$10),"")</f>
        <v/>
      </c>
      <c r="M219" s="343"/>
      <c r="N219" s="339"/>
    </row>
    <row r="220" spans="2:14" ht="16.5" thickBot="1">
      <c r="B220" s="326" t="s">
        <v>311</v>
      </c>
      <c r="C220" s="370" t="str">
        <f>INDEX(Cadastro_Hortfrut[[#All],[Colunas4]],MATCH(ROW()-5,Cadastro_Hortfrut[[#All],[Colunas2]],0))</f>
        <v xml:space="preserve">Melão </v>
      </c>
      <c r="D220" s="371">
        <f ca="1">G220+(ENTRADAS!AI220)-(BAIXAS!AI220)</f>
        <v>10</v>
      </c>
      <c r="E220" s="164" t="s">
        <v>330</v>
      </c>
      <c r="F220" s="335"/>
      <c r="G220" s="168">
        <v>0</v>
      </c>
      <c r="H220" s="369"/>
      <c r="I220" s="369"/>
      <c r="J220" s="369"/>
      <c r="K220" s="369"/>
      <c r="L220" s="350" t="str">
        <f>IF(Configurações!$G$4="Ligado",IF(AND(Baixas_Hortfrut[[#This Row],[Colunas35]]=0,'Qtd Pessoas'!$K$10=0),"0",Baixas_Hortfrut[[#This Row],[Colunas35]]/'Qtd Pessoas'!$K$10),"")</f>
        <v/>
      </c>
      <c r="M220" s="343"/>
      <c r="N220" s="339"/>
    </row>
    <row r="221" spans="2:14" ht="16.5" thickBot="1">
      <c r="B221" s="326" t="s">
        <v>311</v>
      </c>
      <c r="C221" s="370" t="str">
        <f>INDEX(Cadastro_Hortfrut[[#All],[Colunas4]],MATCH(ROW()-5,Cadastro_Hortfrut[[#All],[Colunas2]],0))</f>
        <v xml:space="preserve">Mexerica </v>
      </c>
      <c r="D221" s="371">
        <f ca="1">G221+(ENTRADAS!AI221)-(BAIXAS!AI221)</f>
        <v>0</v>
      </c>
      <c r="E221" s="164" t="s">
        <v>328</v>
      </c>
      <c r="F221" s="335"/>
      <c r="G221" s="168">
        <v>0</v>
      </c>
      <c r="H221" s="369"/>
      <c r="I221" s="369"/>
      <c r="J221" s="369"/>
      <c r="K221" s="369"/>
      <c r="L221" s="350" t="str">
        <f>IF(Configurações!$G$4="Ligado",IF(AND(Baixas_Hortfrut[[#This Row],[Colunas35]]=0,'Qtd Pessoas'!$K$10=0),"0",Baixas_Hortfrut[[#This Row],[Colunas35]]/'Qtd Pessoas'!$K$10),"")</f>
        <v/>
      </c>
      <c r="M221" s="343"/>
      <c r="N221" s="339"/>
    </row>
    <row r="222" spans="2:14" ht="16.5" thickBot="1">
      <c r="B222" s="326" t="s">
        <v>311</v>
      </c>
      <c r="C222" s="370" t="str">
        <f>INDEX(Cadastro_Hortfrut[[#All],[Colunas4]],MATCH(ROW()-5,Cadastro_Hortfrut[[#All],[Colunas2]],0))</f>
        <v xml:space="preserve">Morango </v>
      </c>
      <c r="D222" s="371">
        <f ca="1">G222+(ENTRADAS!AI222)-(BAIXAS!AI222)</f>
        <v>0</v>
      </c>
      <c r="E222" s="164"/>
      <c r="F222" s="335"/>
      <c r="G222" s="168">
        <v>0</v>
      </c>
      <c r="H222" s="369"/>
      <c r="I222" s="369"/>
      <c r="J222" s="369"/>
      <c r="K222" s="369"/>
      <c r="L222" s="350" t="str">
        <f>IF(Configurações!$G$4="Ligado",IF(AND(Baixas_Hortfrut[[#This Row],[Colunas35]]=0,'Qtd Pessoas'!$K$10=0),"0",Baixas_Hortfrut[[#This Row],[Colunas35]]/'Qtd Pessoas'!$K$10),"")</f>
        <v/>
      </c>
      <c r="M222" s="343"/>
      <c r="N222" s="339"/>
    </row>
    <row r="223" spans="2:14" ht="16.5" thickBot="1">
      <c r="B223" s="326" t="s">
        <v>311</v>
      </c>
      <c r="C223" s="370" t="str">
        <f>INDEX(Cadastro_Hortfrut[[#All],[Colunas4]],MATCH(ROW()-5,Cadastro_Hortfrut[[#All],[Colunas2]],0))</f>
        <v>Nabo</v>
      </c>
      <c r="D223" s="371">
        <f ca="1">G223+(ENTRADAS!AI223)-(BAIXAS!AI223)</f>
        <v>0</v>
      </c>
      <c r="E223" s="164"/>
      <c r="F223" s="335"/>
      <c r="G223" s="168">
        <v>0</v>
      </c>
      <c r="H223" s="369"/>
      <c r="I223" s="369"/>
      <c r="J223" s="369"/>
      <c r="K223" s="369"/>
      <c r="L223" s="350" t="str">
        <f>IF(Configurações!$G$4="Ligado",IF(AND(Baixas_Hortfrut[[#This Row],[Colunas35]]=0,'Qtd Pessoas'!$K$10=0),"0",Baixas_Hortfrut[[#This Row],[Colunas35]]/'Qtd Pessoas'!$K$10),"")</f>
        <v/>
      </c>
      <c r="M223" s="343"/>
      <c r="N223" s="339"/>
    </row>
    <row r="224" spans="2:14" ht="16.5" thickBot="1">
      <c r="B224" s="326" t="s">
        <v>311</v>
      </c>
      <c r="C224" s="370" t="str">
        <f>INDEX(Cadastro_Hortfrut[[#All],[Colunas4]],MATCH(ROW()-5,Cadastro_Hortfrut[[#All],[Colunas2]],0))</f>
        <v xml:space="preserve">Ovos </v>
      </c>
      <c r="D224" s="371">
        <f ca="1">G224+(ENTRADAS!AI224)-(BAIXAS!AI224)</f>
        <v>393</v>
      </c>
      <c r="E224" s="164" t="s">
        <v>330</v>
      </c>
      <c r="F224" s="335"/>
      <c r="G224" s="168">
        <v>60</v>
      </c>
      <c r="H224" s="369"/>
      <c r="I224" s="369"/>
      <c r="J224" s="369"/>
      <c r="K224" s="369"/>
      <c r="L224" s="350" t="str">
        <f>IF(Configurações!$G$4="Ligado",IF(AND(Baixas_Hortfrut[[#This Row],[Colunas35]]=0,'Qtd Pessoas'!$K$10=0),"0",Baixas_Hortfrut[[#This Row],[Colunas35]]/'Qtd Pessoas'!$K$10),"")</f>
        <v/>
      </c>
      <c r="M224" s="343"/>
      <c r="N224" s="339"/>
    </row>
    <row r="225" spans="2:14" ht="16.5" thickBot="1">
      <c r="B225" s="326" t="s">
        <v>311</v>
      </c>
      <c r="C225" s="370" t="str">
        <f>INDEX(Cadastro_Hortfrut[[#All],[Colunas4]],MATCH(ROW()-5,Cadastro_Hortfrut[[#All],[Colunas2]],0))</f>
        <v>Pepino</v>
      </c>
      <c r="D225" s="371">
        <f ca="1">G225+(ENTRADAS!AI225)-(BAIXAS!AI225)</f>
        <v>-2.2850000000000001</v>
      </c>
      <c r="E225" s="164" t="s">
        <v>328</v>
      </c>
      <c r="F225" s="335"/>
      <c r="G225" s="168">
        <v>2.93</v>
      </c>
      <c r="H225" s="369"/>
      <c r="I225" s="369"/>
      <c r="J225" s="369"/>
      <c r="K225" s="369"/>
      <c r="L225" s="350" t="str">
        <f>IF(Configurações!$G$4="Ligado",IF(AND(Baixas_Hortfrut[[#This Row],[Colunas35]]=0,'Qtd Pessoas'!$K$10=0),"0",Baixas_Hortfrut[[#This Row],[Colunas35]]/'Qtd Pessoas'!$K$10),"")</f>
        <v/>
      </c>
      <c r="M225" s="343"/>
      <c r="N225" s="339"/>
    </row>
    <row r="226" spans="2:14" ht="16.5" thickBot="1">
      <c r="B226" s="326" t="s">
        <v>311</v>
      </c>
      <c r="C226" s="370" t="str">
        <f>INDEX(Cadastro_Hortfrut[[#All],[Colunas4]],MATCH(ROW()-5,Cadastro_Hortfrut[[#All],[Colunas2]],0))</f>
        <v>Pessego</v>
      </c>
      <c r="D226" s="371">
        <f ca="1">G226+(ENTRADAS!AI226)-(BAIXAS!AI226)</f>
        <v>-2</v>
      </c>
      <c r="E226" s="164"/>
      <c r="F226" s="335"/>
      <c r="G226" s="168">
        <v>0</v>
      </c>
      <c r="H226" s="369"/>
      <c r="I226" s="369"/>
      <c r="J226" s="369"/>
      <c r="K226" s="369"/>
      <c r="L226" s="350" t="str">
        <f>IF(Configurações!$G$4="Ligado",IF(AND(Baixas_Hortfrut[[#This Row],[Colunas35]]=0,'Qtd Pessoas'!$K$10=0),"0",Baixas_Hortfrut[[#This Row],[Colunas35]]/'Qtd Pessoas'!$K$10),"")</f>
        <v/>
      </c>
      <c r="M226" s="343"/>
      <c r="N226" s="339"/>
    </row>
    <row r="227" spans="2:14" ht="16.5" thickBot="1">
      <c r="B227" s="326" t="s">
        <v>311</v>
      </c>
      <c r="C227" s="370" t="str">
        <f>INDEX(Cadastro_Hortfrut[[#All],[Colunas4]],MATCH(ROW()-5,Cadastro_Hortfrut[[#All],[Colunas2]],0))</f>
        <v xml:space="preserve">Pimentão Amarelo </v>
      </c>
      <c r="D227" s="371">
        <f ca="1">G227+(ENTRADAS!AI227)-(BAIXAS!AI227)</f>
        <v>-0.45</v>
      </c>
      <c r="E227" s="165" t="s">
        <v>328</v>
      </c>
      <c r="F227" s="373"/>
      <c r="G227" s="168">
        <v>0</v>
      </c>
      <c r="H227" s="369"/>
      <c r="I227" s="369"/>
      <c r="J227" s="369"/>
      <c r="K227" s="369"/>
      <c r="L227" s="374" t="str">
        <f>IF(Configurações!$G$4="Ligado",IF(AND(Baixas_Hortfrut[[#This Row],[Colunas35]]=0,'Qtd Pessoas'!$K$10=0),"0",Baixas_Hortfrut[[#This Row],[Colunas35]]/'Qtd Pessoas'!$K$10),"")</f>
        <v/>
      </c>
      <c r="M227" s="343"/>
      <c r="N227" s="339"/>
    </row>
    <row r="228" spans="2:14" ht="16.5" thickBot="1">
      <c r="B228" s="326" t="s">
        <v>311</v>
      </c>
      <c r="C228" s="370" t="str">
        <f>INDEX(Cadastro_Hortfrut[[#All],[Colunas4]],MATCH(ROW()-5,Cadastro_Hortfrut[[#All],[Colunas2]],0))</f>
        <v xml:space="preserve">Pimentão Verde </v>
      </c>
      <c r="D228" s="371">
        <f ca="1">G228+(ENTRADAS!AI228)-(BAIXAS!AI228)</f>
        <v>7.2040000000000006</v>
      </c>
      <c r="E228" s="165" t="s">
        <v>328</v>
      </c>
      <c r="F228" s="373"/>
      <c r="G228" s="168">
        <v>1</v>
      </c>
      <c r="H228" s="369"/>
      <c r="I228" s="369"/>
      <c r="J228" s="369"/>
      <c r="K228" s="369"/>
      <c r="L228" s="374" t="str">
        <f>IF(Configurações!$G$4="Ligado",IF(AND(Baixas_Hortfrut[[#This Row],[Colunas35]]=0,'Qtd Pessoas'!$K$10=0),"0",Baixas_Hortfrut[[#This Row],[Colunas35]]/'Qtd Pessoas'!$K$10),"")</f>
        <v/>
      </c>
      <c r="M228" s="343"/>
      <c r="N228" s="339"/>
    </row>
    <row r="229" spans="2:14" ht="16.5" thickBot="1">
      <c r="B229" s="326" t="s">
        <v>311</v>
      </c>
      <c r="C229" s="370" t="str">
        <f>INDEX(Cadastro_Hortfrut[[#All],[Colunas4]],MATCH(ROW()-5,Cadastro_Hortfrut[[#All],[Colunas2]],0))</f>
        <v xml:space="preserve">Pimentão Vermelho </v>
      </c>
      <c r="D229" s="371">
        <f ca="1">G229+(ENTRADAS!AI229)-(BAIXAS!AI229)</f>
        <v>-0.35</v>
      </c>
      <c r="E229" s="165" t="s">
        <v>328</v>
      </c>
      <c r="F229" s="373"/>
      <c r="G229" s="168">
        <v>0</v>
      </c>
      <c r="H229" s="369"/>
      <c r="I229" s="369"/>
      <c r="J229" s="369"/>
      <c r="K229" s="369"/>
      <c r="L229" s="374" t="str">
        <f>IF(Configurações!$G$4="Ligado",IF(AND(Baixas_Hortfrut[[#This Row],[Colunas35]]=0,'Qtd Pessoas'!$K$10=0),"0",Baixas_Hortfrut[[#This Row],[Colunas35]]/'Qtd Pessoas'!$K$10),"")</f>
        <v/>
      </c>
      <c r="M229" s="343"/>
      <c r="N229" s="339"/>
    </row>
    <row r="230" spans="2:14" ht="16.5" thickBot="1">
      <c r="B230" s="326" t="s">
        <v>311</v>
      </c>
      <c r="C230" s="370" t="str">
        <f>INDEX(Cadastro_Hortfrut[[#All],[Colunas4]],MATCH(ROW()-5,Cadastro_Hortfrut[[#All],[Colunas2]],0))</f>
        <v>Quiabo</v>
      </c>
      <c r="D230" s="371">
        <f ca="1">G230+(ENTRADAS!AI230)-(BAIXAS!AI230)</f>
        <v>0</v>
      </c>
      <c r="E230" s="164"/>
      <c r="F230" s="335"/>
      <c r="G230" s="168">
        <v>0</v>
      </c>
      <c r="H230" s="369"/>
      <c r="I230" s="369"/>
      <c r="J230" s="369"/>
      <c r="K230" s="369"/>
      <c r="L230" s="350" t="str">
        <f>IF(Configurações!$G$4="Ligado",IF(AND(Baixas_Hortfrut[[#This Row],[Colunas35]]=0,'Qtd Pessoas'!$K$10=0),"0",Baixas_Hortfrut[[#This Row],[Colunas35]]/'Qtd Pessoas'!$K$10),"")</f>
        <v/>
      </c>
      <c r="M230" s="343"/>
      <c r="N230" s="339"/>
    </row>
    <row r="231" spans="2:14" ht="16.5" thickBot="1">
      <c r="B231" s="326" t="s">
        <v>311</v>
      </c>
      <c r="C231" s="370" t="str">
        <f>INDEX(Cadastro_Hortfrut[[#All],[Colunas4]],MATCH(ROW()-5,Cadastro_Hortfrut[[#All],[Colunas2]],0))</f>
        <v>Rabanete</v>
      </c>
      <c r="D231" s="371">
        <f ca="1">G231+(ENTRADAS!AI231)-(BAIXAS!AI231)</f>
        <v>0</v>
      </c>
      <c r="E231" s="164" t="s">
        <v>330</v>
      </c>
      <c r="F231" s="335"/>
      <c r="G231" s="168">
        <v>0</v>
      </c>
      <c r="H231" s="369"/>
      <c r="I231" s="369"/>
      <c r="J231" s="369"/>
      <c r="K231" s="369"/>
      <c r="L231" s="350" t="str">
        <f>IF(Configurações!$G$4="Ligado",IF(AND(Baixas_Hortfrut[[#This Row],[Colunas35]]=0,'Qtd Pessoas'!$K$10=0),"0",Baixas_Hortfrut[[#This Row],[Colunas35]]/'Qtd Pessoas'!$K$10),"")</f>
        <v/>
      </c>
      <c r="M231" s="343"/>
      <c r="N231" s="339"/>
    </row>
    <row r="232" spans="2:14" ht="16.5" thickBot="1">
      <c r="B232" s="326" t="s">
        <v>311</v>
      </c>
      <c r="C232" s="370" t="str">
        <f>INDEX(Cadastro_Hortfrut[[#All],[Colunas4]],MATCH(ROW()-5,Cadastro_Hortfrut[[#All],[Colunas2]],0))</f>
        <v xml:space="preserve">Repolho </v>
      </c>
      <c r="D232" s="371">
        <f ca="1">G232+(ENTRADAS!AI232)-(BAIXAS!AI232)</f>
        <v>6</v>
      </c>
      <c r="E232" s="165" t="s">
        <v>330</v>
      </c>
      <c r="F232" s="373"/>
      <c r="G232" s="168">
        <v>3</v>
      </c>
      <c r="H232" s="369"/>
      <c r="I232" s="369"/>
      <c r="J232" s="369"/>
      <c r="K232" s="369"/>
      <c r="L232" s="374" t="str">
        <f>IF(Configurações!$G$4="Ligado",IF(AND(Baixas_Hortfrut[[#This Row],[Colunas35]]=0,'Qtd Pessoas'!$K$10=0),"0",Baixas_Hortfrut[[#This Row],[Colunas35]]/'Qtd Pessoas'!$K$10),"")</f>
        <v/>
      </c>
      <c r="M232" s="343"/>
      <c r="N232" s="339"/>
    </row>
    <row r="233" spans="2:14" ht="16.5" thickBot="1">
      <c r="B233" s="326" t="s">
        <v>311</v>
      </c>
      <c r="C233" s="370" t="str">
        <f>INDEX(Cadastro_Hortfrut[[#All],[Colunas4]],MATCH(ROW()-5,Cadastro_Hortfrut[[#All],[Colunas2]],0))</f>
        <v>Repolho roxo</v>
      </c>
      <c r="D233" s="371">
        <f ca="1">G233+(ENTRADAS!AI233)-(BAIXAS!AI233)</f>
        <v>1</v>
      </c>
      <c r="E233" s="165" t="s">
        <v>330</v>
      </c>
      <c r="F233" s="375"/>
      <c r="G233" s="168">
        <v>0</v>
      </c>
      <c r="H233" s="369"/>
      <c r="I233" s="369"/>
      <c r="J233" s="369"/>
      <c r="K233" s="369"/>
      <c r="L233" s="376" t="str">
        <f>IF(Configurações!$G$4="Ligado",IF(AND(Baixas_Hortfrut[[#This Row],[Colunas35]]=0,'Qtd Pessoas'!$K$10=0),"0",Baixas_Hortfrut[[#This Row],[Colunas35]]/'Qtd Pessoas'!$K$10),"")</f>
        <v/>
      </c>
      <c r="M233" s="343"/>
      <c r="N233" s="339"/>
    </row>
    <row r="234" spans="2:14" ht="16.5" thickBot="1">
      <c r="B234" s="326" t="s">
        <v>311</v>
      </c>
      <c r="C234" s="370" t="str">
        <f>INDEX(Cadastro_Hortfrut[[#All],[Colunas4]],MATCH(ROW()-5,Cadastro_Hortfrut[[#All],[Colunas2]],0))</f>
        <v>Rúcula</v>
      </c>
      <c r="D234" s="371">
        <f ca="1">G234+(ENTRADAS!AI234)-(BAIXAS!AI234)</f>
        <v>10</v>
      </c>
      <c r="E234" s="165"/>
      <c r="F234" s="373"/>
      <c r="G234" s="168">
        <v>0</v>
      </c>
      <c r="H234" s="369"/>
      <c r="I234" s="369"/>
      <c r="J234" s="369"/>
      <c r="K234" s="369"/>
      <c r="L234" s="374" t="str">
        <f>IF(Configurações!$G$4="Ligado",IF(AND(Baixas_Hortfrut[[#This Row],[Colunas35]]=0,'Qtd Pessoas'!$K$10=0),"0",Baixas_Hortfrut[[#This Row],[Colunas35]]/'Qtd Pessoas'!$K$10),"")</f>
        <v/>
      </c>
      <c r="M234" s="343"/>
      <c r="N234" s="339"/>
    </row>
    <row r="235" spans="2:14" ht="16.5" thickBot="1">
      <c r="B235" s="326" t="s">
        <v>311</v>
      </c>
      <c r="C235" s="370" t="str">
        <f>INDEX(Cadastro_Hortfrut[[#All],[Colunas4]],MATCH(ROW()-5,Cadastro_Hortfrut[[#All],[Colunas2]],0))</f>
        <v>Salsa</v>
      </c>
      <c r="D235" s="371">
        <f ca="1">G235+(ENTRADAS!AI235)-(BAIXAS!AI235)</f>
        <v>7</v>
      </c>
      <c r="E235" s="165" t="s">
        <v>330</v>
      </c>
      <c r="F235" s="375"/>
      <c r="G235" s="168">
        <v>0</v>
      </c>
      <c r="H235" s="369"/>
      <c r="I235" s="369"/>
      <c r="J235" s="369"/>
      <c r="K235" s="369"/>
      <c r="L235" s="376" t="str">
        <f>IF(Configurações!$G$4="Ligado",IF(AND(Baixas_Hortfrut[[#This Row],[Colunas35]]=0,'Qtd Pessoas'!$K$10=0),"0",Baixas_Hortfrut[[#This Row],[Colunas35]]/'Qtd Pessoas'!$K$10),"")</f>
        <v/>
      </c>
      <c r="M235" s="343"/>
      <c r="N235" s="339"/>
    </row>
    <row r="236" spans="2:14" ht="16.5" thickBot="1">
      <c r="B236" s="326" t="s">
        <v>311</v>
      </c>
      <c r="C236" s="370" t="str">
        <f>INDEX(Cadastro_Hortfrut[[#All],[Colunas4]],MATCH(ROW()-5,Cadastro_Hortfrut[[#All],[Colunas2]],0))</f>
        <v>Salsão</v>
      </c>
      <c r="D236" s="371">
        <f ca="1">G236+(ENTRADAS!AI236)-(BAIXAS!AI236)</f>
        <v>0</v>
      </c>
      <c r="E236" s="165"/>
      <c r="F236" s="375"/>
      <c r="G236" s="168">
        <v>0</v>
      </c>
      <c r="H236" s="369"/>
      <c r="I236" s="369"/>
      <c r="J236" s="369"/>
      <c r="K236" s="369"/>
      <c r="L236" s="376" t="str">
        <f>IF(Configurações!$G$4="Ligado",IF(AND(Baixas_Hortfrut[[#This Row],[Colunas35]]=0,'Qtd Pessoas'!$K$10=0),"0",Baixas_Hortfrut[[#This Row],[Colunas35]]/'Qtd Pessoas'!$K$10),"")</f>
        <v/>
      </c>
      <c r="M236" s="343"/>
      <c r="N236" s="339"/>
    </row>
    <row r="237" spans="2:14" ht="16.5" thickBot="1">
      <c r="B237" s="326" t="s">
        <v>311</v>
      </c>
      <c r="C237" s="370" t="str">
        <f>INDEX(Cadastro_Hortfrut[[#All],[Colunas4]],MATCH(ROW()-5,Cadastro_Hortfrut[[#All],[Colunas2]],0))</f>
        <v>Tomate Cereja</v>
      </c>
      <c r="D237" s="371">
        <f ca="1">G237+(ENTRADAS!AI237)-(BAIXAS!AI237)</f>
        <v>0</v>
      </c>
      <c r="E237" s="165" t="s">
        <v>330</v>
      </c>
      <c r="F237" s="375"/>
      <c r="G237" s="168">
        <v>0</v>
      </c>
      <c r="H237" s="369"/>
      <c r="I237" s="369"/>
      <c r="J237" s="369"/>
      <c r="K237" s="369"/>
      <c r="L237" s="376" t="str">
        <f>IF(Configurações!$G$4="Ligado",IF(AND(Baixas_Hortfrut[[#This Row],[Colunas35]]=0,'Qtd Pessoas'!$K$10=0),"0",Baixas_Hortfrut[[#This Row],[Colunas35]]/'Qtd Pessoas'!$K$10),"")</f>
        <v/>
      </c>
      <c r="M237" s="343"/>
      <c r="N237" s="339"/>
    </row>
    <row r="238" spans="2:14" ht="16.5" thickBot="1">
      <c r="B238" s="326" t="s">
        <v>311</v>
      </c>
      <c r="C238" s="370" t="str">
        <f>INDEX(Cadastro_Hortfrut[[#All],[Colunas4]],MATCH(ROW()-5,Cadastro_Hortfrut[[#All],[Colunas2]],0))</f>
        <v>Tomate Molho</v>
      </c>
      <c r="D238" s="371">
        <f ca="1">G238+(ENTRADAS!AI238)-(BAIXAS!AI238)</f>
        <v>0</v>
      </c>
      <c r="E238" s="165"/>
      <c r="F238" s="375"/>
      <c r="G238" s="168">
        <v>0</v>
      </c>
      <c r="H238" s="369"/>
      <c r="I238" s="369"/>
      <c r="J238" s="369"/>
      <c r="K238" s="369"/>
      <c r="L238" s="376" t="str">
        <f>IF(Configurações!$G$4="Ligado",IF(AND(Baixas_Hortfrut[[#This Row],[Colunas35]]=0,'Qtd Pessoas'!$K$10=0),"0",Baixas_Hortfrut[[#This Row],[Colunas35]]/'Qtd Pessoas'!$K$10),"")</f>
        <v/>
      </c>
      <c r="M238" s="343"/>
      <c r="N238" s="339"/>
    </row>
    <row r="239" spans="2:14" ht="16.5" thickBot="1">
      <c r="B239" s="326" t="s">
        <v>311</v>
      </c>
      <c r="C239" s="370" t="str">
        <f>INDEX(Cadastro_Hortfrut[[#All],[Colunas4]],MATCH(ROW()-5,Cadastro_Hortfrut[[#All],[Colunas2]],0))</f>
        <v xml:space="preserve">Tomate Salada </v>
      </c>
      <c r="D239" s="371">
        <f ca="1">G239+(ENTRADAS!AI239)-(BAIXAS!AI239)</f>
        <v>31.567000000000007</v>
      </c>
      <c r="E239" s="165" t="s">
        <v>328</v>
      </c>
      <c r="F239" s="375"/>
      <c r="G239" s="168">
        <v>6</v>
      </c>
      <c r="H239" s="369"/>
      <c r="I239" s="369"/>
      <c r="J239" s="369"/>
      <c r="K239" s="369"/>
      <c r="L239" s="376" t="str">
        <f>IF(Configurações!$G$4="Ligado",IF(AND(Baixas_Hortfrut[[#This Row],[Colunas35]]=0,'Qtd Pessoas'!$K$10=0),"0",Baixas_Hortfrut[[#This Row],[Colunas35]]/'Qtd Pessoas'!$K$10),"")</f>
        <v/>
      </c>
      <c r="M239" s="343"/>
      <c r="N239" s="339"/>
    </row>
    <row r="240" spans="2:14" ht="16.5" thickBot="1">
      <c r="B240" s="326" t="s">
        <v>311</v>
      </c>
      <c r="C240" s="370" t="str">
        <f>INDEX(Cadastro_Hortfrut[[#All],[Colunas4]],MATCH(ROW()-5,Cadastro_Hortfrut[[#All],[Colunas2]],0))</f>
        <v>Uva</v>
      </c>
      <c r="D240" s="371">
        <f ca="1">G240+(ENTRADAS!AI240)-(BAIXAS!AI240)</f>
        <v>-6</v>
      </c>
      <c r="E240" s="164"/>
      <c r="F240" s="335"/>
      <c r="G240" s="168">
        <v>0</v>
      </c>
      <c r="H240" s="369"/>
      <c r="I240" s="369"/>
      <c r="J240" s="369"/>
      <c r="K240" s="369"/>
      <c r="L240" s="350" t="str">
        <f>IF(Configurações!$G$4="Ligado",IF(AND(Baixas_Hortfrut[[#This Row],[Colunas35]]=0,'Qtd Pessoas'!$K$10=0),"0",Baixas_Hortfrut[[#This Row],[Colunas35]]/'Qtd Pessoas'!$K$10),"")</f>
        <v/>
      </c>
      <c r="M240" s="343"/>
      <c r="N240" s="339"/>
    </row>
    <row r="241" spans="2:14" ht="16.5" thickBot="1">
      <c r="B241" s="326" t="s">
        <v>311</v>
      </c>
      <c r="C241" s="377" t="str">
        <f>INDEX(Cadastro_Hortfrut[[#All],[Colunas4]],MATCH(ROW()-5,Cadastro_Hortfrut[[#All],[Colunas2]],0))</f>
        <v xml:space="preserve">Vagem </v>
      </c>
      <c r="D241" s="371">
        <f ca="1">G241+(ENTRADAS!AI241)-(BAIXAS!AI241)</f>
        <v>0</v>
      </c>
      <c r="E241" s="166"/>
      <c r="F241" s="335"/>
      <c r="G241" s="169">
        <v>0</v>
      </c>
      <c r="H241" s="369"/>
      <c r="I241" s="369"/>
      <c r="J241" s="369"/>
      <c r="K241" s="369"/>
      <c r="L241" s="350" t="str">
        <f>IF(Configurações!$G$4="Ligado",IF(AND(Baixas_Hortfrut[[#This Row],[Colunas35]]=0,'Qtd Pessoas'!$K$10=0),"0",Baixas_Hortfrut[[#This Row],[Colunas35]]/'Qtd Pessoas'!$K$10),"")</f>
        <v/>
      </c>
      <c r="M241" s="343"/>
      <c r="N241" s="339"/>
    </row>
    <row r="242" spans="2:14" ht="15" thickBot="1">
      <c r="B242" s="326" t="s">
        <v>311</v>
      </c>
    </row>
    <row r="243" spans="2:14" ht="24" thickBot="1">
      <c r="B243" s="326" t="s">
        <v>311</v>
      </c>
      <c r="C243" s="415" t="s">
        <v>334</v>
      </c>
      <c r="D243" s="416"/>
      <c r="E243" s="416"/>
      <c r="F243" s="416"/>
      <c r="G243" s="416"/>
      <c r="H243" s="416"/>
      <c r="I243" s="416"/>
      <c r="J243" s="416"/>
      <c r="K243" s="417"/>
    </row>
    <row r="244" spans="2:14" ht="16.5" thickBot="1">
      <c r="B244" s="326" t="s">
        <v>311</v>
      </c>
      <c r="C244" s="378" t="str">
        <f>INDEX(Cadastro_Limpeza[[#All],[Colunas4]],MATCH(ROW()-5,Cadastro_Limpeza[[#All],[Colunas2]],0))</f>
        <v>Água Sanitária LT</v>
      </c>
      <c r="D244" s="379">
        <f ca="1">G244+(ENTRADAS!AI244)-(BAIXAS!AI244)</f>
        <v>-5</v>
      </c>
      <c r="E244" s="241"/>
      <c r="G244" s="241">
        <v>0</v>
      </c>
      <c r="H244" s="380"/>
      <c r="I244" s="380"/>
      <c r="J244" s="380"/>
      <c r="K244" s="381"/>
    </row>
    <row r="245" spans="2:14" ht="16.5" thickBot="1">
      <c r="B245" s="326" t="s">
        <v>311</v>
      </c>
      <c r="C245" s="382" t="str">
        <f>INDEX(Cadastro_Limpeza[[#All],[Colunas4]],MATCH(ROW()-5,Cadastro_Limpeza[[#All],[Colunas2]],0))</f>
        <v>Alcool gel LT</v>
      </c>
      <c r="D245" s="379">
        <f ca="1">G245+(ENTRADAS!AI245)-(BAIXAS!AI245)</f>
        <v>7</v>
      </c>
      <c r="E245" s="242"/>
      <c r="G245" s="242">
        <v>0</v>
      </c>
      <c r="H245" s="383"/>
      <c r="I245" s="383"/>
      <c r="J245" s="383"/>
      <c r="K245" s="384"/>
    </row>
    <row r="246" spans="2:14" ht="16.5" thickBot="1">
      <c r="B246" s="326" t="s">
        <v>311</v>
      </c>
      <c r="C246" s="378" t="str">
        <f>INDEX(Cadastro_Limpeza[[#All],[Colunas4]],MATCH(ROW()-5,Cadastro_Limpeza[[#All],[Colunas2]],0))</f>
        <v>Álcool LT</v>
      </c>
      <c r="D246" s="379">
        <f ca="1">G246+(ENTRADAS!AI246)-(BAIXAS!AI246)</f>
        <v>21</v>
      </c>
      <c r="E246" s="241"/>
      <c r="G246" s="241">
        <v>0</v>
      </c>
      <c r="H246" s="380"/>
      <c r="I246" s="380"/>
      <c r="J246" s="380"/>
      <c r="K246" s="381"/>
    </row>
    <row r="247" spans="2:14" ht="16.5" thickBot="1">
      <c r="B247" s="326" t="s">
        <v>311</v>
      </c>
      <c r="C247" s="382" t="str">
        <f>INDEX(Cadastro_Limpeza[[#All],[Colunas4]],MATCH(ROW()-5,Cadastro_Limpeza[[#All],[Colunas2]],0))</f>
        <v>Amaciante</v>
      </c>
      <c r="D247" s="379">
        <f ca="1">G247+(ENTRADAS!AI247)-(BAIXAS!AI247)</f>
        <v>14</v>
      </c>
      <c r="E247" s="242"/>
      <c r="G247" s="242">
        <v>0</v>
      </c>
      <c r="H247" s="383"/>
      <c r="I247" s="383"/>
      <c r="J247" s="383"/>
      <c r="K247" s="384"/>
    </row>
    <row r="248" spans="2:14" ht="16.5" thickBot="1">
      <c r="B248" s="326" t="s">
        <v>311</v>
      </c>
      <c r="C248" s="378" t="str">
        <f>INDEX(Cadastro_Limpeza[[#All],[Colunas4]],MATCH(ROW()-5,Cadastro_Limpeza[[#All],[Colunas2]],0))</f>
        <v>Bobina Papel toalha c/6 rolos</v>
      </c>
      <c r="D248" s="379">
        <f ca="1">G248+(ENTRADAS!AI248)-(BAIXAS!AI248)</f>
        <v>2</v>
      </c>
      <c r="E248" s="241"/>
      <c r="G248" s="241">
        <v>3</v>
      </c>
      <c r="H248" s="380"/>
      <c r="I248" s="380"/>
      <c r="J248" s="380"/>
      <c r="K248" s="381"/>
    </row>
    <row r="249" spans="2:14" ht="16.5" thickBot="1">
      <c r="B249" s="326" t="s">
        <v>311</v>
      </c>
      <c r="C249" s="382" t="str">
        <f>INDEX(Cadastro_Limpeza[[#All],[Colunas4]],MATCH(ROW()-5,Cadastro_Limpeza[[#All],[Colunas2]],0))</f>
        <v xml:space="preserve">Bom ar </v>
      </c>
      <c r="D249" s="379">
        <f ca="1">G249+(ENTRADAS!AI249)-(BAIXAS!AI249)</f>
        <v>0</v>
      </c>
      <c r="E249" s="242"/>
      <c r="G249" s="242">
        <v>0</v>
      </c>
      <c r="H249" s="383"/>
      <c r="I249" s="383"/>
      <c r="J249" s="383"/>
      <c r="K249" s="384"/>
    </row>
    <row r="250" spans="2:14" ht="16.5" thickBot="1">
      <c r="B250" s="326" t="s">
        <v>311</v>
      </c>
      <c r="C250" s="378" t="str">
        <f>INDEX(Cadastro_Limpeza[[#All],[Colunas4]],MATCH(ROW()-5,Cadastro_Limpeza[[#All],[Colunas2]],0))</f>
        <v>Bom bril</v>
      </c>
      <c r="D250" s="379">
        <f ca="1">G250+(ENTRADAS!AI250)-(BAIXAS!AI250)</f>
        <v>0</v>
      </c>
      <c r="E250" s="241"/>
      <c r="G250" s="241">
        <v>0</v>
      </c>
      <c r="H250" s="380"/>
      <c r="I250" s="380"/>
      <c r="J250" s="380"/>
      <c r="K250" s="381"/>
    </row>
    <row r="251" spans="2:14" ht="16.5" thickBot="1">
      <c r="B251" s="326" t="s">
        <v>311</v>
      </c>
      <c r="C251" s="382" t="str">
        <f>INDEX(Cadastro_Limpeza[[#All],[Colunas4]],MATCH(ROW()-5,Cadastro_Limpeza[[#All],[Colunas2]],0))</f>
        <v>Bota de Borracha</v>
      </c>
      <c r="D251" s="379">
        <f ca="1">G251+(ENTRADAS!AI251)-(BAIXAS!AI251)</f>
        <v>0</v>
      </c>
      <c r="E251" s="242"/>
      <c r="G251" s="242">
        <v>0</v>
      </c>
      <c r="H251" s="383"/>
      <c r="I251" s="383"/>
      <c r="J251" s="383"/>
      <c r="K251" s="384"/>
    </row>
    <row r="252" spans="2:14" ht="16.5" thickBot="1">
      <c r="B252" s="326" t="s">
        <v>311</v>
      </c>
      <c r="C252" s="378" t="str">
        <f>INDEX(Cadastro_Limpeza[[#All],[Colunas4]],MATCH(ROW()-5,Cadastro_Limpeza[[#All],[Colunas2]],0))</f>
        <v>Cera Liquida  LT</v>
      </c>
      <c r="D252" s="379">
        <f ca="1">G252+(ENTRADAS!AI252)-(BAIXAS!AI252)</f>
        <v>0</v>
      </c>
      <c r="E252" s="241"/>
      <c r="G252" s="241">
        <v>0</v>
      </c>
      <c r="H252" s="380"/>
      <c r="I252" s="380"/>
      <c r="J252" s="380"/>
      <c r="K252" s="381"/>
    </row>
    <row r="253" spans="2:14" ht="16.5" thickBot="1">
      <c r="B253" s="326" t="s">
        <v>311</v>
      </c>
      <c r="C253" s="382" t="str">
        <f>INDEX(Cadastro_Limpeza[[#All],[Colunas4]],MATCH(ROW()-5,Cadastro_Limpeza[[#All],[Colunas2]],0))</f>
        <v>Cesto de Lixo</v>
      </c>
      <c r="D253" s="379">
        <f ca="1">G253+(ENTRADAS!AI253)-(BAIXAS!AI253)</f>
        <v>0</v>
      </c>
      <c r="E253" s="242"/>
      <c r="G253" s="242">
        <v>0</v>
      </c>
      <c r="H253" s="383"/>
      <c r="I253" s="383"/>
      <c r="J253" s="383"/>
      <c r="K253" s="384"/>
    </row>
    <row r="254" spans="2:14" ht="16.5" thickBot="1">
      <c r="B254" s="326" t="s">
        <v>311</v>
      </c>
      <c r="C254" s="378" t="str">
        <f>INDEX(Cadastro_Limpeza[[#All],[Colunas4]],MATCH(ROW()-5,Cadastro_Limpeza[[#All],[Colunas2]],0))</f>
        <v>Cloro</v>
      </c>
      <c r="D254" s="379">
        <f ca="1">G254+(ENTRADAS!AI254)-(BAIXAS!AI254)</f>
        <v>0</v>
      </c>
      <c r="E254" s="241"/>
      <c r="G254" s="241">
        <v>0</v>
      </c>
      <c r="H254" s="380"/>
      <c r="I254" s="380"/>
      <c r="J254" s="380"/>
      <c r="K254" s="381"/>
    </row>
    <row r="255" spans="2:14" ht="16.5" thickBot="1">
      <c r="B255" s="326" t="s">
        <v>311</v>
      </c>
      <c r="C255" s="382" t="str">
        <f>INDEX(Cadastro_Limpeza[[#All],[Colunas4]],MATCH(ROW()-5,Cadastro_Limpeza[[#All],[Colunas2]],0))</f>
        <v>Copinho de café 50ml</v>
      </c>
      <c r="D255" s="379">
        <f ca="1">G255+(ENTRADAS!AI255)-(BAIXAS!AI255)</f>
        <v>0</v>
      </c>
      <c r="E255" s="242"/>
      <c r="G255" s="242">
        <v>0</v>
      </c>
      <c r="H255" s="383"/>
      <c r="I255" s="383"/>
      <c r="J255" s="383"/>
      <c r="K255" s="384"/>
    </row>
    <row r="256" spans="2:14" ht="16.5" thickBot="1">
      <c r="B256" s="326" t="s">
        <v>311</v>
      </c>
      <c r="C256" s="378" t="str">
        <f>INDEX(Cadastro_Limpeza[[#All],[Colunas4]],MATCH(ROW()-5,Cadastro_Limpeza[[#All],[Colunas2]],0))</f>
        <v>Copo descartável 100ml</v>
      </c>
      <c r="D256" s="379">
        <f ca="1">G256+(ENTRADAS!AI256)-(BAIXAS!AI256)</f>
        <v>0</v>
      </c>
      <c r="E256" s="241"/>
      <c r="G256" s="241">
        <v>0</v>
      </c>
      <c r="H256" s="380"/>
      <c r="I256" s="380"/>
      <c r="J256" s="380"/>
      <c r="K256" s="381"/>
    </row>
    <row r="257" spans="2:11" ht="16.5" thickBot="1">
      <c r="B257" s="326" t="s">
        <v>311</v>
      </c>
      <c r="C257" s="382" t="str">
        <f>INDEX(Cadastro_Limpeza[[#All],[Colunas4]],MATCH(ROW()-5,Cadastro_Limpeza[[#All],[Colunas2]],0))</f>
        <v>Copo descartável 200ml</v>
      </c>
      <c r="D257" s="379">
        <f ca="1">G257+(ENTRADAS!AI257)-(BAIXAS!AI257)</f>
        <v>50</v>
      </c>
      <c r="E257" s="242"/>
      <c r="G257" s="242">
        <v>16</v>
      </c>
      <c r="H257" s="383"/>
      <c r="I257" s="383"/>
      <c r="J257" s="383"/>
      <c r="K257" s="384"/>
    </row>
    <row r="258" spans="2:11" ht="16.5" thickBot="1">
      <c r="B258" s="326" t="s">
        <v>311</v>
      </c>
      <c r="C258" s="378" t="str">
        <f>INDEX(Cadastro_Limpeza[[#All],[Colunas4]],MATCH(ROW()-5,Cadastro_Limpeza[[#All],[Colunas2]],0))</f>
        <v>Desincrustante</v>
      </c>
      <c r="D258" s="379">
        <f ca="1">G258+(ENTRADAS!AI258)-(BAIXAS!AI258)</f>
        <v>5</v>
      </c>
      <c r="E258" s="241"/>
      <c r="G258" s="241">
        <v>0</v>
      </c>
      <c r="H258" s="380"/>
      <c r="I258" s="380"/>
      <c r="J258" s="380"/>
      <c r="K258" s="381"/>
    </row>
    <row r="259" spans="2:11" ht="16.5" thickBot="1">
      <c r="B259" s="326" t="s">
        <v>311</v>
      </c>
      <c r="C259" s="382" t="str">
        <f>INDEX(Cadastro_Limpeza[[#All],[Colunas4]],MATCH(ROW()-5,Cadastro_Limpeza[[#All],[Colunas2]],0))</f>
        <v xml:space="preserve">Desinfetante  </v>
      </c>
      <c r="D259" s="379">
        <f ca="1">G259+(ENTRADAS!AI259)-(BAIXAS!AI259)</f>
        <v>0</v>
      </c>
      <c r="E259" s="242"/>
      <c r="G259" s="242">
        <v>5</v>
      </c>
      <c r="H259" s="383"/>
      <c r="I259" s="383"/>
      <c r="J259" s="383"/>
      <c r="K259" s="384"/>
    </row>
    <row r="260" spans="2:11" ht="16.5" thickBot="1">
      <c r="B260" s="326" t="s">
        <v>311</v>
      </c>
      <c r="C260" s="378" t="str">
        <f>INDEX(Cadastro_Limpeza[[#All],[Colunas4]],MATCH(ROW()-5,Cadastro_Limpeza[[#All],[Colunas2]],0))</f>
        <v>Detergente super gel</v>
      </c>
      <c r="D260" s="379">
        <f ca="1">G260+(ENTRADAS!AI260)-(BAIXAS!AI260)</f>
        <v>0</v>
      </c>
      <c r="E260" s="241"/>
      <c r="G260" s="241">
        <v>20</v>
      </c>
      <c r="H260" s="380"/>
      <c r="I260" s="380"/>
      <c r="J260" s="380"/>
      <c r="K260" s="381"/>
    </row>
    <row r="261" spans="2:11" ht="16.5" thickBot="1">
      <c r="B261" s="326" t="s">
        <v>311</v>
      </c>
      <c r="C261" s="382" t="str">
        <f>INDEX(Cadastro_Limpeza[[#All],[Colunas4]],MATCH(ROW()-5,Cadastro_Limpeza[[#All],[Colunas2]],0))</f>
        <v xml:space="preserve">Detergente/Limpa Piso </v>
      </c>
      <c r="D261" s="379">
        <f ca="1">G261+(ENTRADAS!AI261)-(BAIXAS!AI261)</f>
        <v>0</v>
      </c>
      <c r="E261" s="242"/>
      <c r="G261" s="242">
        <v>0</v>
      </c>
      <c r="H261" s="383"/>
      <c r="I261" s="383"/>
      <c r="J261" s="383"/>
      <c r="K261" s="384"/>
    </row>
    <row r="262" spans="2:11" ht="16.5" thickBot="1">
      <c r="B262" s="326" t="s">
        <v>311</v>
      </c>
      <c r="C262" s="378" t="str">
        <f>INDEX(Cadastro_Limpeza[[#All],[Colunas4]],MATCH(ROW()-5,Cadastro_Limpeza[[#All],[Colunas2]],0))</f>
        <v xml:space="preserve">Detergente/Maq.Louça </v>
      </c>
      <c r="D262" s="379">
        <f ca="1">G262+(ENTRADAS!AI262)-(BAIXAS!AI262)</f>
        <v>0</v>
      </c>
      <c r="E262" s="241"/>
      <c r="G262" s="241">
        <v>0</v>
      </c>
      <c r="H262" s="380"/>
      <c r="I262" s="380"/>
      <c r="J262" s="380"/>
      <c r="K262" s="381"/>
    </row>
    <row r="263" spans="2:11" ht="16.5" thickBot="1">
      <c r="B263" s="326" t="s">
        <v>311</v>
      </c>
      <c r="C263" s="382" t="str">
        <f>INDEX(Cadastro_Limpeza[[#All],[Colunas4]],MATCH(ROW()-5,Cadastro_Limpeza[[#All],[Colunas2]],0))</f>
        <v xml:space="preserve">Detergente/Secante  </v>
      </c>
      <c r="D263" s="379">
        <f ca="1">G263+(ENTRADAS!AI263)-(BAIXAS!AI263)</f>
        <v>0</v>
      </c>
      <c r="E263" s="242"/>
      <c r="G263" s="242">
        <v>0</v>
      </c>
      <c r="H263" s="383"/>
      <c r="I263" s="383"/>
      <c r="J263" s="383"/>
      <c r="K263" s="384"/>
    </row>
    <row r="264" spans="2:11" ht="16.5" thickBot="1">
      <c r="B264" s="326" t="s">
        <v>311</v>
      </c>
      <c r="C264" s="378" t="str">
        <f>INDEX(Cadastro_Limpeza[[#All],[Colunas4]],MATCH(ROW()-5,Cadastro_Limpeza[[#All],[Colunas2]],0))</f>
        <v>Dispenser p/ papel toalha</v>
      </c>
      <c r="D264" s="379">
        <f ca="1">G264+(ENTRADAS!AI264)-(BAIXAS!AI264)</f>
        <v>0</v>
      </c>
      <c r="E264" s="241"/>
      <c r="G264" s="241">
        <v>0</v>
      </c>
      <c r="H264" s="380"/>
      <c r="I264" s="380"/>
      <c r="J264" s="380"/>
      <c r="K264" s="381"/>
    </row>
    <row r="265" spans="2:11" ht="16.5" thickBot="1">
      <c r="B265" s="326" t="s">
        <v>311</v>
      </c>
      <c r="C265" s="382" t="str">
        <f>INDEX(Cadastro_Limpeza[[#All],[Colunas4]],MATCH(ROW()-5,Cadastro_Limpeza[[#All],[Colunas2]],0))</f>
        <v xml:space="preserve">Eliminador de Odores </v>
      </c>
      <c r="D265" s="379">
        <f ca="1">G265+(ENTRADAS!AI265)-(BAIXAS!AI265)</f>
        <v>0</v>
      </c>
      <c r="E265" s="242"/>
      <c r="G265" s="242">
        <v>0</v>
      </c>
      <c r="H265" s="383"/>
      <c r="I265" s="383"/>
      <c r="J265" s="383"/>
      <c r="K265" s="384"/>
    </row>
    <row r="266" spans="2:11" ht="16.5" thickBot="1">
      <c r="B266" s="326" t="s">
        <v>311</v>
      </c>
      <c r="C266" s="378" t="str">
        <f>INDEX(Cadastro_Limpeza[[#All],[Colunas4]],MATCH(ROW()-5,Cadastro_Limpeza[[#All],[Colunas2]],0))</f>
        <v>Escova p/ Lavar Roupa</v>
      </c>
      <c r="D266" s="379">
        <f ca="1">G266+(ENTRADAS!AI266)-(BAIXAS!AI266)</f>
        <v>0</v>
      </c>
      <c r="E266" s="241"/>
      <c r="G266" s="241">
        <v>0</v>
      </c>
      <c r="H266" s="380"/>
      <c r="I266" s="380"/>
      <c r="J266" s="380"/>
      <c r="K266" s="381"/>
    </row>
    <row r="267" spans="2:11" ht="16.5" thickBot="1">
      <c r="B267" s="326" t="s">
        <v>311</v>
      </c>
      <c r="C267" s="382" t="str">
        <f>INDEX(Cadastro_Limpeza[[#All],[Colunas4]],MATCH(ROW()-5,Cadastro_Limpeza[[#All],[Colunas2]],0))</f>
        <v>Escova Sanitária</v>
      </c>
      <c r="D267" s="379">
        <f ca="1">G267+(ENTRADAS!AI267)-(BAIXAS!AI267)</f>
        <v>5</v>
      </c>
      <c r="E267" s="242"/>
      <c r="G267" s="242">
        <v>6</v>
      </c>
      <c r="H267" s="383"/>
      <c r="I267" s="383"/>
      <c r="J267" s="383"/>
      <c r="K267" s="384"/>
    </row>
    <row r="268" spans="2:11" ht="16.5" thickBot="1">
      <c r="B268" s="326" t="s">
        <v>311</v>
      </c>
      <c r="C268" s="378" t="str">
        <f>INDEX(Cadastro_Limpeza[[#All],[Colunas4]],MATCH(ROW()-5,Cadastro_Limpeza[[#All],[Colunas2]],0))</f>
        <v>Espeto de Madeira</v>
      </c>
      <c r="D268" s="379">
        <f ca="1">G268+(ENTRADAS!AI268)-(BAIXAS!AI268)</f>
        <v>0</v>
      </c>
      <c r="E268" s="241"/>
      <c r="G268" s="241">
        <v>0</v>
      </c>
      <c r="H268" s="380"/>
      <c r="I268" s="380"/>
      <c r="J268" s="380"/>
      <c r="K268" s="381"/>
    </row>
    <row r="269" spans="2:11" ht="16.5" thickBot="1">
      <c r="B269" s="326" t="s">
        <v>311</v>
      </c>
      <c r="C269" s="382" t="str">
        <f>INDEX(Cadastro_Limpeza[[#All],[Colunas4]],MATCH(ROW()-5,Cadastro_Limpeza[[#All],[Colunas2]],0))</f>
        <v>Esponja Dupla Face</v>
      </c>
      <c r="D269" s="379">
        <f ca="1">G269+(ENTRADAS!AI269)-(BAIXAS!AI269)</f>
        <v>10</v>
      </c>
      <c r="E269" s="242"/>
      <c r="G269" s="242">
        <v>0</v>
      </c>
      <c r="H269" s="383"/>
      <c r="I269" s="383"/>
      <c r="J269" s="383"/>
      <c r="K269" s="384"/>
    </row>
    <row r="270" spans="2:11" ht="16.5" thickBot="1">
      <c r="B270" s="326" t="s">
        <v>311</v>
      </c>
      <c r="C270" s="378" t="str">
        <f>INDEX(Cadastro_Limpeza[[#All],[Colunas4]],MATCH(ROW()-5,Cadastro_Limpeza[[#All],[Colunas2]],0))</f>
        <v>Esponja Verde ( Fibra)</v>
      </c>
      <c r="D270" s="379">
        <f ca="1">G270+(ENTRADAS!AI270)-(BAIXAS!AI270)</f>
        <v>9</v>
      </c>
      <c r="E270" s="241"/>
      <c r="G270" s="241">
        <v>0</v>
      </c>
      <c r="H270" s="380"/>
      <c r="I270" s="380"/>
      <c r="J270" s="380"/>
      <c r="K270" s="381"/>
    </row>
    <row r="271" spans="2:11" ht="16.5" thickBot="1">
      <c r="B271" s="326" t="s">
        <v>311</v>
      </c>
      <c r="C271" s="382" t="str">
        <f>INDEX(Cadastro_Limpeza[[#All],[Colunas4]],MATCH(ROW()-5,Cadastro_Limpeza[[#All],[Colunas2]],0))</f>
        <v>Filme PVC 300MTS</v>
      </c>
      <c r="D271" s="379">
        <f ca="1">G271+(ENTRADAS!AI271)-(BAIXAS!AI271)</f>
        <v>4</v>
      </c>
      <c r="E271" s="242"/>
      <c r="G271" s="242">
        <v>0</v>
      </c>
      <c r="H271" s="383"/>
      <c r="I271" s="383"/>
      <c r="J271" s="383"/>
      <c r="K271" s="384"/>
    </row>
    <row r="272" spans="2:11" ht="16.5" thickBot="1">
      <c r="B272" s="326" t="s">
        <v>311</v>
      </c>
      <c r="C272" s="378" t="str">
        <f>INDEX(Cadastro_Limpeza[[#All],[Colunas4]],MATCH(ROW()-5,Cadastro_Limpeza[[#All],[Colunas2]],0))</f>
        <v>Fósforo</v>
      </c>
      <c r="D272" s="379">
        <f ca="1">G272+(ENTRADAS!AI272)-(BAIXAS!AI272)</f>
        <v>6</v>
      </c>
      <c r="E272" s="241"/>
      <c r="G272" s="241">
        <v>7</v>
      </c>
      <c r="H272" s="380"/>
      <c r="I272" s="380"/>
      <c r="J272" s="380"/>
      <c r="K272" s="381"/>
    </row>
    <row r="273" spans="2:11" ht="16.5" thickBot="1">
      <c r="B273" s="326" t="s">
        <v>311</v>
      </c>
      <c r="C273" s="382" t="str">
        <f>INDEX(Cadastro_Limpeza[[#All],[Colunas4]],MATCH(ROW()-5,Cadastro_Limpeza[[#All],[Colunas2]],0))</f>
        <v>Guardanapo cx c/80 uni</v>
      </c>
      <c r="D273" s="379">
        <f ca="1">G273+(ENTRADAS!AI273)-(BAIXAS!AI273)</f>
        <v>2</v>
      </c>
      <c r="E273" s="242"/>
      <c r="G273" s="242">
        <v>0</v>
      </c>
      <c r="H273" s="383"/>
      <c r="I273" s="383"/>
      <c r="J273" s="383"/>
      <c r="K273" s="384"/>
    </row>
    <row r="274" spans="2:11" ht="16.5" thickBot="1">
      <c r="B274" s="326" t="s">
        <v>311</v>
      </c>
      <c r="C274" s="378" t="str">
        <f>INDEX(Cadastro_Limpeza[[#All],[Colunas4]],MATCH(ROW()-5,Cadastro_Limpeza[[#All],[Colunas2]],0))</f>
        <v xml:space="preserve">Hipoclorito  </v>
      </c>
      <c r="D274" s="379">
        <f ca="1">G274+(ENTRADAS!AI274)-(BAIXAS!AI274)</f>
        <v>1</v>
      </c>
      <c r="E274" s="241"/>
      <c r="G274" s="241">
        <v>2</v>
      </c>
      <c r="H274" s="380"/>
      <c r="I274" s="380"/>
      <c r="J274" s="380"/>
      <c r="K274" s="381"/>
    </row>
    <row r="275" spans="2:11" ht="16.5" thickBot="1">
      <c r="B275" s="326" t="s">
        <v>311</v>
      </c>
      <c r="C275" s="382" t="str">
        <f>INDEX(Cadastro_Limpeza[[#All],[Colunas4]],MATCH(ROW()-5,Cadastro_Limpeza[[#All],[Colunas2]],0))</f>
        <v>Limpa Alumínio  p/cozinha</v>
      </c>
      <c r="D275" s="379">
        <f ca="1">G275+(ENTRADAS!AI275)-(BAIXAS!AI275)</f>
        <v>5</v>
      </c>
      <c r="E275" s="242"/>
      <c r="G275" s="242">
        <v>0</v>
      </c>
      <c r="H275" s="383"/>
      <c r="I275" s="383"/>
      <c r="J275" s="383"/>
      <c r="K275" s="384"/>
    </row>
    <row r="276" spans="2:11" ht="16.5" thickBot="1">
      <c r="B276" s="326" t="s">
        <v>311</v>
      </c>
      <c r="C276" s="378" t="str">
        <f>INDEX(Cadastro_Limpeza[[#All],[Colunas4]],MATCH(ROW()-5,Cadastro_Limpeza[[#All],[Colunas2]],0))</f>
        <v xml:space="preserve">Limpa Pedras  </v>
      </c>
      <c r="D276" s="379">
        <f ca="1">G276+(ENTRADAS!AI276)-(BAIXAS!AI276)</f>
        <v>70</v>
      </c>
      <c r="E276" s="241"/>
      <c r="G276" s="241">
        <v>85</v>
      </c>
      <c r="H276" s="380"/>
      <c r="I276" s="380"/>
      <c r="J276" s="380"/>
      <c r="K276" s="381"/>
    </row>
    <row r="277" spans="2:11" ht="16.5" thickBot="1">
      <c r="B277" s="326" t="s">
        <v>311</v>
      </c>
      <c r="C277" s="382" t="str">
        <f>INDEX(Cadastro_Limpeza[[#All],[Colunas4]],MATCH(ROW()-5,Cadastro_Limpeza[[#All],[Colunas2]],0))</f>
        <v xml:space="preserve">Limpa Vidros </v>
      </c>
      <c r="D277" s="379">
        <f ca="1">G277+(ENTRADAS!AI277)-(BAIXAS!AI277)</f>
        <v>0</v>
      </c>
      <c r="E277" s="242"/>
      <c r="G277" s="242">
        <v>0</v>
      </c>
      <c r="H277" s="383"/>
      <c r="I277" s="383"/>
      <c r="J277" s="383"/>
      <c r="K277" s="384"/>
    </row>
    <row r="278" spans="2:11" ht="16.5" thickBot="1">
      <c r="B278" s="326" t="s">
        <v>311</v>
      </c>
      <c r="C278" s="378" t="str">
        <f>INDEX(Cadastro_Limpeza[[#All],[Colunas4]],MATCH(ROW()-5,Cadastro_Limpeza[[#All],[Colunas2]],0))</f>
        <v>Lustra Móveis 500ML</v>
      </c>
      <c r="D278" s="379">
        <f ca="1">G278+(ENTRADAS!AI278)-(BAIXAS!AI278)</f>
        <v>7</v>
      </c>
      <c r="E278" s="241"/>
      <c r="G278" s="241">
        <v>0</v>
      </c>
      <c r="H278" s="380"/>
      <c r="I278" s="380"/>
      <c r="J278" s="380"/>
      <c r="K278" s="381"/>
    </row>
    <row r="279" spans="2:11" ht="16.5" thickBot="1">
      <c r="B279" s="326" t="s">
        <v>311</v>
      </c>
      <c r="C279" s="382" t="str">
        <f>INDEX(Cadastro_Limpeza[[#All],[Colunas4]],MATCH(ROW()-5,Cadastro_Limpeza[[#All],[Colunas2]],0))</f>
        <v>Luva Latex cx c/ 100</v>
      </c>
      <c r="D279" s="379">
        <f ca="1">G279+(ENTRADAS!AI279)-(BAIXAS!AI279)</f>
        <v>-1</v>
      </c>
      <c r="E279" s="242"/>
      <c r="G279" s="242">
        <v>5</v>
      </c>
      <c r="H279" s="383"/>
      <c r="I279" s="383"/>
      <c r="J279" s="383"/>
      <c r="K279" s="384"/>
    </row>
    <row r="280" spans="2:11" ht="16.5" thickBot="1">
      <c r="B280" s="326" t="s">
        <v>311</v>
      </c>
      <c r="C280" s="378" t="str">
        <f>INDEX(Cadastro_Limpeza[[#All],[Colunas4]],MATCH(ROW()-5,Cadastro_Limpeza[[#All],[Colunas2]],0))</f>
        <v>Luva Limpeza</v>
      </c>
      <c r="D280" s="379">
        <f ca="1">G280+(ENTRADAS!AI280)-(BAIXAS!AI280)</f>
        <v>6</v>
      </c>
      <c r="E280" s="241"/>
      <c r="G280" s="241">
        <v>0</v>
      </c>
      <c r="H280" s="380"/>
      <c r="I280" s="380"/>
      <c r="J280" s="380"/>
      <c r="K280" s="381"/>
    </row>
    <row r="281" spans="2:11" ht="16.5" thickBot="1">
      <c r="B281" s="326" t="s">
        <v>311</v>
      </c>
      <c r="C281" s="382" t="str">
        <f>INDEX(Cadastro_Limpeza[[#All],[Colunas4]],MATCH(ROW()-5,Cadastro_Limpeza[[#All],[Colunas2]],0))</f>
        <v>Mascara de Proteção</v>
      </c>
      <c r="D281" s="379">
        <f ca="1">G281+(ENTRADAS!AI281)-(BAIXAS!AI281)</f>
        <v>0</v>
      </c>
      <c r="E281" s="242"/>
      <c r="G281" s="242">
        <v>0</v>
      </c>
      <c r="H281" s="383"/>
      <c r="I281" s="383"/>
      <c r="J281" s="383"/>
      <c r="K281" s="384"/>
    </row>
    <row r="282" spans="2:11" ht="16.5" thickBot="1">
      <c r="B282" s="326" t="s">
        <v>311</v>
      </c>
      <c r="C282" s="378" t="str">
        <f>INDEX(Cadastro_Limpeza[[#All],[Colunas4]],MATCH(ROW()-5,Cadastro_Limpeza[[#All],[Colunas2]],0))</f>
        <v>Pá de lixo</v>
      </c>
      <c r="D282" s="379">
        <f ca="1">G282+(ENTRADAS!AI282)-(BAIXAS!AI282)</f>
        <v>5</v>
      </c>
      <c r="E282" s="241"/>
      <c r="G282" s="241">
        <v>8</v>
      </c>
      <c r="H282" s="380"/>
      <c r="I282" s="380"/>
      <c r="J282" s="380"/>
      <c r="K282" s="381"/>
    </row>
    <row r="283" spans="2:11" ht="16.5" thickBot="1">
      <c r="B283" s="326" t="s">
        <v>311</v>
      </c>
      <c r="C283" s="382" t="str">
        <f>INDEX(Cadastro_Limpeza[[#All],[Colunas4]],MATCH(ROW()-5,Cadastro_Limpeza[[#All],[Colunas2]],0))</f>
        <v>Palheta(colher descartavel)</v>
      </c>
      <c r="D283" s="379">
        <f ca="1">G283+(ENTRADAS!AI283)-(BAIXAS!AI283)</f>
        <v>0</v>
      </c>
      <c r="E283" s="242"/>
      <c r="G283" s="242">
        <v>0</v>
      </c>
      <c r="H283" s="383"/>
      <c r="I283" s="383"/>
      <c r="J283" s="383"/>
      <c r="K283" s="384"/>
    </row>
    <row r="284" spans="2:11" ht="16.5" thickBot="1">
      <c r="B284" s="326" t="s">
        <v>311</v>
      </c>
      <c r="C284" s="378" t="str">
        <f>INDEX(Cadastro_Limpeza[[#All],[Colunas4]],MATCH(ROW()-5,Cadastro_Limpeza[[#All],[Colunas2]],0))</f>
        <v>Palito de dente cx 5000</v>
      </c>
      <c r="D284" s="379">
        <f ca="1">G284+(ENTRADAS!AI284)-(BAIXAS!AI284)</f>
        <v>0</v>
      </c>
      <c r="E284" s="241"/>
      <c r="G284" s="241">
        <v>0</v>
      </c>
      <c r="H284" s="380"/>
      <c r="I284" s="380"/>
      <c r="J284" s="380"/>
      <c r="K284" s="381"/>
    </row>
    <row r="285" spans="2:11" ht="16.5" thickBot="1">
      <c r="B285" s="326" t="s">
        <v>311</v>
      </c>
      <c r="C285" s="382" t="str">
        <f>INDEX(Cadastro_Limpeza[[#All],[Colunas4]],MATCH(ROW()-5,Cadastro_Limpeza[[#All],[Colunas2]],0))</f>
        <v>Palito de dente sachê</v>
      </c>
      <c r="D285" s="379">
        <f ca="1">G285+(ENTRADAS!AI285)-(BAIXAS!AI285)</f>
        <v>0</v>
      </c>
      <c r="E285" s="242"/>
      <c r="G285" s="242">
        <v>0</v>
      </c>
      <c r="H285" s="383"/>
      <c r="I285" s="383"/>
      <c r="J285" s="383"/>
      <c r="K285" s="384"/>
    </row>
    <row r="286" spans="2:11" ht="16.5" thickBot="1">
      <c r="B286" s="326" t="s">
        <v>311</v>
      </c>
      <c r="C286" s="378" t="str">
        <f>INDEX(Cadastro_Limpeza[[#All],[Colunas4]],MATCH(ROW()-5,Cadastro_Limpeza[[#All],[Colunas2]],0))</f>
        <v>Pano de chão</v>
      </c>
      <c r="D286" s="379">
        <f ca="1">G286+(ENTRADAS!AI286)-(BAIXAS!AI286)</f>
        <v>0</v>
      </c>
      <c r="E286" s="241"/>
      <c r="G286" s="241">
        <v>0</v>
      </c>
      <c r="H286" s="380"/>
      <c r="I286" s="380"/>
      <c r="J286" s="380"/>
      <c r="K286" s="381"/>
    </row>
    <row r="287" spans="2:11" ht="16.5" thickBot="1">
      <c r="B287" s="326" t="s">
        <v>311</v>
      </c>
      <c r="C287" s="382" t="str">
        <f>INDEX(Cadastro_Limpeza[[#All],[Colunas4]],MATCH(ROW()-5,Cadastro_Limpeza[[#All],[Colunas2]],0))</f>
        <v>Papel alumínio</v>
      </c>
      <c r="D287" s="379">
        <f ca="1">G287+(ENTRADAS!AI287)-(BAIXAS!AI287)</f>
        <v>-1</v>
      </c>
      <c r="E287" s="242"/>
      <c r="G287" s="242">
        <v>0</v>
      </c>
      <c r="H287" s="383"/>
      <c r="I287" s="383"/>
      <c r="J287" s="383"/>
      <c r="K287" s="384"/>
    </row>
    <row r="288" spans="2:11" ht="16.5" thickBot="1">
      <c r="B288" s="326" t="s">
        <v>311</v>
      </c>
      <c r="C288" s="378" t="str">
        <f>INDEX(Cadastro_Limpeza[[#All],[Colunas4]],MATCH(ROW()-5,Cadastro_Limpeza[[#All],[Colunas2]],0))</f>
        <v>Papel Higiênico</v>
      </c>
      <c r="D288" s="379">
        <f ca="1">G288+(ENTRADAS!AI288)-(BAIXAS!AI288)</f>
        <v>1</v>
      </c>
      <c r="E288" s="241"/>
      <c r="G288" s="241">
        <v>4</v>
      </c>
      <c r="H288" s="380"/>
      <c r="I288" s="380"/>
      <c r="J288" s="380"/>
      <c r="K288" s="381"/>
    </row>
    <row r="289" spans="2:11" ht="16.5" thickBot="1">
      <c r="B289" s="326" t="s">
        <v>311</v>
      </c>
      <c r="C289" s="382" t="str">
        <f>INDEX(Cadastro_Limpeza[[#All],[Colunas4]],MATCH(ROW()-5,Cadastro_Limpeza[[#All],[Colunas2]],0))</f>
        <v xml:space="preserve">Papel Interfolha </v>
      </c>
      <c r="D289" s="379">
        <f ca="1">G289+(ENTRADAS!AI289)-(BAIXAS!AI289)</f>
        <v>2</v>
      </c>
      <c r="E289" s="242"/>
      <c r="G289" s="242">
        <v>0</v>
      </c>
      <c r="H289" s="383"/>
      <c r="I289" s="383"/>
      <c r="J289" s="383"/>
      <c r="K289" s="384"/>
    </row>
    <row r="290" spans="2:11" ht="16.5" thickBot="1">
      <c r="B290" s="326" t="s">
        <v>311</v>
      </c>
      <c r="C290" s="378" t="str">
        <f>INDEX(Cadastro_Limpeza[[#All],[Colunas4]],MATCH(ROW()-5,Cadastro_Limpeza[[#All],[Colunas2]],0))</f>
        <v>Papel Toalha bobinha (Lavabo)</v>
      </c>
      <c r="D290" s="379">
        <f ca="1">G290+(ENTRADAS!AI290)-(BAIXAS!AI290)</f>
        <v>2</v>
      </c>
      <c r="E290" s="241"/>
      <c r="G290" s="241">
        <v>0</v>
      </c>
      <c r="H290" s="380"/>
      <c r="I290" s="380"/>
      <c r="J290" s="380"/>
      <c r="K290" s="381"/>
    </row>
    <row r="291" spans="2:11" ht="16.5" thickBot="1">
      <c r="B291" s="326" t="s">
        <v>311</v>
      </c>
      <c r="C291" s="382" t="str">
        <f>INDEX(Cadastro_Limpeza[[#All],[Colunas4]],MATCH(ROW()-5,Cadastro_Limpeza[[#All],[Colunas2]],0))</f>
        <v>Perfex</v>
      </c>
      <c r="D291" s="379">
        <f ca="1">G291+(ENTRADAS!AI291)-(BAIXAS!AI291)</f>
        <v>2</v>
      </c>
      <c r="E291" s="242"/>
      <c r="G291" s="242">
        <v>1</v>
      </c>
      <c r="H291" s="383"/>
      <c r="I291" s="383"/>
      <c r="J291" s="383"/>
      <c r="K291" s="384"/>
    </row>
    <row r="292" spans="2:11" ht="16.5" thickBot="1">
      <c r="B292" s="326" t="s">
        <v>311</v>
      </c>
      <c r="C292" s="378" t="str">
        <f>INDEX(Cadastro_Limpeza[[#All],[Colunas4]],MATCH(ROW()-5,Cadastro_Limpeza[[#All],[Colunas2]],0))</f>
        <v>Pulverizador</v>
      </c>
      <c r="D292" s="379">
        <f ca="1">G292+(ENTRADAS!AI292)-(BAIXAS!AI292)</f>
        <v>5</v>
      </c>
      <c r="E292" s="241"/>
      <c r="G292" s="241">
        <v>0</v>
      </c>
      <c r="H292" s="380"/>
      <c r="I292" s="380"/>
      <c r="J292" s="380"/>
      <c r="K292" s="381"/>
    </row>
    <row r="293" spans="2:11" ht="16.5" thickBot="1">
      <c r="B293" s="326" t="s">
        <v>311</v>
      </c>
      <c r="C293" s="382" t="str">
        <f>INDEX(Cadastro_Limpeza[[#All],[Colunas4]],MATCH(ROW()-5,Cadastro_Limpeza[[#All],[Colunas2]],0))</f>
        <v>Removedor</v>
      </c>
      <c r="D293" s="379">
        <f ca="1">G293+(ENTRADAS!AI293)-(BAIXAS!AI293)</f>
        <v>0</v>
      </c>
      <c r="E293" s="242"/>
      <c r="G293" s="242">
        <v>0</v>
      </c>
      <c r="H293" s="383"/>
      <c r="I293" s="383"/>
      <c r="J293" s="383"/>
      <c r="K293" s="384"/>
    </row>
    <row r="294" spans="2:11" ht="16.5" thickBot="1">
      <c r="B294" s="326" t="s">
        <v>311</v>
      </c>
      <c r="C294" s="378" t="str">
        <f>INDEX(Cadastro_Limpeza[[#All],[Colunas4]],MATCH(ROW()-5,Cadastro_Limpeza[[#All],[Colunas2]],0))</f>
        <v>Rodo Grande</v>
      </c>
      <c r="D294" s="379">
        <f ca="1">G294+(ENTRADAS!AI294)-(BAIXAS!AI294)</f>
        <v>1</v>
      </c>
      <c r="E294" s="241"/>
      <c r="G294" s="241">
        <v>0</v>
      </c>
      <c r="H294" s="380"/>
      <c r="I294" s="380"/>
      <c r="J294" s="380"/>
      <c r="K294" s="381"/>
    </row>
    <row r="295" spans="2:11" ht="16.5" thickBot="1">
      <c r="B295" s="326" t="s">
        <v>311</v>
      </c>
      <c r="C295" s="382" t="str">
        <f>INDEX(Cadastro_Limpeza[[#All],[Colunas4]],MATCH(ROW()-5,Cadastro_Limpeza[[#All],[Colunas2]],0))</f>
        <v>Rodo Limpa Vidros</v>
      </c>
      <c r="D295" s="379">
        <f ca="1">G295+(ENTRADAS!AI295)-(BAIXAS!AI295)</f>
        <v>0</v>
      </c>
      <c r="E295" s="242"/>
      <c r="G295" s="242">
        <v>0</v>
      </c>
      <c r="H295" s="383"/>
      <c r="I295" s="383"/>
      <c r="J295" s="383"/>
      <c r="K295" s="384"/>
    </row>
    <row r="296" spans="2:11" ht="16.5" thickBot="1">
      <c r="B296" s="326" t="s">
        <v>311</v>
      </c>
      <c r="C296" s="378" t="str">
        <f>INDEX(Cadastro_Limpeza[[#All],[Colunas4]],MATCH(ROW()-5,Cadastro_Limpeza[[#All],[Colunas2]],0))</f>
        <v>Rodo Pequeno</v>
      </c>
      <c r="D296" s="379">
        <f ca="1">G296+(ENTRADAS!AI296)-(BAIXAS!AI296)</f>
        <v>0</v>
      </c>
      <c r="E296" s="241"/>
      <c r="G296" s="241">
        <v>1</v>
      </c>
      <c r="H296" s="380"/>
      <c r="I296" s="380"/>
      <c r="J296" s="380"/>
      <c r="K296" s="381"/>
    </row>
    <row r="297" spans="2:11" ht="16.5" thickBot="1">
      <c r="B297" s="326" t="s">
        <v>311</v>
      </c>
      <c r="C297" s="382" t="str">
        <f>INDEX(Cadastro_Limpeza[[#All],[Colunas4]],MATCH(ROW()-5,Cadastro_Limpeza[[#All],[Colunas2]],0))</f>
        <v>Sabão em pedra</v>
      </c>
      <c r="D297" s="379">
        <f ca="1">G297+(ENTRADAS!AI297)-(BAIXAS!AI297)</f>
        <v>1</v>
      </c>
      <c r="E297" s="242"/>
      <c r="G297" s="242">
        <v>0</v>
      </c>
      <c r="H297" s="383"/>
      <c r="I297" s="383"/>
      <c r="J297" s="383"/>
      <c r="K297" s="384"/>
    </row>
    <row r="298" spans="2:11" ht="16.5" thickBot="1">
      <c r="B298" s="326" t="s">
        <v>311</v>
      </c>
      <c r="C298" s="378" t="str">
        <f>INDEX(Cadastro_Limpeza[[#All],[Colunas4]],MATCH(ROW()-5,Cadastro_Limpeza[[#All],[Colunas2]],0))</f>
        <v>Sabão em pó 5kg</v>
      </c>
      <c r="D298" s="379">
        <f ca="1">G298+(ENTRADAS!AI298)-(BAIXAS!AI298)</f>
        <v>25</v>
      </c>
      <c r="E298" s="241"/>
      <c r="G298" s="241">
        <v>0</v>
      </c>
      <c r="H298" s="380"/>
      <c r="I298" s="380"/>
      <c r="J298" s="380"/>
      <c r="K298" s="381"/>
    </row>
    <row r="299" spans="2:11" ht="16.5" thickBot="1">
      <c r="B299" s="326" t="s">
        <v>311</v>
      </c>
      <c r="C299" s="382" t="str">
        <f>INDEX(Cadastro_Limpeza[[#All],[Colunas4]],MATCH(ROW()-5,Cadastro_Limpeza[[#All],[Colunas2]],0))</f>
        <v xml:space="preserve">Sabonete </v>
      </c>
      <c r="D299" s="379">
        <f ca="1">G299+(ENTRADAS!AI299)-(BAIXAS!AI299)</f>
        <v>10</v>
      </c>
      <c r="E299" s="242"/>
      <c r="G299" s="242">
        <v>15</v>
      </c>
      <c r="H299" s="383"/>
      <c r="I299" s="383"/>
      <c r="J299" s="383"/>
      <c r="K299" s="384"/>
    </row>
    <row r="300" spans="2:11" ht="16.5" thickBot="1">
      <c r="B300" s="326" t="s">
        <v>311</v>
      </c>
      <c r="C300" s="378" t="str">
        <f>INDEX(Cadastro_Limpeza[[#All],[Colunas4]],MATCH(ROW()-5,Cadastro_Limpeza[[#All],[Colunas2]],0))</f>
        <v>Saco 20x30 Tolha rosto</v>
      </c>
      <c r="D300" s="379">
        <f ca="1">G300+(ENTRADAS!AI300)-(BAIXAS!AI300)</f>
        <v>0</v>
      </c>
      <c r="E300" s="241"/>
      <c r="G300" s="241">
        <v>1</v>
      </c>
      <c r="H300" s="380"/>
      <c r="I300" s="380"/>
      <c r="J300" s="380"/>
      <c r="K300" s="381"/>
    </row>
    <row r="301" spans="2:11" ht="16.5" thickBot="1">
      <c r="B301" s="326" t="s">
        <v>311</v>
      </c>
      <c r="C301" s="382" t="str">
        <f>INDEX(Cadastro_Limpeza[[#All],[Colunas4]],MATCH(ROW()-5,Cadastro_Limpeza[[#All],[Colunas2]],0))</f>
        <v>Saco 60x80 cobertor</v>
      </c>
      <c r="D301" s="379">
        <f ca="1">G301+(ENTRADAS!AI301)-(BAIXAS!AI301)</f>
        <v>0</v>
      </c>
      <c r="E301" s="242"/>
      <c r="G301" s="242">
        <v>0</v>
      </c>
      <c r="H301" s="383"/>
      <c r="I301" s="383"/>
      <c r="J301" s="383"/>
      <c r="K301" s="384"/>
    </row>
    <row r="302" spans="2:11" ht="16.5" thickBot="1">
      <c r="B302" s="326" t="s">
        <v>311</v>
      </c>
      <c r="C302" s="378" t="str">
        <f>INDEX(Cadastro_Limpeza[[#All],[Colunas4]],MATCH(ROW()-5,Cadastro_Limpeza[[#All],[Colunas2]],0))</f>
        <v>Saco de lixo 15 lt</v>
      </c>
      <c r="D302" s="379">
        <f ca="1">G302+(ENTRADAS!AI302)-(BAIXAS!AI302)</f>
        <v>2</v>
      </c>
      <c r="E302" s="241"/>
      <c r="G302" s="241">
        <v>0</v>
      </c>
      <c r="H302" s="380"/>
      <c r="I302" s="380"/>
      <c r="J302" s="380"/>
      <c r="K302" s="381"/>
    </row>
    <row r="303" spans="2:11" ht="16.5" thickBot="1">
      <c r="B303" s="326" t="s">
        <v>311</v>
      </c>
      <c r="C303" s="382" t="str">
        <f>INDEX(Cadastro_Limpeza[[#All],[Colunas4]],MATCH(ROW()-5,Cadastro_Limpeza[[#All],[Colunas2]],0))</f>
        <v xml:space="preserve">Saco lixo 100 Lt. </v>
      </c>
      <c r="D303" s="379">
        <f ca="1">G303+(ENTRADAS!AI303)-(BAIXAS!AI303)</f>
        <v>3</v>
      </c>
      <c r="E303" s="242"/>
      <c r="G303" s="242">
        <v>0</v>
      </c>
      <c r="H303" s="383"/>
      <c r="I303" s="383"/>
      <c r="J303" s="383"/>
      <c r="K303" s="384"/>
    </row>
    <row r="304" spans="2:11" ht="16.5" thickBot="1">
      <c r="B304" s="326" t="s">
        <v>311</v>
      </c>
      <c r="C304" s="378" t="str">
        <f>INDEX(Cadastro_Limpeza[[#All],[Colunas4]],MATCH(ROW()-5,Cadastro_Limpeza[[#All],[Colunas2]],0))</f>
        <v>Saco lixo 200 lt</v>
      </c>
      <c r="D304" s="379">
        <f ca="1">G304+(ENTRADAS!AI304)-(BAIXAS!AI304)</f>
        <v>2</v>
      </c>
      <c r="E304" s="241"/>
      <c r="G304" s="241">
        <v>0</v>
      </c>
      <c r="H304" s="380"/>
      <c r="I304" s="380"/>
      <c r="J304" s="380"/>
      <c r="K304" s="381"/>
    </row>
    <row r="305" spans="2:14" ht="16.5" thickBot="1">
      <c r="B305" s="326" t="s">
        <v>311</v>
      </c>
      <c r="C305" s="382" t="str">
        <f>INDEX(Cadastro_Limpeza[[#All],[Colunas4]],MATCH(ROW()-5,Cadastro_Limpeza[[#All],[Colunas2]],0))</f>
        <v>Saco lixo 50 Lt</v>
      </c>
      <c r="D305" s="379">
        <f ca="1">G305+(ENTRADAS!AI305)-(BAIXAS!AI305)</f>
        <v>6</v>
      </c>
      <c r="E305" s="242"/>
      <c r="G305" s="242">
        <v>0</v>
      </c>
      <c r="H305" s="383"/>
      <c r="I305" s="383"/>
      <c r="J305" s="383"/>
      <c r="K305" s="384"/>
    </row>
    <row r="306" spans="2:14" ht="16.5" thickBot="1">
      <c r="B306" s="326" t="s">
        <v>311</v>
      </c>
      <c r="C306" s="378" t="str">
        <f>INDEX(Cadastro_Limpeza[[#All],[Colunas4]],MATCH(ROW()-5,Cadastro_Limpeza[[#All],[Colunas2]],0))</f>
        <v>Saco p/ embalar  30x40</v>
      </c>
      <c r="D306" s="379">
        <f ca="1">G306+(ENTRADAS!AI306)-(BAIXAS!AI306)</f>
        <v>0</v>
      </c>
      <c r="E306" s="241"/>
      <c r="G306" s="241">
        <v>3</v>
      </c>
      <c r="H306" s="380"/>
      <c r="I306" s="380"/>
      <c r="J306" s="380"/>
      <c r="K306" s="381"/>
    </row>
    <row r="307" spans="2:14" ht="16.5" thickBot="1">
      <c r="B307" s="326" t="s">
        <v>311</v>
      </c>
      <c r="C307" s="382" t="str">
        <f>INDEX(Cadastro_Limpeza[[#All],[Colunas4]],MATCH(ROW()-5,Cadastro_Limpeza[[#All],[Colunas2]],0))</f>
        <v>Saco p/ embalar  40x60</v>
      </c>
      <c r="D307" s="379">
        <f ca="1">G307+(ENTRADAS!AI307)-(BAIXAS!AI307)</f>
        <v>0</v>
      </c>
      <c r="E307" s="242"/>
      <c r="G307" s="242">
        <v>1</v>
      </c>
      <c r="H307" s="383"/>
      <c r="I307" s="383"/>
      <c r="J307" s="383"/>
      <c r="K307" s="384"/>
    </row>
    <row r="308" spans="2:14" ht="16.5" thickBot="1">
      <c r="B308" s="326" t="s">
        <v>311</v>
      </c>
      <c r="C308" s="378" t="str">
        <f>INDEX(Cadastro_Limpeza[[#All],[Colunas4]],MATCH(ROW()-5,Cadastro_Limpeza[[#All],[Colunas2]],0))</f>
        <v>Sapólio 300g</v>
      </c>
      <c r="D308" s="379">
        <f ca="1">G308+(ENTRADAS!AI308)-(BAIXAS!AI308)</f>
        <v>0</v>
      </c>
      <c r="E308" s="241"/>
      <c r="G308" s="241">
        <v>1</v>
      </c>
      <c r="H308" s="380"/>
      <c r="I308" s="380"/>
      <c r="J308" s="380"/>
      <c r="K308" s="381"/>
    </row>
    <row r="309" spans="2:14" ht="16.5" thickBot="1">
      <c r="B309" s="326" t="s">
        <v>311</v>
      </c>
      <c r="C309" s="382" t="str">
        <f>INDEX(Cadastro_Limpeza[[#All],[Colunas4]],MATCH(ROW()-5,Cadastro_Limpeza[[#All],[Colunas2]],0))</f>
        <v>Sóda Cáustica 1 kg</v>
      </c>
      <c r="D309" s="379">
        <f ca="1">G309+(ENTRADAS!AI309)-(BAIXAS!AI309)</f>
        <v>0</v>
      </c>
      <c r="E309" s="242"/>
      <c r="G309" s="242">
        <v>0</v>
      </c>
      <c r="H309" s="383"/>
      <c r="I309" s="383"/>
      <c r="J309" s="383"/>
      <c r="K309" s="384"/>
    </row>
    <row r="310" spans="2:14" ht="16.5" thickBot="1">
      <c r="B310" s="326" t="s">
        <v>311</v>
      </c>
      <c r="C310" s="378" t="str">
        <f>INDEX(Cadastro_Limpeza[[#All],[Colunas4]],MATCH(ROW()-5,Cadastro_Limpeza[[#All],[Colunas2]],0))</f>
        <v>Tapetinho de Banheiro</v>
      </c>
      <c r="D310" s="379">
        <f ca="1">G310+(ENTRADAS!AI310)-(BAIXAS!AI310)</f>
        <v>0</v>
      </c>
      <c r="E310" s="241"/>
      <c r="G310" s="241">
        <v>0</v>
      </c>
      <c r="H310" s="380"/>
      <c r="I310" s="380"/>
      <c r="J310" s="380"/>
      <c r="K310" s="381"/>
    </row>
    <row r="311" spans="2:14" ht="16.5" thickBot="1">
      <c r="B311" s="326" t="s">
        <v>311</v>
      </c>
      <c r="C311" s="382" t="str">
        <f>INDEX(Cadastro_Limpeza[[#All],[Colunas4]],MATCH(ROW()-5,Cadastro_Limpeza[[#All],[Colunas2]],0))</f>
        <v>Tira ferrugem</v>
      </c>
      <c r="D311" s="379">
        <f ca="1">G311+(ENTRADAS!AI311)-(BAIXAS!AI311)</f>
        <v>0</v>
      </c>
      <c r="E311" s="242"/>
      <c r="G311" s="242">
        <v>0</v>
      </c>
      <c r="H311" s="383"/>
      <c r="I311" s="383"/>
      <c r="J311" s="383"/>
      <c r="K311" s="384"/>
    </row>
    <row r="312" spans="2:14" ht="16.5" thickBot="1">
      <c r="B312" s="326" t="s">
        <v>311</v>
      </c>
      <c r="C312" s="378" t="str">
        <f>INDEX(Cadastro_Limpeza[[#All],[Colunas4]],MATCH(ROW()-5,Cadastro_Limpeza[[#All],[Colunas2]],0))</f>
        <v>Touca descártavel cx c/ 100</v>
      </c>
      <c r="D312" s="379">
        <f ca="1">G312+(ENTRADAS!AI312)-(BAIXAS!AI312)</f>
        <v>0</v>
      </c>
      <c r="E312" s="241"/>
      <c r="G312" s="241">
        <v>1</v>
      </c>
      <c r="H312" s="380"/>
      <c r="I312" s="380"/>
      <c r="J312" s="380"/>
      <c r="K312" s="381"/>
    </row>
    <row r="313" spans="2:14" ht="16.5" thickBot="1">
      <c r="B313" s="326" t="s">
        <v>311</v>
      </c>
      <c r="C313" s="382" t="str">
        <f>INDEX(Cadastro_Limpeza[[#All],[Colunas4]],MATCH(ROW()-5,Cadastro_Limpeza[[#All],[Colunas2]],0))</f>
        <v>Vaselina</v>
      </c>
      <c r="D313" s="379">
        <f ca="1">G313+(ENTRADAS!AI313)-(BAIXAS!AI313)</f>
        <v>0</v>
      </c>
      <c r="E313" s="242"/>
      <c r="G313" s="242">
        <v>0</v>
      </c>
      <c r="H313" s="383"/>
      <c r="I313" s="383"/>
      <c r="J313" s="383"/>
      <c r="K313" s="384"/>
    </row>
    <row r="314" spans="2:14" ht="16.5" thickBot="1">
      <c r="B314" s="326" t="s">
        <v>311</v>
      </c>
      <c r="C314" s="378" t="str">
        <f>INDEX(Cadastro_Limpeza[[#All],[Colunas4]],MATCH(ROW()-5,Cadastro_Limpeza[[#All],[Colunas2]],0))</f>
        <v>Vassoura de Pêlo</v>
      </c>
      <c r="D314" s="379">
        <f ca="1">G314+(ENTRADAS!AI314)-(BAIXAS!AI314)</f>
        <v>0</v>
      </c>
      <c r="E314" s="241"/>
      <c r="G314" s="241">
        <v>0</v>
      </c>
      <c r="H314" s="380"/>
      <c r="I314" s="380"/>
      <c r="J314" s="380"/>
      <c r="K314" s="381"/>
    </row>
    <row r="315" spans="2:14" ht="16.5" thickBot="1">
      <c r="B315" s="326" t="s">
        <v>311</v>
      </c>
      <c r="C315" s="378" t="str">
        <f>INDEX(Cadastro_Limpeza[[#All],[Colunas4]],MATCH(ROW()-5,Cadastro_Limpeza[[#All],[Colunas2]],0))</f>
        <v>Vassoura de Piaçava</v>
      </c>
      <c r="D315" s="379">
        <f ca="1">G315+(ENTRADAS!AI315)-(BAIXAS!AI315)</f>
        <v>6</v>
      </c>
      <c r="E315" s="242"/>
      <c r="G315" s="242">
        <v>0</v>
      </c>
      <c r="H315" s="383"/>
      <c r="I315" s="383"/>
      <c r="J315" s="383"/>
      <c r="K315" s="384"/>
    </row>
    <row r="316" spans="2:14" ht="15" thickBot="1">
      <c r="B316" s="326" t="s">
        <v>311</v>
      </c>
    </row>
    <row r="317" spans="2:14" ht="24" thickBot="1">
      <c r="B317" s="326" t="s">
        <v>311</v>
      </c>
      <c r="C317" s="413" t="s">
        <v>428</v>
      </c>
      <c r="D317" s="414"/>
      <c r="E317" s="414"/>
      <c r="F317" s="414"/>
      <c r="G317" s="414"/>
      <c r="H317" s="385"/>
      <c r="I317" s="385"/>
      <c r="J317" s="385"/>
      <c r="K317" s="385"/>
      <c r="M317" s="314"/>
      <c r="N317" s="314"/>
    </row>
    <row r="318" spans="2:14" ht="16.5" thickBot="1">
      <c r="B318" s="326" t="s">
        <v>311</v>
      </c>
      <c r="C318" s="386" t="str">
        <f>INDEX(Cadastro_Piscina[[#All],[Colunas4]],MATCH(ROW()-5,Cadastro_Piscina[[#All],[Colunas2]],0))</f>
        <v xml:space="preserve">Algicida </v>
      </c>
      <c r="D318" s="387">
        <f ca="1">G318+(ENTRADAS!AI318)-(BAIXAS!AI318)</f>
        <v>0</v>
      </c>
      <c r="E318" s="261"/>
      <c r="G318" s="261">
        <v>0</v>
      </c>
    </row>
    <row r="319" spans="2:14" ht="16.5" thickBot="1">
      <c r="B319" s="326" t="s">
        <v>311</v>
      </c>
      <c r="C319" s="388" t="str">
        <f>INDEX(Cadastro_Piscina[[#All],[Colunas4]],MATCH(ROW()-5,Cadastro_Piscina[[#All],[Colunas2]],0))</f>
        <v>Água sanitária</v>
      </c>
      <c r="D319" s="387">
        <f ca="1">G319+(ENTRADAS!AI319)-(BAIXAS!AI319)</f>
        <v>0</v>
      </c>
      <c r="E319" s="262"/>
      <c r="G319" s="262">
        <v>0</v>
      </c>
    </row>
    <row r="320" spans="2:14" ht="16.5" thickBot="1">
      <c r="B320" s="326" t="s">
        <v>311</v>
      </c>
      <c r="C320" s="386" t="str">
        <f>INDEX(Cadastro_Piscina[[#All],[Colunas4]],MATCH(ROW()-5,Cadastro_Piscina[[#All],[Colunas2]],0))</f>
        <v xml:space="preserve">Barrilha </v>
      </c>
      <c r="D320" s="387">
        <f ca="1">G320+(ENTRADAS!AI320)-(BAIXAS!AI320)</f>
        <v>0</v>
      </c>
      <c r="E320" s="261"/>
      <c r="G320" s="261">
        <v>0</v>
      </c>
    </row>
    <row r="321" spans="2:7" ht="16.5" thickBot="1">
      <c r="B321" s="326" t="s">
        <v>311</v>
      </c>
      <c r="C321" s="388" t="str">
        <f>INDEX(Cadastro_Piscina[[#All],[Colunas4]],MATCH(ROW()-5,Cadastro_Piscina[[#All],[Colunas2]],0))</f>
        <v xml:space="preserve">Clarificante </v>
      </c>
      <c r="D321" s="387">
        <f ca="1">G321+(ENTRADAS!AI321)-(BAIXAS!AI321)</f>
        <v>0</v>
      </c>
      <c r="E321" s="262"/>
      <c r="G321" s="262">
        <v>0</v>
      </c>
    </row>
    <row r="322" spans="2:7" ht="16.5" thickBot="1">
      <c r="B322" s="326" t="s">
        <v>311</v>
      </c>
      <c r="C322" s="386" t="str">
        <f>INDEX(Cadastro_Piscina[[#All],[Colunas4]],MATCH(ROW()-5,Cadastro_Piscina[[#All],[Colunas2]],0))</f>
        <v xml:space="preserve">Cloro estabilizado granulado </v>
      </c>
      <c r="D322" s="387">
        <f ca="1">G322+(ENTRADAS!AI322)-(BAIXAS!AI322)</f>
        <v>0</v>
      </c>
      <c r="E322" s="261"/>
      <c r="G322" s="261">
        <v>0</v>
      </c>
    </row>
    <row r="323" spans="2:7" ht="16.5" thickBot="1">
      <c r="B323" s="326" t="s">
        <v>311</v>
      </c>
      <c r="C323" s="388" t="str">
        <f>INDEX(Cadastro_Piscina[[#All],[Colunas4]],MATCH(ROW()-5,Cadastro_Piscina[[#All],[Colunas2]],0))</f>
        <v>Esponja dupla face unid</v>
      </c>
      <c r="D323" s="387">
        <f ca="1">G323+(ENTRADAS!AI323)-(BAIXAS!AI323)</f>
        <v>0</v>
      </c>
      <c r="E323" s="262"/>
      <c r="G323" s="262">
        <v>0</v>
      </c>
    </row>
    <row r="324" spans="2:7" ht="16.5" thickBot="1">
      <c r="B324" s="326" t="s">
        <v>311</v>
      </c>
      <c r="C324" s="386" t="str">
        <f>INDEX(Cadastro_Piscina[[#All],[Colunas4]],MATCH(ROW()-5,Cadastro_Piscina[[#All],[Colunas2]],0))</f>
        <v xml:space="preserve">Limpa borda </v>
      </c>
      <c r="D324" s="387">
        <f ca="1">G324+(ENTRADAS!AI324)-(BAIXAS!AI324)</f>
        <v>0</v>
      </c>
      <c r="E324" s="261"/>
      <c r="G324" s="261">
        <v>0</v>
      </c>
    </row>
    <row r="325" spans="2:7" ht="16.5" thickBot="1">
      <c r="B325" s="326" t="s">
        <v>311</v>
      </c>
      <c r="C325" s="388" t="str">
        <f>INDEX(Cadastro_Piscina[[#All],[Colunas4]],MATCH(ROW()-5,Cadastro_Piscina[[#All],[Colunas2]],0))</f>
        <v>Luva par</v>
      </c>
      <c r="D325" s="387">
        <f ca="1">G325+(ENTRADAS!AI325)-(BAIXAS!AI325)</f>
        <v>0</v>
      </c>
      <c r="E325" s="262"/>
      <c r="G325" s="262">
        <v>0</v>
      </c>
    </row>
    <row r="326" spans="2:7" ht="16.5" thickBot="1">
      <c r="B326" s="326" t="s">
        <v>311</v>
      </c>
      <c r="C326" s="386" t="str">
        <f>INDEX(Cadastro_Piscina[[#All],[Colunas4]],MATCH(ROW()-5,Cadastro_Piscina[[#All],[Colunas2]],0))</f>
        <v xml:space="preserve">Mascara de proteção </v>
      </c>
      <c r="D326" s="387">
        <f ca="1">G326+(ENTRADAS!AI326)-(BAIXAS!AI326)</f>
        <v>0</v>
      </c>
      <c r="E326" s="261"/>
      <c r="G326" s="261">
        <v>0</v>
      </c>
    </row>
    <row r="327" spans="2:7" ht="16.5" thickBot="1">
      <c r="B327" s="326" t="s">
        <v>311</v>
      </c>
      <c r="C327" s="388" t="str">
        <f>INDEX(Cadastro_Piscina[[#All],[Colunas4]],MATCH(ROW()-5,Cadastro_Piscina[[#All],[Colunas2]],0))</f>
        <v>Pastilha de cloro unid (cx c/ 72)</v>
      </c>
      <c r="D327" s="387">
        <f ca="1">G327+(ENTRADAS!AI327)-(BAIXAS!AI327)</f>
        <v>0</v>
      </c>
      <c r="E327" s="262"/>
      <c r="G327" s="262">
        <v>0</v>
      </c>
    </row>
    <row r="328" spans="2:7" ht="16.5" thickBot="1">
      <c r="B328" s="326" t="s">
        <v>311</v>
      </c>
      <c r="C328" s="386" t="str">
        <f>INDEX(Cadastro_Piscina[[#All],[Colunas4]],MATCH(ROW()-5,Cadastro_Piscina[[#All],[Colunas2]],0))</f>
        <v xml:space="preserve">Reagente cloro Institucional </v>
      </c>
      <c r="D328" s="387">
        <f ca="1">G328+(ENTRADAS!AI328)-(BAIXAS!AI328)</f>
        <v>0</v>
      </c>
      <c r="E328" s="261"/>
      <c r="G328" s="261">
        <v>0</v>
      </c>
    </row>
    <row r="329" spans="2:7" ht="16.5" thickBot="1">
      <c r="B329" s="326" t="s">
        <v>311</v>
      </c>
      <c r="C329" s="388" t="str">
        <f>INDEX(Cadastro_Piscina[[#All],[Colunas4]],MATCH(ROW()-5,Cadastro_Piscina[[#All],[Colunas2]],0))</f>
        <v xml:space="preserve">Reagente ph Institucional </v>
      </c>
      <c r="D329" s="387">
        <f ca="1">G329+(ENTRADAS!AI329)-(BAIXAS!AI329)</f>
        <v>0</v>
      </c>
      <c r="E329" s="262"/>
      <c r="G329" s="262">
        <v>0</v>
      </c>
    </row>
    <row r="330" spans="2:7" ht="15" thickBot="1">
      <c r="B330" s="326" t="s">
        <v>311</v>
      </c>
    </row>
    <row r="331" spans="2:7" ht="19.5" thickTop="1" thickBot="1">
      <c r="B331" s="326" t="s">
        <v>311</v>
      </c>
      <c r="C331" s="409" t="s">
        <v>450</v>
      </c>
      <c r="D331" s="410"/>
      <c r="E331" s="410"/>
      <c r="F331" s="411"/>
      <c r="G331" s="412"/>
    </row>
    <row r="332" spans="2:7" ht="20.25" thickTop="1" thickBot="1">
      <c r="B332" s="326" t="s">
        <v>311</v>
      </c>
      <c r="C332" s="389" t="s">
        <v>431</v>
      </c>
      <c r="D332" s="390">
        <f ca="1">G332+(ENTRADAS!AI332)-(BAIXAS!AI332)</f>
        <v>0</v>
      </c>
      <c r="E332" s="398"/>
      <c r="G332" s="394">
        <v>0</v>
      </c>
    </row>
    <row r="333" spans="2:7" ht="19.5" thickBot="1">
      <c r="B333" s="326" t="s">
        <v>311</v>
      </c>
      <c r="C333" s="391" t="s">
        <v>432</v>
      </c>
      <c r="D333" s="390">
        <f ca="1">G333+(ENTRADAS!AI333)-(BAIXAS!AI333)</f>
        <v>0</v>
      </c>
      <c r="E333" s="399"/>
      <c r="G333" s="395">
        <v>0</v>
      </c>
    </row>
    <row r="334" spans="2:7" ht="19.5" thickBot="1">
      <c r="B334" s="326" t="s">
        <v>311</v>
      </c>
      <c r="C334" s="392" t="s">
        <v>433</v>
      </c>
      <c r="D334" s="390">
        <f ca="1">G334+(ENTRADAS!AI334)-(BAIXAS!AI334)</f>
        <v>0</v>
      </c>
      <c r="E334" s="400"/>
      <c r="G334" s="396">
        <v>0</v>
      </c>
    </row>
    <row r="335" spans="2:7" ht="19.5" thickBot="1">
      <c r="B335" s="326" t="s">
        <v>311</v>
      </c>
      <c r="C335" s="391" t="s">
        <v>434</v>
      </c>
      <c r="D335" s="390">
        <f ca="1">G335+(ENTRADAS!AI335)-(BAIXAS!AI335)</f>
        <v>0</v>
      </c>
      <c r="E335" s="399"/>
      <c r="G335" s="395">
        <v>0</v>
      </c>
    </row>
    <row r="336" spans="2:7" ht="19.5" thickBot="1">
      <c r="B336" s="326" t="s">
        <v>311</v>
      </c>
      <c r="C336" s="392" t="s">
        <v>435</v>
      </c>
      <c r="D336" s="390">
        <f ca="1">G336+(ENTRADAS!AI336)-(BAIXAS!AI336)</f>
        <v>0</v>
      </c>
      <c r="E336" s="400"/>
      <c r="G336" s="396">
        <v>0</v>
      </c>
    </row>
    <row r="337" spans="2:7" ht="19.5" thickBot="1">
      <c r="B337" s="326" t="s">
        <v>311</v>
      </c>
      <c r="C337" s="391" t="s">
        <v>436</v>
      </c>
      <c r="D337" s="390">
        <f ca="1">G337+(ENTRADAS!AI337)-(BAIXAS!AI337)</f>
        <v>0</v>
      </c>
      <c r="E337" s="399"/>
      <c r="G337" s="395">
        <v>0</v>
      </c>
    </row>
    <row r="338" spans="2:7" ht="19.5" thickBot="1">
      <c r="B338" s="326" t="s">
        <v>311</v>
      </c>
      <c r="C338" s="392" t="s">
        <v>437</v>
      </c>
      <c r="D338" s="390">
        <f ca="1">G338+(ENTRADAS!AI338)-(BAIXAS!AI338)</f>
        <v>0</v>
      </c>
      <c r="E338" s="400"/>
      <c r="G338" s="396">
        <v>0</v>
      </c>
    </row>
    <row r="339" spans="2:7" ht="19.5" thickBot="1">
      <c r="B339" s="326" t="s">
        <v>311</v>
      </c>
      <c r="C339" s="391" t="s">
        <v>438</v>
      </c>
      <c r="D339" s="390">
        <f ca="1">G339+(ENTRADAS!AI339)-(BAIXAS!AI339)</f>
        <v>0</v>
      </c>
      <c r="E339" s="399"/>
      <c r="G339" s="395">
        <v>0</v>
      </c>
    </row>
    <row r="340" spans="2:7" ht="19.5" thickBot="1">
      <c r="B340" s="326" t="s">
        <v>311</v>
      </c>
      <c r="C340" s="392" t="s">
        <v>439</v>
      </c>
      <c r="D340" s="390">
        <f ca="1">G340+(ENTRADAS!AI340)-(BAIXAS!AI340)</f>
        <v>0</v>
      </c>
      <c r="E340" s="400"/>
      <c r="G340" s="396">
        <v>0</v>
      </c>
    </row>
    <row r="341" spans="2:7" ht="19.5" thickBot="1">
      <c r="B341" s="326" t="s">
        <v>311</v>
      </c>
      <c r="C341" s="391" t="s">
        <v>440</v>
      </c>
      <c r="D341" s="390">
        <f ca="1">G341+(ENTRADAS!AI341)-(BAIXAS!AI341)</f>
        <v>0</v>
      </c>
      <c r="E341" s="399"/>
      <c r="G341" s="395">
        <v>0</v>
      </c>
    </row>
    <row r="342" spans="2:7" ht="19.5" thickBot="1">
      <c r="B342" s="326" t="s">
        <v>311</v>
      </c>
      <c r="C342" s="392" t="s">
        <v>441</v>
      </c>
      <c r="D342" s="390">
        <f ca="1">G342+(ENTRADAS!AI342)-(BAIXAS!AI342)</f>
        <v>0</v>
      </c>
      <c r="E342" s="400"/>
      <c r="G342" s="396">
        <v>0</v>
      </c>
    </row>
    <row r="343" spans="2:7" ht="19.5" thickBot="1">
      <c r="B343" s="326" t="s">
        <v>311</v>
      </c>
      <c r="C343" s="391" t="s">
        <v>442</v>
      </c>
      <c r="D343" s="390">
        <f ca="1">G343+(ENTRADAS!AI343)-(BAIXAS!AI343)</f>
        <v>0</v>
      </c>
      <c r="E343" s="399"/>
      <c r="G343" s="395">
        <v>0</v>
      </c>
    </row>
    <row r="344" spans="2:7" ht="19.5" thickBot="1">
      <c r="B344" s="326" t="s">
        <v>311</v>
      </c>
      <c r="C344" s="392" t="s">
        <v>443</v>
      </c>
      <c r="D344" s="390">
        <f ca="1">G344+(ENTRADAS!AI344)-(BAIXAS!AI344)</f>
        <v>0</v>
      </c>
      <c r="E344" s="400"/>
      <c r="G344" s="396">
        <v>0</v>
      </c>
    </row>
    <row r="345" spans="2:7" ht="19.5" thickBot="1">
      <c r="B345" s="326" t="s">
        <v>311</v>
      </c>
      <c r="C345" s="391" t="s">
        <v>444</v>
      </c>
      <c r="D345" s="390">
        <f ca="1">G345+(ENTRADAS!AI345)-(BAIXAS!AI345)</f>
        <v>0</v>
      </c>
      <c r="E345" s="399"/>
      <c r="G345" s="395">
        <v>0</v>
      </c>
    </row>
    <row r="346" spans="2:7" ht="19.5" thickBot="1">
      <c r="B346" s="326" t="s">
        <v>311</v>
      </c>
      <c r="C346" s="392" t="s">
        <v>445</v>
      </c>
      <c r="D346" s="390">
        <f ca="1">G346+(ENTRADAS!AI346)-(BAIXAS!AI346)</f>
        <v>0</v>
      </c>
      <c r="E346" s="400"/>
      <c r="G346" s="396">
        <v>0</v>
      </c>
    </row>
    <row r="347" spans="2:7" ht="19.5" thickBot="1">
      <c r="B347" s="326" t="s">
        <v>311</v>
      </c>
      <c r="C347" s="393" t="s">
        <v>446</v>
      </c>
      <c r="D347" s="390">
        <f ca="1">G347+(ENTRADAS!AI347)-(BAIXAS!AI347)</f>
        <v>0</v>
      </c>
      <c r="E347" s="401"/>
      <c r="G347" s="397">
        <v>0</v>
      </c>
    </row>
  </sheetData>
  <sheetProtection password="C6E3" sheet="1" objects="1" scenarios="1" selectLockedCells="1"/>
  <mergeCells count="16">
    <mergeCell ref="C2:E2"/>
    <mergeCell ref="F2:G3"/>
    <mergeCell ref="C3:E3"/>
    <mergeCell ref="C4:G4"/>
    <mergeCell ref="C5:K5"/>
    <mergeCell ref="C331:G331"/>
    <mergeCell ref="C317:G317"/>
    <mergeCell ref="C243:K243"/>
    <mergeCell ref="C138:K138"/>
    <mergeCell ref="C139:K139"/>
    <mergeCell ref="C181:K181"/>
    <mergeCell ref="C182:K182"/>
    <mergeCell ref="C174:K174"/>
    <mergeCell ref="C175:K175"/>
    <mergeCell ref="C169:K169"/>
    <mergeCell ref="C170:K170"/>
  </mergeCells>
  <conditionalFormatting sqref="D6:D137">
    <cfRule type="cellIs" dxfId="1588" priority="19" operator="lessThan">
      <formula>0</formula>
    </cfRule>
  </conditionalFormatting>
  <conditionalFormatting sqref="D176:D180 D171:D173 D140:D168 D183:D241 D244:D315 D318:D329">
    <cfRule type="cellIs" dxfId="1587" priority="18" operator="lessThan">
      <formula>0</formula>
    </cfRule>
  </conditionalFormatting>
  <conditionalFormatting sqref="G1:K1">
    <cfRule type="cellIs" dxfId="1586" priority="17" operator="equal">
      <formula>#REF!</formula>
    </cfRule>
  </conditionalFormatting>
  <conditionalFormatting sqref="D332:D347">
    <cfRule type="cellIs" dxfId="1585" priority="2" operator="lessThan">
      <formula>0</formula>
    </cfRule>
  </conditionalFormatting>
  <conditionalFormatting sqref="D332:D347">
    <cfRule type="cellIs" dxfId="1584" priority="1" operator="lessThan">
      <formula>0</formula>
    </cfRule>
  </conditionalFormatting>
  <dataValidations count="1">
    <dataValidation type="list" allowBlank="1" showInputMessage="1" showErrorMessage="1" sqref="E183:E241 E318:E329 E244:E315 E6:E137 E140:E168 E171:E173 E176:E180 E332:E347">
      <formula1>"UND,KG,G,MG,L,ML,BLD,CX,"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A1:CZ347"/>
  <sheetViews>
    <sheetView showGridLines="0" zoomScale="85" zoomScaleNormal="85" workbookViewId="0">
      <pane ySplit="4" topLeftCell="A44" activePane="bottomLeft" state="frozen"/>
      <selection activeCell="A318" activeCellId="1" sqref="B318 A318"/>
      <selection pane="bottomLeft" activeCell="R58" sqref="R58"/>
    </sheetView>
  </sheetViews>
  <sheetFormatPr defaultRowHeight="15"/>
  <cols>
    <col min="1" max="1" width="4.42578125" customWidth="1"/>
    <col min="2" max="2" width="53.140625" bestFit="1" customWidth="1"/>
    <col min="3" max="34" width="3.7109375" customWidth="1"/>
    <col min="35" max="35" width="7.28515625" customWidth="1"/>
    <col min="36" max="36" width="15" bestFit="1" customWidth="1"/>
    <col min="37" max="37" width="9.140625" customWidth="1"/>
    <col min="41" max="41" width="33" bestFit="1" customWidth="1"/>
  </cols>
  <sheetData>
    <row r="1" spans="1:37" ht="14.25" hidden="1" customHeight="1">
      <c r="B1">
        <f ca="1">IF(D1=100,3,IF(D1&gt;=60,2,IF(D1&gt;0,1,0)))</f>
        <v>2</v>
      </c>
      <c r="C1">
        <f ca="1">IF(Configurações!G9="Ligado",BAIXAS!B3,(31-COUNTIF(D3:AH3,"="&amp;Configurações!C8)))</f>
        <v>24</v>
      </c>
      <c r="D1" s="63">
        <f ca="1">C1*100/B2</f>
        <v>85.714285714285708</v>
      </c>
    </row>
    <row r="2" spans="1:37" hidden="1">
      <c r="B2">
        <f ca="1">DAY(Configurações!C4)</f>
        <v>28</v>
      </c>
      <c r="C2">
        <v>1</v>
      </c>
      <c r="D2">
        <f ca="1">IF(D3=Configurações!$C$8,0,D4)</f>
        <v>1</v>
      </c>
      <c r="E2">
        <f ca="1">IF(E3=Configurações!$C$8,0,E4)</f>
        <v>2</v>
      </c>
      <c r="F2">
        <f ca="1">IF(F3=Configurações!$C$8,0,F4)</f>
        <v>3</v>
      </c>
      <c r="G2">
        <f ca="1">IF(G3=Configurações!$C$8,0,G4)</f>
        <v>4</v>
      </c>
      <c r="H2">
        <f ca="1">IF(H3=Configurações!$C$8,0,H4)</f>
        <v>5</v>
      </c>
      <c r="I2">
        <f ca="1">IF(I3=Configurações!$C$8,0,I4)</f>
        <v>6</v>
      </c>
      <c r="J2">
        <f ca="1">IF(J3=Configurações!$C$8,0,J4)</f>
        <v>7</v>
      </c>
      <c r="K2">
        <f ca="1">IF(K3=Configurações!$C$8,0,K4)</f>
        <v>8</v>
      </c>
      <c r="L2">
        <f ca="1">IF(L3=Configurações!$C$8,0,L4)</f>
        <v>9</v>
      </c>
      <c r="M2">
        <f ca="1">IF(M3=Configurações!$C$8,0,M4)</f>
        <v>10</v>
      </c>
      <c r="N2">
        <f ca="1">IF(N3=Configurações!$C$8,0,N4)</f>
        <v>11</v>
      </c>
      <c r="O2">
        <f ca="1">IF(O3=Configurações!$C$8,0,O4)</f>
        <v>12</v>
      </c>
      <c r="P2">
        <f ca="1">IF(P3=Configurações!$C$8,0,P4)</f>
        <v>13</v>
      </c>
      <c r="Q2">
        <f ca="1">IF(Q3=Configurações!$C$8,0,Q4)</f>
        <v>14</v>
      </c>
      <c r="R2">
        <f ca="1">IF(R3=Configurações!$C$8,0,R4)</f>
        <v>15</v>
      </c>
      <c r="S2">
        <f ca="1">IF(S3=Configurações!$C$8,0,S4)</f>
        <v>16</v>
      </c>
      <c r="T2">
        <f ca="1">IF(T3=Configurações!$C$8,0,T4)</f>
        <v>17</v>
      </c>
      <c r="U2">
        <f ca="1">IF(U3=Configurações!$C$8,0,U4)</f>
        <v>18</v>
      </c>
      <c r="V2">
        <f ca="1">IF(V3=Configurações!$C$8,0,V4)</f>
        <v>19</v>
      </c>
      <c r="W2">
        <f ca="1">IF(W3=Configurações!$C$8,0,W4)</f>
        <v>20</v>
      </c>
      <c r="X2">
        <f ca="1">IF(X3=Configurações!$C$8,0,X4)</f>
        <v>21</v>
      </c>
      <c r="Y2">
        <f ca="1">IF(Y3=Configurações!$C$8,0,Y4)</f>
        <v>22</v>
      </c>
      <c r="Z2">
        <f ca="1">IF(Z3=Configurações!$C$8,0,Z4)</f>
        <v>23</v>
      </c>
      <c r="AA2">
        <f ca="1">IF(AA3=Configurações!$C$8,0,AA4)</f>
        <v>24</v>
      </c>
      <c r="AB2">
        <f ca="1">IF(AB3=Configurações!$C$8,0,AB4)</f>
        <v>0</v>
      </c>
      <c r="AC2">
        <f ca="1">IF(AC3=Configurações!$C$8,0,AC4)</f>
        <v>0</v>
      </c>
      <c r="AD2">
        <f ca="1">IF(AD3=Configurações!$C$8,0,AD4)</f>
        <v>0</v>
      </c>
      <c r="AE2">
        <f ca="1">IF(AE3=Configurações!$C$8,0,AE4)</f>
        <v>0</v>
      </c>
      <c r="AF2">
        <f ca="1">IF(AF3=Configurações!$C$8,0,AF4)</f>
        <v>0</v>
      </c>
      <c r="AG2">
        <f ca="1">IF(AG3=Configurações!$C$8,0,AG4)</f>
        <v>0</v>
      </c>
      <c r="AH2">
        <f ca="1">IF(AH3=Configurações!$C$8,0,AH4)</f>
        <v>0</v>
      </c>
    </row>
    <row r="3" spans="1:37" ht="21.75" hidden="1" customHeight="1" thickBot="1">
      <c r="B3">
        <f ca="1">IF(Configurações!G8="Ligado",DAY(Configurações!C5),DAY(Configurações!C4))</f>
        <v>24</v>
      </c>
      <c r="C3">
        <f>COUNTBLANK(C$6:C$347)</f>
        <v>342</v>
      </c>
      <c r="D3">
        <f ca="1">IF(D4&lt;=$B$2,COUNTBLANK(D$6:D$347),Configurações!$C$8)</f>
        <v>336</v>
      </c>
      <c r="E3">
        <f ca="1">IF(E4&lt;=$B$2,COUNTBLANK(E$6:E$347),Configurações!$C$8)</f>
        <v>303</v>
      </c>
      <c r="F3">
        <f ca="1">IF(F4&lt;=$B$2,COUNTBLANK(F$6:F$347),Configurações!$C$8)</f>
        <v>272</v>
      </c>
      <c r="G3">
        <f ca="1">IF(G4&lt;=$B$2,COUNTBLANK(G$6:G$347),Configurações!$C$8)</f>
        <v>286</v>
      </c>
      <c r="H3">
        <f ca="1">IF(H4&lt;=$B$2,COUNTBLANK(H$6:H$347),Configurações!$C$8)</f>
        <v>292</v>
      </c>
      <c r="I3">
        <f ca="1">IF(I4&lt;=$B$2,COUNTBLANK(I$6:I$347),Configurações!$C$8)</f>
        <v>303</v>
      </c>
      <c r="J3">
        <f ca="1">IF(J4&lt;=$B$2,COUNTBLANK(J$6:J$347),Configurações!$C$8)</f>
        <v>323</v>
      </c>
      <c r="K3">
        <f ca="1">IF(K4&lt;=$B$2,COUNTBLANK(K$6:K$347),Configurações!$C$8)</f>
        <v>341</v>
      </c>
      <c r="L3">
        <f ca="1">IF(L4&lt;=$B$2,COUNTBLANK(L$6:L$347),Configurações!$C$8)</f>
        <v>310</v>
      </c>
      <c r="M3">
        <f ca="1">IF(M4&lt;=$B$2,COUNTBLANK(M$6:M$347),Configurações!$C$8)</f>
        <v>297</v>
      </c>
      <c r="N3">
        <f ca="1">IF(N4&lt;=$B$2,COUNTBLANK(N$6:N$347),Configurações!$C$8)</f>
        <v>292</v>
      </c>
      <c r="O3">
        <f ca="1">IF(O4&lt;=$B$2,COUNTBLANK(O$6:O$347),Configurações!$C$8)</f>
        <v>284</v>
      </c>
      <c r="P3">
        <f ca="1">IF(P4&lt;=$B$2,COUNTBLANK(P$6:P$347),Configurações!$C$8)</f>
        <v>294</v>
      </c>
      <c r="Q3">
        <f ca="1">IF(Q4&lt;=$B$2,COUNTBLANK(Q$6:Q$347),Configurações!$C$8)</f>
        <v>328</v>
      </c>
      <c r="R3">
        <f ca="1">IF(R4&lt;=$B$2,COUNTBLANK(R$6:R$347),Configurações!$C$8)</f>
        <v>331</v>
      </c>
      <c r="S3">
        <f ca="1">IF(S4&lt;=$B$2,COUNTBLANK(S$6:S$347),Configurações!$C$8)</f>
        <v>315</v>
      </c>
      <c r="T3">
        <f ca="1">IF(T4&lt;=$B$2,COUNTBLANK(T$6:T$347),Configurações!$C$8)</f>
        <v>306</v>
      </c>
      <c r="U3">
        <f ca="1">IF(U4&lt;=$B$2,COUNTBLANK(U$6:U$347),Configurações!$C$8)</f>
        <v>294</v>
      </c>
      <c r="V3">
        <f ca="1">IF(V4&lt;=$B$2,COUNTBLANK(V$6:V$347),Configurações!$C$8)</f>
        <v>294</v>
      </c>
      <c r="W3">
        <f ca="1">IF(W4&lt;=$B$2,COUNTBLANK(W$6:W$347),Configurações!$C$8)</f>
        <v>318</v>
      </c>
      <c r="X3">
        <f ca="1">IF(X4&lt;=$B$2,COUNTBLANK(X$6:X$347),Configurações!$C$8)</f>
        <v>328</v>
      </c>
      <c r="Y3">
        <f ca="1">IF(Y4&lt;=$B$2,COUNTBLANK(Y$6:Y$347),Configurações!$C$8)</f>
        <v>341</v>
      </c>
      <c r="Z3">
        <f ca="1">IF(Z4&lt;=$B$2,COUNTBLANK(Z$6:Z$347),Configurações!$C$8)</f>
        <v>310</v>
      </c>
      <c r="AA3">
        <f ca="1">IF(AA4&lt;=$B$2,COUNTBLANK(AA$6:AA$347),Configurações!$C$8)</f>
        <v>286</v>
      </c>
      <c r="AB3">
        <f ca="1">IF(AB4&lt;=$B$2,COUNTBLANK(AB$6:AB$347),Configurações!$C$8)</f>
        <v>342</v>
      </c>
      <c r="AC3">
        <f ca="1">IF(AC4&lt;=$B$2,COUNTBLANK(AC$6:AC$347),Configurações!$C$8)</f>
        <v>342</v>
      </c>
      <c r="AD3">
        <f ca="1">IF(AD4&lt;=$B$2,COUNTBLANK(AD$6:AD$347),Configurações!$C$8)</f>
        <v>342</v>
      </c>
      <c r="AE3">
        <f ca="1">IF(AE4&lt;=$B$2,COUNTBLANK(AE$6:AE$347),Configurações!$C$8)</f>
        <v>342</v>
      </c>
      <c r="AF3">
        <f ca="1">IF(AF4&lt;=$B$2,COUNTBLANK(AF$6:AF$347),Configurações!$C$8)</f>
        <v>342</v>
      </c>
      <c r="AG3">
        <f ca="1">IF(AG4&lt;=$B$2,COUNTBLANK(AG$6:AG$347),Configurações!$C$8)</f>
        <v>342</v>
      </c>
      <c r="AH3">
        <f ca="1">IF(AH4&lt;=$B$2,COUNTBLANK(AH$6:AH$347),Configurações!$C$8)</f>
        <v>342</v>
      </c>
      <c r="AI3" s="63">
        <f ca="1">Configurações!C14</f>
        <v>31</v>
      </c>
      <c r="AJ3">
        <f ca="1">COUNTIF(C3:AH3,"&lt;"&amp;216)</f>
        <v>0</v>
      </c>
    </row>
    <row r="4" spans="1:37" ht="18.75" thickBot="1">
      <c r="A4" s="454"/>
      <c r="B4" s="4" t="s">
        <v>132</v>
      </c>
      <c r="C4" s="210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>
        <v>16</v>
      </c>
      <c r="T4" s="6">
        <v>17</v>
      </c>
      <c r="U4" s="6">
        <v>18</v>
      </c>
      <c r="V4" s="6">
        <v>19</v>
      </c>
      <c r="W4" s="6">
        <v>20</v>
      </c>
      <c r="X4" s="6">
        <v>21</v>
      </c>
      <c r="Y4" s="6">
        <v>22</v>
      </c>
      <c r="Z4" s="6">
        <v>23</v>
      </c>
      <c r="AA4" s="6">
        <v>24</v>
      </c>
      <c r="AB4" s="6">
        <v>25</v>
      </c>
      <c r="AC4" s="6">
        <v>26</v>
      </c>
      <c r="AD4" s="6">
        <v>27</v>
      </c>
      <c r="AE4" s="6">
        <v>28</v>
      </c>
      <c r="AF4" s="6">
        <v>29</v>
      </c>
      <c r="AG4" s="7">
        <v>30</v>
      </c>
      <c r="AH4" s="8">
        <v>31</v>
      </c>
      <c r="AI4" s="9" t="s">
        <v>113</v>
      </c>
      <c r="AJ4" s="17" t="str">
        <f>CONCATENATE("Média por ",Configurações!G11)</f>
        <v>Média por Dia</v>
      </c>
      <c r="AK4" s="12"/>
    </row>
    <row r="5" spans="1:37" ht="24" thickBot="1">
      <c r="A5" s="454"/>
      <c r="B5" s="458" t="s">
        <v>112</v>
      </c>
      <c r="C5" s="459"/>
      <c r="D5" s="459"/>
      <c r="E5" s="459"/>
      <c r="F5" s="459"/>
      <c r="G5" s="459"/>
      <c r="H5" s="459"/>
      <c r="I5" s="459"/>
      <c r="J5" s="459"/>
      <c r="K5" s="459"/>
      <c r="L5" s="459"/>
      <c r="M5" s="459"/>
      <c r="N5" s="459"/>
      <c r="O5" s="459"/>
      <c r="P5" s="459"/>
      <c r="Q5" s="459"/>
      <c r="R5" s="459"/>
      <c r="S5" s="459"/>
      <c r="T5" s="459"/>
      <c r="U5" s="459"/>
      <c r="V5" s="459"/>
      <c r="W5" s="459"/>
      <c r="X5" s="459"/>
      <c r="Y5" s="459"/>
      <c r="Z5" s="459"/>
      <c r="AA5" s="459"/>
      <c r="AB5" s="459"/>
      <c r="AC5" s="459"/>
      <c r="AD5" s="459"/>
      <c r="AE5" s="459"/>
      <c r="AF5" s="459"/>
      <c r="AG5" s="459"/>
      <c r="AH5" s="459"/>
      <c r="AI5" s="459"/>
      <c r="AJ5" s="460"/>
    </row>
    <row r="6" spans="1:37" ht="21">
      <c r="A6" s="91">
        <f ca="1">COUNT(INDEX($C:$AH,ROW(),1):INDEX($C:$AH,ROW(),$AI$3+1))</f>
        <v>4</v>
      </c>
      <c r="B6" s="106" t="str">
        <f>INDEX(Cadastro_Mantimentos[[#All],[Colunas4]],MATCH(ROW()-5,Cadastro_Mantimentos[[#All],[Colunas2]],0))</f>
        <v>Abacaxi Em Calda</v>
      </c>
      <c r="C6" s="193"/>
      <c r="D6" s="193"/>
      <c r="E6" s="193"/>
      <c r="F6" s="193"/>
      <c r="G6" s="193"/>
      <c r="H6" s="193"/>
      <c r="I6" s="193">
        <v>5</v>
      </c>
      <c r="J6" s="193"/>
      <c r="K6" s="193">
        <v>0</v>
      </c>
      <c r="L6" s="193"/>
      <c r="M6" s="193"/>
      <c r="N6" s="193"/>
      <c r="O6" s="193"/>
      <c r="P6" s="193"/>
      <c r="Q6" s="193"/>
      <c r="R6" s="193">
        <v>0</v>
      </c>
      <c r="S6" s="193"/>
      <c r="T6" s="193"/>
      <c r="U6" s="193"/>
      <c r="V6" s="193"/>
      <c r="W6" s="193"/>
      <c r="X6" s="193"/>
      <c r="Y6" s="193">
        <v>0</v>
      </c>
      <c r="Z6" s="193"/>
      <c r="AA6" s="193"/>
      <c r="AB6" s="193"/>
      <c r="AC6" s="193"/>
      <c r="AD6" s="193"/>
      <c r="AE6" s="193"/>
      <c r="AF6" s="193"/>
      <c r="AG6" s="193"/>
      <c r="AH6" s="193"/>
      <c r="AI6" s="111">
        <f ca="1">IF(Configurações!$G$10="Ligado",SUMIFS(C6:AH6,$C$4:$AH$4,"&lt;="&amp;Configurações!$C$5,$C$4:$AH$4,"&lt;="&amp;$AI$3),"")</f>
        <v>5</v>
      </c>
      <c r="AJ6" s="112">
        <f ca="1">IF(Configurações!$G$12="Ligado",IF(AI6&lt;=0,"Vazio",IF(Configurações!$G$11="Dia",IF(C6="",BAIXAS!AI6/(Configurações!$C$5),BAIXAS!AI6/(Configurações!$C$5+1)),BAIXAS!AI6/BAIXAS!A6)),"")</f>
        <v>0.20833333333333334</v>
      </c>
    </row>
    <row r="7" spans="1:37" ht="21">
      <c r="A7" s="91">
        <f ca="1">COUNT(INDEX($C:$AH,ROW(),1):INDEX($C:$AH,ROW(),$AI$3+1))</f>
        <v>0</v>
      </c>
      <c r="B7" s="106" t="str">
        <f>INDEX(Cadastro_Mantimentos[[#All],[Colunas4]],MATCH(ROW()-5,Cadastro_Mantimentos[[#All],[Colunas2]],0))</f>
        <v>Açafrão</v>
      </c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11">
        <f ca="1">IF(Configurações!$G$10="Ligado",SUMIFS(C7:AH7,$C$4:$AH$4,"&lt;="&amp;Configurações!$C$5,$C$4:$AH$4,"&lt;="&amp;$AI$3),"")</f>
        <v>0</v>
      </c>
      <c r="AJ7" s="112" t="str">
        <f ca="1">IF(Configurações!$G$12="Ligado",IF(AI7&lt;=0,"Vazio",IF(Configurações!$G$11="Dia",IF(C7="",BAIXAS!AI7/(Configurações!$C$5),BAIXAS!AI7/(Configurações!$C$5+1)),BAIXAS!AI7/BAIXAS!A7)),"")</f>
        <v>Vazio</v>
      </c>
    </row>
    <row r="8" spans="1:37" ht="21">
      <c r="A8" s="91">
        <f ca="1">COUNT(INDEX($C:$AH,ROW(),1):INDEX($C:$AH,ROW(),$AI$3+1))</f>
        <v>2</v>
      </c>
      <c r="B8" s="106" t="str">
        <f>INDEX(Cadastro_Mantimentos[[#All],[Colunas4]],MATCH(ROW()-5,Cadastro_Mantimentos[[#All],[Colunas2]],0))</f>
        <v>Achocolatado</v>
      </c>
      <c r="C8" s="193"/>
      <c r="D8" s="193"/>
      <c r="E8" s="193"/>
      <c r="F8" s="193">
        <v>1</v>
      </c>
      <c r="G8" s="193"/>
      <c r="H8" s="193"/>
      <c r="I8" s="193"/>
      <c r="J8" s="193"/>
      <c r="K8" s="193"/>
      <c r="L8" s="193"/>
      <c r="M8" s="193"/>
      <c r="N8" s="193">
        <v>1</v>
      </c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11">
        <f ca="1">IF(Configurações!$G$10="Ligado",SUMIFS(C8:AH8,$C$4:$AH$4,"&lt;="&amp;Configurações!$C$5,$C$4:$AH$4,"&lt;="&amp;$AI$3),"")</f>
        <v>2</v>
      </c>
      <c r="AJ8" s="112">
        <f ca="1">IF(Configurações!$G$12="Ligado",IF(AI8&lt;=0,"Vazio",IF(Configurações!$G$11="Dia",IF(C8="",BAIXAS!AI8/(Configurações!$C$5),BAIXAS!AI8/(Configurações!$C$5+1)),BAIXAS!AI8/BAIXAS!A8)),"")</f>
        <v>8.3333333333333329E-2</v>
      </c>
    </row>
    <row r="9" spans="1:37" ht="21">
      <c r="A9" s="91">
        <f ca="1">COUNT(INDEX($C:$AH,ROW(),1):INDEX($C:$AH,ROW(),$AI$3+1))</f>
        <v>14</v>
      </c>
      <c r="B9" s="106" t="str">
        <f>INDEX(Cadastro_Mantimentos[[#All],[Colunas4]],MATCH(ROW()-5,Cadastro_Mantimentos[[#All],[Colunas2]],0))</f>
        <v>Açúcar</v>
      </c>
      <c r="C9" s="193"/>
      <c r="D9" s="193"/>
      <c r="E9" s="193">
        <v>3</v>
      </c>
      <c r="F9" s="193">
        <v>1</v>
      </c>
      <c r="G9" s="193">
        <v>2</v>
      </c>
      <c r="H9" s="193">
        <v>3</v>
      </c>
      <c r="I9" s="193">
        <v>1</v>
      </c>
      <c r="J9" s="193"/>
      <c r="K9" s="193"/>
      <c r="L9" s="193">
        <v>1</v>
      </c>
      <c r="M9" s="193">
        <v>1</v>
      </c>
      <c r="N9" s="193">
        <v>2</v>
      </c>
      <c r="O9" s="193">
        <v>2</v>
      </c>
      <c r="P9" s="193"/>
      <c r="Q9" s="193"/>
      <c r="R9" s="193">
        <v>2</v>
      </c>
      <c r="S9" s="193"/>
      <c r="T9" s="193">
        <v>1</v>
      </c>
      <c r="U9" s="193">
        <v>2</v>
      </c>
      <c r="V9" s="193"/>
      <c r="W9" s="193"/>
      <c r="X9" s="193"/>
      <c r="Y9" s="193"/>
      <c r="Z9" s="193">
        <v>2</v>
      </c>
      <c r="AA9" s="193">
        <v>3</v>
      </c>
      <c r="AB9" s="193"/>
      <c r="AC9" s="193"/>
      <c r="AD9" s="193"/>
      <c r="AE9" s="193"/>
      <c r="AF9" s="193"/>
      <c r="AG9" s="193"/>
      <c r="AH9" s="193"/>
      <c r="AI9" s="111">
        <f ca="1">IF(Configurações!$G$10="Ligado",SUMIFS(C9:AH9,$C$4:$AH$4,"&lt;="&amp;Configurações!$C$5,$C$4:$AH$4,"&lt;="&amp;$AI$3),"")</f>
        <v>26</v>
      </c>
      <c r="AJ9" s="112">
        <f ca="1">IF(Configurações!$G$12="Ligado",IF(AI9&lt;=0,"Vazio",IF(Configurações!$G$11="Dia",IF(C9="",BAIXAS!AI9/(Configurações!$C$5),BAIXAS!AI9/(Configurações!$C$5+1)),BAIXAS!AI9/BAIXAS!A9)),"")</f>
        <v>1.0833333333333333</v>
      </c>
    </row>
    <row r="10" spans="1:37" ht="21">
      <c r="A10" s="91">
        <f ca="1">COUNT(INDEX($C:$AH,ROW(),1):INDEX($C:$AH,ROW(),$AI$3+1))</f>
        <v>1</v>
      </c>
      <c r="B10" s="106" t="str">
        <f>INDEX(Cadastro_Mantimentos[[#All],[Colunas4]],MATCH(ROW()-5,Cadastro_Mantimentos[[#All],[Colunas2]],0))</f>
        <v>Acucar Sache</v>
      </c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>
        <v>1</v>
      </c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11">
        <f ca="1">IF(Configurações!$G$10="Ligado",SUMIFS(C10:AH10,$C$4:$AH$4,"&lt;="&amp;Configurações!$C$5,$C$4:$AH$4,"&lt;="&amp;$AI$3),"")</f>
        <v>1</v>
      </c>
      <c r="AJ10" s="112">
        <f ca="1">IF(Configurações!$G$12="Ligado",IF(AI10&lt;=0,"Vazio",IF(Configurações!$G$11="Dia",IF(C10="",BAIXAS!AI10/(Configurações!$C$5),BAIXAS!AI10/(Configurações!$C$5+1)),BAIXAS!AI10/BAIXAS!A10)),"")</f>
        <v>4.1666666666666664E-2</v>
      </c>
    </row>
    <row r="11" spans="1:37" ht="21">
      <c r="A11" s="91">
        <f ca="1">COUNT(INDEX($C:$AH,ROW(),1):INDEX($C:$AH,ROW(),$AI$3+1))</f>
        <v>0</v>
      </c>
      <c r="B11" s="106" t="str">
        <f>INDEX(Cadastro_Mantimentos[[#All],[Colunas4]],MATCH(ROW()-5,Cadastro_Mantimentos[[#All],[Colunas2]],0))</f>
        <v>Adoçante</v>
      </c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11">
        <f ca="1">IF(Configurações!$G$10="Ligado",SUMIFS(C11:AH11,$C$4:$AH$4,"&lt;="&amp;Configurações!$C$5,$C$4:$AH$4,"&lt;="&amp;$AI$3),"")</f>
        <v>0</v>
      </c>
      <c r="AJ11" s="112" t="str">
        <f ca="1">IF(Configurações!$G$12="Ligado",IF(AI11&lt;=0,"Vazio",IF(Configurações!$G$11="Dia",IF(C11="",BAIXAS!AI11/(Configurações!$C$5),BAIXAS!AI11/(Configurações!$C$5+1)),BAIXAS!AI11/BAIXAS!A11)),"")</f>
        <v>Vazio</v>
      </c>
    </row>
    <row r="12" spans="1:37" ht="21">
      <c r="A12" s="91">
        <f ca="1">COUNT(INDEX($C:$AH,ROW(),1):INDEX($C:$AH,ROW(),$AI$3+1))</f>
        <v>6</v>
      </c>
      <c r="B12" s="106" t="str">
        <f>INDEX(Cadastro_Mantimentos[[#All],[Colunas4]],MATCH(ROW()-5,Cadastro_Mantimentos[[#All],[Colunas2]],0))</f>
        <v>Alho</v>
      </c>
      <c r="C12" s="193"/>
      <c r="D12" s="193"/>
      <c r="E12" s="193">
        <v>2</v>
      </c>
      <c r="F12" s="193"/>
      <c r="G12" s="193"/>
      <c r="H12" s="193">
        <v>2</v>
      </c>
      <c r="I12" s="193">
        <v>2</v>
      </c>
      <c r="J12" s="193"/>
      <c r="K12" s="193"/>
      <c r="L12" s="193">
        <v>2</v>
      </c>
      <c r="M12" s="193">
        <v>2</v>
      </c>
      <c r="N12" s="193"/>
      <c r="O12" s="193">
        <v>3</v>
      </c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11">
        <f ca="1">IF(Configurações!$G$10="Ligado",SUMIFS(C12:AH12,$C$4:$AH$4,"&lt;="&amp;Configurações!$C$5,$C$4:$AH$4,"&lt;="&amp;$AI$3),"")</f>
        <v>13</v>
      </c>
      <c r="AJ12" s="112">
        <f ca="1">IF(Configurações!$G$12="Ligado",IF(AI12&lt;=0,"Vazio",IF(Configurações!$G$11="Dia",IF(C12="",BAIXAS!AI12/(Configurações!$C$5),BAIXAS!AI12/(Configurações!$C$5+1)),BAIXAS!AI12/BAIXAS!A12)),"")</f>
        <v>0.54166666666666663</v>
      </c>
    </row>
    <row r="13" spans="1:37" ht="21">
      <c r="A13" s="91">
        <f ca="1">COUNT(INDEX($C:$AH,ROW(),1):INDEX($C:$AH,ROW(),$AI$3+1))</f>
        <v>1</v>
      </c>
      <c r="B13" s="106" t="str">
        <f>INDEX(Cadastro_Mantimentos[[#All],[Colunas4]],MATCH(ROW()-5,Cadastro_Mantimentos[[#All],[Colunas2]],0))</f>
        <v>Amaciante</v>
      </c>
      <c r="C13" s="193"/>
      <c r="D13" s="193"/>
      <c r="E13" s="193"/>
      <c r="F13" s="193">
        <v>1</v>
      </c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11">
        <f ca="1">IF(Configurações!$G$10="Ligado",SUMIFS(C13:AH13,$C$4:$AH$4,"&lt;="&amp;Configurações!$C$5,$C$4:$AH$4,"&lt;="&amp;$AI$3),"")</f>
        <v>1</v>
      </c>
      <c r="AJ13" s="112">
        <f ca="1">IF(Configurações!$G$12="Ligado",IF(AI13&lt;=0,"Vazio",IF(Configurações!$G$11="Dia",IF(C13="",BAIXAS!AI13/(Configurações!$C$5),BAIXAS!AI13/(Configurações!$C$5+1)),BAIXAS!AI13/BAIXAS!A13)),"")</f>
        <v>4.1666666666666664E-2</v>
      </c>
    </row>
    <row r="14" spans="1:37" ht="21">
      <c r="A14" s="91">
        <f ca="1">COUNT(INDEX($C:$AH,ROW(),1):INDEX($C:$AH,ROW(),$AI$3+1))</f>
        <v>1</v>
      </c>
      <c r="B14" s="106" t="str">
        <f>INDEX(Cadastro_Mantimentos[[#All],[Colunas4]],MATCH(ROW()-5,Cadastro_Mantimentos[[#All],[Colunas2]],0))</f>
        <v>Ameixa</v>
      </c>
      <c r="C14" s="193"/>
      <c r="D14" s="193"/>
      <c r="E14" s="193"/>
      <c r="F14" s="193"/>
      <c r="G14" s="193"/>
      <c r="H14" s="193">
        <v>1</v>
      </c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  <c r="AF14" s="193"/>
      <c r="AG14" s="193"/>
      <c r="AH14" s="193"/>
      <c r="AI14" s="111">
        <f ca="1">IF(Configurações!$G$10="Ligado",SUMIFS(C14:AH14,$C$4:$AH$4,"&lt;="&amp;Configurações!$C$5,$C$4:$AH$4,"&lt;="&amp;$AI$3),"")</f>
        <v>1</v>
      </c>
      <c r="AJ14" s="112">
        <f ca="1">IF(Configurações!$G$12="Ligado",IF(AI14&lt;=0,"Vazio",IF(Configurações!$G$11="Dia",IF(C14="",BAIXAS!AI14/(Configurações!$C$5),BAIXAS!AI14/(Configurações!$C$5+1)),BAIXAS!AI14/BAIXAS!A14)),"")</f>
        <v>4.1666666666666664E-2</v>
      </c>
    </row>
    <row r="15" spans="1:37" ht="21">
      <c r="A15" s="91">
        <f ca="1">COUNT(INDEX($C:$AH,ROW(),1):INDEX($C:$AH,ROW(),$AI$3+1))</f>
        <v>0</v>
      </c>
      <c r="B15" s="106" t="str">
        <f>INDEX(Cadastro_Mantimentos[[#All],[Colunas4]],MATCH(ROW()-5,Cadastro_Mantimentos[[#All],[Colunas2]],0))</f>
        <v>Amendoa sem casca</v>
      </c>
      <c r="C15" s="193"/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  <c r="O15" s="193"/>
      <c r="P15" s="193"/>
      <c r="Q15" s="193"/>
      <c r="R15" s="193"/>
      <c r="S15" s="193"/>
      <c r="T15" s="193"/>
      <c r="U15" s="193"/>
      <c r="V15" s="193"/>
      <c r="W15" s="193"/>
      <c r="X15" s="193"/>
      <c r="Y15" s="193"/>
      <c r="Z15" s="193"/>
      <c r="AA15" s="193"/>
      <c r="AB15" s="193"/>
      <c r="AC15" s="193"/>
      <c r="AD15" s="193"/>
      <c r="AE15" s="193"/>
      <c r="AF15" s="193"/>
      <c r="AG15" s="193"/>
      <c r="AH15" s="193"/>
      <c r="AI15" s="111">
        <f ca="1">IF(Configurações!$G$10="Ligado",SUMIFS(C15:AH15,$C$4:$AH$4,"&lt;="&amp;Configurações!$C$5,$C$4:$AH$4,"&lt;="&amp;$AI$3),"")</f>
        <v>0</v>
      </c>
      <c r="AJ15" s="112" t="str">
        <f ca="1">IF(Configurações!$G$12="Ligado",IF(AI15&lt;=0,"Vazio",IF(Configurações!$G$11="Dia",IF(C15="",BAIXAS!AI15/(Configurações!$C$5),BAIXAS!AI15/(Configurações!$C$5+1)),BAIXAS!AI15/BAIXAS!A15)),"")</f>
        <v>Vazio</v>
      </c>
    </row>
    <row r="16" spans="1:37" ht="21">
      <c r="A16" s="91">
        <f ca="1">COUNT(INDEX($C:$AH,ROW(),1):INDEX($C:$AH,ROW(),$AI$3+1))</f>
        <v>0</v>
      </c>
      <c r="B16" s="106" t="str">
        <f>INDEX(Cadastro_Mantimentos[[#All],[Colunas4]],MATCH(ROW()-5,Cadastro_Mantimentos[[#All],[Colunas2]],0))</f>
        <v>Amendoin</v>
      </c>
      <c r="C16" s="193"/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193"/>
      <c r="V16" s="193"/>
      <c r="W16" s="193"/>
      <c r="X16" s="193"/>
      <c r="Y16" s="193"/>
      <c r="Z16" s="193"/>
      <c r="AA16" s="193"/>
      <c r="AB16" s="193"/>
      <c r="AC16" s="193"/>
      <c r="AD16" s="193"/>
      <c r="AE16" s="193"/>
      <c r="AF16" s="193"/>
      <c r="AG16" s="193"/>
      <c r="AH16" s="193"/>
      <c r="AI16" s="111">
        <f ca="1">IF(Configurações!$G$10="Ligado",SUMIFS(C16:AH16,$C$4:$AH$4,"&lt;="&amp;Configurações!$C$5,$C$4:$AH$4,"&lt;="&amp;$AI$3),"")</f>
        <v>0</v>
      </c>
      <c r="AJ16" s="112" t="str">
        <f ca="1">IF(Configurações!$G$12="Ligado",IF(AI16&lt;=0,"Vazio",IF(Configurações!$G$11="Dia",IF(C16="",BAIXAS!AI16/(Configurações!$C$5),BAIXAS!AI16/(Configurações!$C$5+1)),BAIXAS!AI16/BAIXAS!A16)),"")</f>
        <v>Vazio</v>
      </c>
    </row>
    <row r="17" spans="1:36" ht="21">
      <c r="A17" s="91">
        <f ca="1">COUNT(INDEX($C:$AH,ROW(),1):INDEX($C:$AH,ROW(),$AI$3+1))</f>
        <v>3</v>
      </c>
      <c r="B17" s="106" t="str">
        <f>INDEX(Cadastro_Mantimentos[[#All],[Colunas4]],MATCH(ROW()-5,Cadastro_Mantimentos[[#All],[Colunas2]],0))</f>
        <v>Amido De Milho</v>
      </c>
      <c r="C17" s="193"/>
      <c r="D17" s="193"/>
      <c r="E17" s="193"/>
      <c r="F17" s="193"/>
      <c r="G17" s="193"/>
      <c r="H17" s="193">
        <v>1</v>
      </c>
      <c r="I17" s="193"/>
      <c r="J17" s="193"/>
      <c r="K17" s="193"/>
      <c r="L17" s="193"/>
      <c r="M17" s="193"/>
      <c r="N17" s="193">
        <v>1</v>
      </c>
      <c r="O17" s="193"/>
      <c r="P17" s="193"/>
      <c r="Q17" s="193"/>
      <c r="R17" s="193"/>
      <c r="S17" s="193"/>
      <c r="T17" s="193"/>
      <c r="U17" s="193">
        <v>6</v>
      </c>
      <c r="V17" s="193"/>
      <c r="W17" s="193"/>
      <c r="X17" s="193"/>
      <c r="Y17" s="193"/>
      <c r="Z17" s="193"/>
      <c r="AA17" s="193"/>
      <c r="AB17" s="193"/>
      <c r="AC17" s="193"/>
      <c r="AD17" s="193"/>
      <c r="AE17" s="193"/>
      <c r="AF17" s="193"/>
      <c r="AG17" s="193"/>
      <c r="AH17" s="193"/>
      <c r="AI17" s="111">
        <f ca="1">IF(Configurações!$G$10="Ligado",SUMIFS(C17:AH17,$C$4:$AH$4,"&lt;="&amp;Configurações!$C$5,$C$4:$AH$4,"&lt;="&amp;$AI$3),"")</f>
        <v>8</v>
      </c>
      <c r="AJ17" s="112">
        <f ca="1">IF(Configurações!$G$12="Ligado",IF(AI17&lt;=0,"Vazio",IF(Configurações!$G$11="Dia",IF(C17="",BAIXAS!AI17/(Configurações!$C$5),BAIXAS!AI17/(Configurações!$C$5+1)),BAIXAS!AI17/BAIXAS!A17)),"")</f>
        <v>0.33333333333333331</v>
      </c>
    </row>
    <row r="18" spans="1:36" ht="21">
      <c r="A18" s="91">
        <f ca="1">COUNT(INDEX($C:$AH,ROW(),1):INDEX($C:$AH,ROW(),$AI$3+1))</f>
        <v>15</v>
      </c>
      <c r="B18" s="106" t="str">
        <f>INDEX(Cadastro_Mantimentos[[#All],[Colunas4]],MATCH(ROW()-5,Cadastro_Mantimentos[[#All],[Colunas2]],0))</f>
        <v>Arroz</v>
      </c>
      <c r="C18" s="193"/>
      <c r="D18" s="193"/>
      <c r="E18" s="193">
        <v>5</v>
      </c>
      <c r="F18" s="193">
        <v>5</v>
      </c>
      <c r="G18" s="193">
        <v>10</v>
      </c>
      <c r="H18" s="193">
        <v>5</v>
      </c>
      <c r="I18" s="193">
        <v>5</v>
      </c>
      <c r="J18" s="193"/>
      <c r="K18" s="193"/>
      <c r="L18" s="193">
        <v>5</v>
      </c>
      <c r="M18" s="193">
        <v>5</v>
      </c>
      <c r="N18" s="193">
        <v>5</v>
      </c>
      <c r="O18" s="193">
        <v>10</v>
      </c>
      <c r="P18" s="193">
        <v>10</v>
      </c>
      <c r="Q18" s="193"/>
      <c r="R18" s="193">
        <v>5</v>
      </c>
      <c r="S18" s="193"/>
      <c r="T18" s="193">
        <v>5</v>
      </c>
      <c r="U18" s="193"/>
      <c r="V18" s="193">
        <v>5</v>
      </c>
      <c r="W18" s="193"/>
      <c r="X18" s="193"/>
      <c r="Y18" s="193"/>
      <c r="Z18" s="193">
        <v>10</v>
      </c>
      <c r="AA18" s="193">
        <v>10</v>
      </c>
      <c r="AB18" s="193"/>
      <c r="AC18" s="193"/>
      <c r="AD18" s="193"/>
      <c r="AE18" s="193"/>
      <c r="AF18" s="193"/>
      <c r="AG18" s="193"/>
      <c r="AH18" s="193"/>
      <c r="AI18" s="111">
        <f ca="1">IF(Configurações!$G$10="Ligado",SUMIFS(C18:AH18,$C$4:$AH$4,"&lt;="&amp;Configurações!$C$5,$C$4:$AH$4,"&lt;="&amp;$AI$3),"")</f>
        <v>100</v>
      </c>
      <c r="AJ18" s="112">
        <f ca="1">IF(Configurações!$G$12="Ligado",IF(AI18&lt;=0,"Vazio",IF(Configurações!$G$11="Dia",IF(C18="",BAIXAS!AI18/(Configurações!$C$5),BAIXAS!AI18/(Configurações!$C$5+1)),BAIXAS!AI18/BAIXAS!A18)),"")</f>
        <v>4.166666666666667</v>
      </c>
    </row>
    <row r="19" spans="1:36" ht="21">
      <c r="A19" s="91">
        <f ca="1">COUNT(INDEX($C:$AH,ROW(),1):INDEX($C:$AH,ROW(),$AI$3+1))</f>
        <v>2</v>
      </c>
      <c r="B19" s="106" t="str">
        <f>INDEX(Cadastro_Mantimentos[[#All],[Colunas4]],MATCH(ROW()-5,Cadastro_Mantimentos[[#All],[Colunas2]],0))</f>
        <v>Atum</v>
      </c>
      <c r="C19" s="193"/>
      <c r="D19" s="193"/>
      <c r="E19" s="193"/>
      <c r="F19" s="193"/>
      <c r="G19" s="193">
        <v>0.8</v>
      </c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193"/>
      <c r="W19" s="193"/>
      <c r="X19" s="193"/>
      <c r="Y19" s="193"/>
      <c r="Z19" s="193"/>
      <c r="AA19" s="193">
        <v>1</v>
      </c>
      <c r="AB19" s="193"/>
      <c r="AC19" s="193"/>
      <c r="AD19" s="193"/>
      <c r="AE19" s="193"/>
      <c r="AF19" s="193"/>
      <c r="AG19" s="193"/>
      <c r="AH19" s="193"/>
      <c r="AI19" s="111">
        <f ca="1">IF(Configurações!$G$10="Ligado",SUMIFS(C19:AH19,$C$4:$AH$4,"&lt;="&amp;Configurações!$C$5,$C$4:$AH$4,"&lt;="&amp;$AI$3),"")</f>
        <v>1.8</v>
      </c>
      <c r="AJ19" s="112">
        <f ca="1">IF(Configurações!$G$12="Ligado",IF(AI19&lt;=0,"Vazio",IF(Configurações!$G$11="Dia",IF(C19="",BAIXAS!AI19/(Configurações!$C$5),BAIXAS!AI19/(Configurações!$C$5+1)),BAIXAS!AI19/BAIXAS!A19)),"")</f>
        <v>7.4999999999999997E-2</v>
      </c>
    </row>
    <row r="20" spans="1:36" ht="21">
      <c r="A20" s="91">
        <f ca="1">COUNT(INDEX($C:$AH,ROW(),1):INDEX($C:$AH,ROW(),$AI$3+1))</f>
        <v>1</v>
      </c>
      <c r="B20" s="106" t="str">
        <f>INDEX(Cadastro_Mantimentos[[#All],[Colunas4]],MATCH(ROW()-5,Cadastro_Mantimentos[[#All],[Colunas2]],0))</f>
        <v>Azeite</v>
      </c>
      <c r="C20" s="193"/>
      <c r="D20" s="193"/>
      <c r="E20" s="193">
        <v>1.5</v>
      </c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193"/>
      <c r="V20" s="193"/>
      <c r="W20" s="193"/>
      <c r="X20" s="193"/>
      <c r="Y20" s="193"/>
      <c r="Z20" s="193"/>
      <c r="AA20" s="193"/>
      <c r="AB20" s="193"/>
      <c r="AC20" s="193"/>
      <c r="AD20" s="193"/>
      <c r="AE20" s="193"/>
      <c r="AF20" s="193"/>
      <c r="AG20" s="193"/>
      <c r="AH20" s="193"/>
      <c r="AI20" s="111">
        <f ca="1">IF(Configurações!$G$10="Ligado",SUMIFS(C20:AH20,$C$4:$AH$4,"&lt;="&amp;Configurações!$C$5,$C$4:$AH$4,"&lt;="&amp;$AI$3),"")</f>
        <v>1.5</v>
      </c>
      <c r="AJ20" s="112">
        <f ca="1">IF(Configurações!$G$12="Ligado",IF(AI20&lt;=0,"Vazio",IF(Configurações!$G$11="Dia",IF(C20="",BAIXAS!AI20/(Configurações!$C$5),BAIXAS!AI20/(Configurações!$C$5+1)),BAIXAS!AI20/BAIXAS!A20)),"")</f>
        <v>6.25E-2</v>
      </c>
    </row>
    <row r="21" spans="1:36" ht="21">
      <c r="A21" s="91">
        <f ca="1">COUNT(INDEX($C:$AH,ROW(),1):INDEX($C:$AH,ROW(),$AI$3+1))</f>
        <v>2</v>
      </c>
      <c r="B21" s="106" t="str">
        <f>INDEX(Cadastro_Mantimentos[[#All],[Colunas4]],MATCH(ROW()-5,Cadastro_Mantimentos[[#All],[Colunas2]],0))</f>
        <v>Azeitona Verde Fatiada</v>
      </c>
      <c r="C21" s="193"/>
      <c r="D21" s="193"/>
      <c r="E21" s="193"/>
      <c r="F21" s="193"/>
      <c r="G21" s="193"/>
      <c r="H21" s="193"/>
      <c r="I21" s="193">
        <v>3</v>
      </c>
      <c r="J21" s="193"/>
      <c r="K21" s="193"/>
      <c r="L21" s="193"/>
      <c r="M21" s="193"/>
      <c r="N21" s="193"/>
      <c r="O21" s="193"/>
      <c r="P21" s="193"/>
      <c r="Q21" s="193"/>
      <c r="R21" s="193"/>
      <c r="S21" s="193"/>
      <c r="T21" s="193"/>
      <c r="U21" s="193">
        <v>3</v>
      </c>
      <c r="V21" s="193"/>
      <c r="W21" s="193"/>
      <c r="X21" s="193"/>
      <c r="Y21" s="193"/>
      <c r="Z21" s="193"/>
      <c r="AA21" s="193"/>
      <c r="AB21" s="193"/>
      <c r="AC21" s="193"/>
      <c r="AD21" s="193"/>
      <c r="AE21" s="193"/>
      <c r="AF21" s="193"/>
      <c r="AG21" s="193"/>
      <c r="AH21" s="193"/>
      <c r="AI21" s="111">
        <f ca="1">IF(Configurações!$G$10="Ligado",SUMIFS(C21:AH21,$C$4:$AH$4,"&lt;="&amp;Configurações!$C$5,$C$4:$AH$4,"&lt;="&amp;$AI$3),"")</f>
        <v>6</v>
      </c>
      <c r="AJ21" s="112">
        <f ca="1">IF(Configurações!$G$12="Ligado",IF(AI21&lt;=0,"Vazio",IF(Configurações!$G$11="Dia",IF(C21="",BAIXAS!AI21/(Configurações!$C$5),BAIXAS!AI21/(Configurações!$C$5+1)),BAIXAS!AI21/BAIXAS!A21)),"")</f>
        <v>0.25</v>
      </c>
    </row>
    <row r="22" spans="1:36" ht="21">
      <c r="A22" s="91">
        <f ca="1">COUNT(INDEX($C:$AH,ROW(),1):INDEX($C:$AH,ROW(),$AI$3+1))</f>
        <v>1</v>
      </c>
      <c r="B22" s="106" t="str">
        <f>INDEX(Cadastro_Mantimentos[[#All],[Colunas4]],MATCH(ROW()-5,Cadastro_Mantimentos[[#All],[Colunas2]],0))</f>
        <v>Batata Chips</v>
      </c>
      <c r="C22" s="193"/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193"/>
      <c r="V22" s="193"/>
      <c r="W22" s="193"/>
      <c r="X22" s="193"/>
      <c r="Y22" s="193"/>
      <c r="Z22" s="193"/>
      <c r="AA22" s="193">
        <v>1</v>
      </c>
      <c r="AB22" s="193"/>
      <c r="AC22" s="193"/>
      <c r="AD22" s="193"/>
      <c r="AE22" s="193"/>
      <c r="AF22" s="193"/>
      <c r="AG22" s="193"/>
      <c r="AH22" s="193"/>
      <c r="AI22" s="111">
        <f ca="1">IF(Configurações!$G$10="Ligado",SUMIFS(C22:AH22,$C$4:$AH$4,"&lt;="&amp;Configurações!$C$5,$C$4:$AH$4,"&lt;="&amp;$AI$3),"")</f>
        <v>1</v>
      </c>
      <c r="AJ22" s="112">
        <f ca="1">IF(Configurações!$G$12="Ligado",IF(AI22&lt;=0,"Vazio",IF(Configurações!$G$11="Dia",IF(C22="",BAIXAS!AI22/(Configurações!$C$5),BAIXAS!AI22/(Configurações!$C$5+1)),BAIXAS!AI22/BAIXAS!A22)),"")</f>
        <v>4.1666666666666664E-2</v>
      </c>
    </row>
    <row r="23" spans="1:36" ht="21">
      <c r="A23" s="91">
        <f ca="1">COUNT(INDEX($C:$AH,ROW(),1):INDEX($C:$AH,ROW(),$AI$3+1))</f>
        <v>2</v>
      </c>
      <c r="B23" s="106" t="str">
        <f>INDEX(Cadastro_Mantimentos[[#All],[Colunas4]],MATCH(ROW()-5,Cadastro_Mantimentos[[#All],[Colunas2]],0))</f>
        <v>Batata Palha</v>
      </c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>
        <v>0.5</v>
      </c>
      <c r="O23" s="193"/>
      <c r="P23" s="193"/>
      <c r="Q23" s="193"/>
      <c r="R23" s="193"/>
      <c r="S23" s="193"/>
      <c r="T23" s="193"/>
      <c r="U23" s="193"/>
      <c r="V23" s="193">
        <v>1.5</v>
      </c>
      <c r="W23" s="193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11">
        <f ca="1">IF(Configurações!$G$10="Ligado",SUMIFS(C23:AH23,$C$4:$AH$4,"&lt;="&amp;Configurações!$C$5,$C$4:$AH$4,"&lt;="&amp;$AI$3),"")</f>
        <v>2</v>
      </c>
      <c r="AJ23" s="112">
        <f ca="1">IF(Configurações!$G$12="Ligado",IF(AI23&lt;=0,"Vazio",IF(Configurações!$G$11="Dia",IF(C23="",BAIXAS!AI23/(Configurações!$C$5),BAIXAS!AI23/(Configurações!$C$5+1)),BAIXAS!AI23/BAIXAS!A23)),"")</f>
        <v>8.3333333333333329E-2</v>
      </c>
    </row>
    <row r="24" spans="1:36" ht="21">
      <c r="A24" s="91">
        <f ca="1">COUNT(INDEX($C:$AH,ROW(),1):INDEX($C:$AH,ROW(),$AI$3+1))</f>
        <v>3</v>
      </c>
      <c r="B24" s="106" t="str">
        <f>INDEX(Cadastro_Mantimentos[[#All],[Colunas4]],MATCH(ROW()-5,Cadastro_Mantimentos[[#All],[Colunas2]],0))</f>
        <v>Batata Palito</v>
      </c>
      <c r="C24" s="193"/>
      <c r="D24" s="193"/>
      <c r="E24" s="193"/>
      <c r="F24" s="193">
        <v>10</v>
      </c>
      <c r="G24" s="193"/>
      <c r="H24" s="193"/>
      <c r="I24" s="193"/>
      <c r="J24" s="193"/>
      <c r="K24" s="193"/>
      <c r="L24" s="193"/>
      <c r="M24" s="193"/>
      <c r="N24" s="193">
        <v>10</v>
      </c>
      <c r="O24" s="193"/>
      <c r="P24" s="193"/>
      <c r="Q24" s="193"/>
      <c r="R24" s="193"/>
      <c r="S24" s="193"/>
      <c r="T24" s="193"/>
      <c r="U24" s="193"/>
      <c r="V24" s="193"/>
      <c r="W24" s="193"/>
      <c r="X24" s="193"/>
      <c r="Y24" s="193"/>
      <c r="Z24" s="193"/>
      <c r="AA24" s="193">
        <v>8</v>
      </c>
      <c r="AB24" s="193"/>
      <c r="AC24" s="193"/>
      <c r="AD24" s="193"/>
      <c r="AE24" s="193"/>
      <c r="AF24" s="193"/>
      <c r="AG24" s="193"/>
      <c r="AH24" s="193"/>
      <c r="AI24" s="111">
        <f ca="1">IF(Configurações!$G$10="Ligado",SUMIFS(C24:AH24,$C$4:$AH$4,"&lt;="&amp;Configurações!$C$5,$C$4:$AH$4,"&lt;="&amp;$AI$3),"")</f>
        <v>28</v>
      </c>
      <c r="AJ24" s="112">
        <f ca="1">IF(Configurações!$G$12="Ligado",IF(AI24&lt;=0,"Vazio",IF(Configurações!$G$11="Dia",IF(C24="",BAIXAS!AI24/(Configurações!$C$5),BAIXAS!AI24/(Configurações!$C$5+1)),BAIXAS!AI24/BAIXAS!A24)),"")</f>
        <v>1.1666666666666667</v>
      </c>
    </row>
    <row r="25" spans="1:36" ht="21">
      <c r="A25" s="91">
        <f ca="1">COUNT(INDEX($C:$AH,ROW(),1):INDEX($C:$AH,ROW(),$AI$3+1))</f>
        <v>2</v>
      </c>
      <c r="B25" s="106" t="str">
        <f>INDEX(Cadastro_Mantimentos[[#All],[Colunas4]],MATCH(ROW()-5,Cadastro_Mantimentos[[#All],[Colunas2]],0))</f>
        <v>Bolacha Champagne</v>
      </c>
      <c r="C25" s="193"/>
      <c r="D25" s="193"/>
      <c r="E25" s="193"/>
      <c r="F25" s="193"/>
      <c r="G25" s="193"/>
      <c r="H25" s="193"/>
      <c r="I25" s="193"/>
      <c r="J25" s="193"/>
      <c r="K25" s="193"/>
      <c r="L25" s="193"/>
      <c r="M25" s="193"/>
      <c r="N25" s="193">
        <v>19</v>
      </c>
      <c r="O25" s="193"/>
      <c r="P25" s="193"/>
      <c r="Q25" s="193"/>
      <c r="R25" s="193"/>
      <c r="S25" s="193"/>
      <c r="T25" s="193"/>
      <c r="U25" s="193"/>
      <c r="V25" s="193"/>
      <c r="W25" s="193"/>
      <c r="X25" s="193"/>
      <c r="Y25" s="193"/>
      <c r="Z25" s="193"/>
      <c r="AA25" s="193">
        <v>5</v>
      </c>
      <c r="AB25" s="193"/>
      <c r="AC25" s="193"/>
      <c r="AD25" s="193"/>
      <c r="AE25" s="193"/>
      <c r="AF25" s="193"/>
      <c r="AG25" s="193"/>
      <c r="AH25" s="193"/>
      <c r="AI25" s="111">
        <f ca="1">IF(Configurações!$G$10="Ligado",SUMIFS(C25:AH25,$C$4:$AH$4,"&lt;="&amp;Configurações!$C$5,$C$4:$AH$4,"&lt;="&amp;$AI$3),"")</f>
        <v>24</v>
      </c>
      <c r="AJ25" s="112">
        <f ca="1">IF(Configurações!$G$12="Ligado",IF(AI25&lt;=0,"Vazio",IF(Configurações!$G$11="Dia",IF(C25="",BAIXAS!AI25/(Configurações!$C$5),BAIXAS!AI25/(Configurações!$C$5+1)),BAIXAS!AI25/BAIXAS!A25)),"")</f>
        <v>1</v>
      </c>
    </row>
    <row r="26" spans="1:36" ht="21">
      <c r="A26" s="91">
        <f ca="1">COUNT(INDEX($C:$AH,ROW(),1):INDEX($C:$AH,ROW(),$AI$3+1))</f>
        <v>2</v>
      </c>
      <c r="B26" s="106" t="str">
        <f>INDEX(Cadastro_Mantimentos[[#All],[Colunas4]],MATCH(ROW()-5,Cadastro_Mantimentos[[#All],[Colunas2]],0))</f>
        <v>Bolacha Salgada</v>
      </c>
      <c r="C26" s="193"/>
      <c r="D26" s="193"/>
      <c r="E26" s="193">
        <v>1</v>
      </c>
      <c r="F26" s="193"/>
      <c r="G26" s="193"/>
      <c r="H26" s="193"/>
      <c r="I26" s="193"/>
      <c r="J26" s="193"/>
      <c r="K26" s="193"/>
      <c r="L26" s="193"/>
      <c r="M26" s="193"/>
      <c r="N26" s="193">
        <v>1</v>
      </c>
      <c r="O26" s="193"/>
      <c r="P26" s="193"/>
      <c r="Q26" s="193"/>
      <c r="R26" s="193"/>
      <c r="S26" s="193"/>
      <c r="T26" s="193"/>
      <c r="U26" s="193"/>
      <c r="V26" s="193"/>
      <c r="W26" s="193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11">
        <f ca="1">IF(Configurações!$G$10="Ligado",SUMIFS(C26:AH26,$C$4:$AH$4,"&lt;="&amp;Configurações!$C$5,$C$4:$AH$4,"&lt;="&amp;$AI$3),"")</f>
        <v>2</v>
      </c>
      <c r="AJ26" s="112">
        <f ca="1">IF(Configurações!$G$12="Ligado",IF(AI26&lt;=0,"Vazio",IF(Configurações!$G$11="Dia",IF(C26="",BAIXAS!AI26/(Configurações!$C$5),BAIXAS!AI26/(Configurações!$C$5+1)),BAIXAS!AI26/BAIXAS!A26)),"")</f>
        <v>8.3333333333333329E-2</v>
      </c>
    </row>
    <row r="27" spans="1:36" ht="21">
      <c r="A27" s="91">
        <f ca="1">COUNT(INDEX($C:$AH,ROW(),1):INDEX($C:$AH,ROW(),$AI$3+1))</f>
        <v>12</v>
      </c>
      <c r="B27" s="106" t="str">
        <f>INDEX(Cadastro_Mantimentos[[#All],[Colunas4]],MATCH(ROW()-5,Cadastro_Mantimentos[[#All],[Colunas2]],0))</f>
        <v>Café</v>
      </c>
      <c r="C27" s="193"/>
      <c r="D27" s="193"/>
      <c r="E27" s="193">
        <v>1</v>
      </c>
      <c r="F27" s="193"/>
      <c r="G27" s="193">
        <v>1</v>
      </c>
      <c r="H27" s="193">
        <v>1</v>
      </c>
      <c r="I27" s="193">
        <v>0.5</v>
      </c>
      <c r="J27" s="193"/>
      <c r="K27" s="193"/>
      <c r="L27" s="193">
        <v>1</v>
      </c>
      <c r="M27" s="193"/>
      <c r="N27" s="193">
        <v>1</v>
      </c>
      <c r="O27" s="193">
        <v>2</v>
      </c>
      <c r="P27" s="193">
        <v>2</v>
      </c>
      <c r="Q27" s="193">
        <v>1</v>
      </c>
      <c r="R27" s="193"/>
      <c r="S27" s="193"/>
      <c r="T27" s="193">
        <v>1</v>
      </c>
      <c r="U27" s="193">
        <v>0.5</v>
      </c>
      <c r="V27" s="193">
        <v>2</v>
      </c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  <c r="AH27" s="193"/>
      <c r="AI27" s="111">
        <f ca="1">IF(Configurações!$G$10="Ligado",SUMIFS(C27:AH27,$C$4:$AH$4,"&lt;="&amp;Configurações!$C$5,$C$4:$AH$4,"&lt;="&amp;$AI$3),"")</f>
        <v>14</v>
      </c>
      <c r="AJ27" s="112">
        <f ca="1">IF(Configurações!$G$12="Ligado",IF(AI27&lt;=0,"Vazio",IF(Configurações!$G$11="Dia",IF(C27="",BAIXAS!AI27/(Configurações!$C$5),BAIXAS!AI27/(Configurações!$C$5+1)),BAIXAS!AI27/BAIXAS!A27)),"")</f>
        <v>0.58333333333333337</v>
      </c>
    </row>
    <row r="28" spans="1:36" ht="21">
      <c r="A28" s="91">
        <f ca="1">COUNT(INDEX($C:$AH,ROW(),1):INDEX($C:$AH,ROW(),$AI$3+1))</f>
        <v>3</v>
      </c>
      <c r="B28" s="106" t="str">
        <f>INDEX(Cadastro_Mantimentos[[#All],[Colunas4]],MATCH(ROW()-5,Cadastro_Mantimentos[[#All],[Colunas2]],0))</f>
        <v>Caldo De Carne</v>
      </c>
      <c r="C28" s="193"/>
      <c r="D28" s="193"/>
      <c r="E28" s="193">
        <v>1</v>
      </c>
      <c r="F28" s="193"/>
      <c r="G28" s="193"/>
      <c r="H28" s="193"/>
      <c r="I28" s="193"/>
      <c r="J28" s="193"/>
      <c r="K28" s="193"/>
      <c r="L28" s="193"/>
      <c r="M28" s="193"/>
      <c r="N28" s="193"/>
      <c r="O28" s="193">
        <v>1</v>
      </c>
      <c r="P28" s="193"/>
      <c r="Q28" s="193"/>
      <c r="R28" s="193"/>
      <c r="S28" s="193"/>
      <c r="T28" s="193"/>
      <c r="U28" s="193">
        <v>1</v>
      </c>
      <c r="V28" s="193"/>
      <c r="W28" s="193"/>
      <c r="X28" s="193"/>
      <c r="Y28" s="193"/>
      <c r="Z28" s="193"/>
      <c r="AA28" s="193"/>
      <c r="AB28" s="193"/>
      <c r="AC28" s="193"/>
      <c r="AD28" s="193"/>
      <c r="AE28" s="193"/>
      <c r="AF28" s="193"/>
      <c r="AG28" s="193"/>
      <c r="AH28" s="193"/>
      <c r="AI28" s="111">
        <f ca="1">IF(Configurações!$G$10="Ligado",SUMIFS(C28:AH28,$C$4:$AH$4,"&lt;="&amp;Configurações!$C$5,$C$4:$AH$4,"&lt;="&amp;$AI$3),"")</f>
        <v>3</v>
      </c>
      <c r="AJ28" s="112">
        <f ca="1">IF(Configurações!$G$12="Ligado",IF(AI28&lt;=0,"Vazio",IF(Configurações!$G$11="Dia",IF(C28="",BAIXAS!AI28/(Configurações!$C$5),BAIXAS!AI28/(Configurações!$C$5+1)),BAIXAS!AI28/BAIXAS!A28)),"")</f>
        <v>0.125</v>
      </c>
    </row>
    <row r="29" spans="1:36" ht="21">
      <c r="A29" s="91">
        <f ca="1">COUNT(INDEX($C:$AH,ROW(),1):INDEX($C:$AH,ROW(),$AI$3+1))</f>
        <v>2</v>
      </c>
      <c r="B29" s="106" t="str">
        <f>INDEX(Cadastro_Mantimentos[[#All],[Colunas4]],MATCH(ROW()-5,Cadastro_Mantimentos[[#All],[Colunas2]],0))</f>
        <v>Caldo De Legumes</v>
      </c>
      <c r="C29" s="193"/>
      <c r="D29" s="193"/>
      <c r="E29" s="193"/>
      <c r="F29" s="193">
        <v>1</v>
      </c>
      <c r="G29" s="193"/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>
        <v>1</v>
      </c>
      <c r="AB29" s="193"/>
      <c r="AC29" s="193"/>
      <c r="AD29" s="193"/>
      <c r="AE29" s="193"/>
      <c r="AF29" s="193"/>
      <c r="AG29" s="193"/>
      <c r="AH29" s="193"/>
      <c r="AI29" s="111">
        <f ca="1">IF(Configurações!$G$10="Ligado",SUMIFS(C29:AH29,$C$4:$AH$4,"&lt;="&amp;Configurações!$C$5,$C$4:$AH$4,"&lt;="&amp;$AI$3),"")</f>
        <v>2</v>
      </c>
      <c r="AJ29" s="112">
        <f ca="1">IF(Configurações!$G$12="Ligado",IF(AI29&lt;=0,"Vazio",IF(Configurações!$G$11="Dia",IF(C29="",BAIXAS!AI29/(Configurações!$C$5),BAIXAS!AI29/(Configurações!$C$5+1)),BAIXAS!AI29/BAIXAS!A29)),"")</f>
        <v>8.3333333333333329E-2</v>
      </c>
    </row>
    <row r="30" spans="1:36" ht="21">
      <c r="A30" s="91">
        <f ca="1">COUNT(INDEX($C:$AH,ROW(),1):INDEX($C:$AH,ROW(),$AI$3+1))</f>
        <v>0</v>
      </c>
      <c r="B30" s="106" t="str">
        <f>INDEX(Cadastro_Mantimentos[[#All],[Colunas4]],MATCH(ROW()-5,Cadastro_Mantimentos[[#All],[Colunas2]],0))</f>
        <v xml:space="preserve">Caldo De Peixe </v>
      </c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  <c r="AF30" s="193"/>
      <c r="AG30" s="193"/>
      <c r="AH30" s="193"/>
      <c r="AI30" s="111">
        <f ca="1">IF(Configurações!$G$10="Ligado",SUMIFS(C30:AH30,$C$4:$AH$4,"&lt;="&amp;Configurações!$C$5,$C$4:$AH$4,"&lt;="&amp;$AI$3),"")</f>
        <v>0</v>
      </c>
      <c r="AJ30" s="112" t="str">
        <f ca="1">IF(Configurações!$G$12="Ligado",IF(AI30&lt;=0,"Vazio",IF(Configurações!$G$11="Dia",IF(C30="",BAIXAS!AI30/(Configurações!$C$5),BAIXAS!AI30/(Configurações!$C$5+1)),BAIXAS!AI30/BAIXAS!A30)),"")</f>
        <v>Vazio</v>
      </c>
    </row>
    <row r="31" spans="1:36" ht="21">
      <c r="A31" s="91">
        <f ca="1">COUNT(INDEX($C:$AH,ROW(),1):INDEX($C:$AH,ROW(),$AI$3+1))</f>
        <v>1</v>
      </c>
      <c r="B31" s="106" t="str">
        <f>INDEX(Cadastro_Mantimentos[[#All],[Colunas4]],MATCH(ROW()-5,Cadastro_Mantimentos[[#All],[Colunas2]],0))</f>
        <v>Caldo Galinha</v>
      </c>
      <c r="C31" s="193"/>
      <c r="D31" s="193"/>
      <c r="E31" s="193"/>
      <c r="F31" s="193">
        <v>1</v>
      </c>
      <c r="G31" s="193"/>
      <c r="H31" s="193"/>
      <c r="I31" s="193"/>
      <c r="J31" s="193"/>
      <c r="K31" s="193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11">
        <f ca="1">IF(Configurações!$G$10="Ligado",SUMIFS(C31:AH31,$C$4:$AH$4,"&lt;="&amp;Configurações!$C$5,$C$4:$AH$4,"&lt;="&amp;$AI$3),"")</f>
        <v>1</v>
      </c>
      <c r="AJ31" s="112">
        <f ca="1">IF(Configurações!$G$12="Ligado",IF(AI31&lt;=0,"Vazio",IF(Configurações!$G$11="Dia",IF(C31="",BAIXAS!AI31/(Configurações!$C$5),BAIXAS!AI31/(Configurações!$C$5+1)),BAIXAS!AI31/BAIXAS!A31)),"")</f>
        <v>4.1666666666666664E-2</v>
      </c>
    </row>
    <row r="32" spans="1:36" ht="21">
      <c r="A32" s="91">
        <f ca="1">COUNT(INDEX($C:$AH,ROW(),1):INDEX($C:$AH,ROW(),$AI$3+1))</f>
        <v>0</v>
      </c>
      <c r="B32" s="106" t="str">
        <f>INDEX(Cadastro_Mantimentos[[#All],[Colunas4]],MATCH(ROW()-5,Cadastro_Mantimentos[[#All],[Colunas2]],0))</f>
        <v>Canela Em Casca</v>
      </c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3"/>
      <c r="T32" s="193"/>
      <c r="U32" s="193"/>
      <c r="V32" s="193"/>
      <c r="W32" s="193"/>
      <c r="X32" s="193"/>
      <c r="Y32" s="193"/>
      <c r="Z32" s="193"/>
      <c r="AA32" s="193"/>
      <c r="AB32" s="193"/>
      <c r="AC32" s="193"/>
      <c r="AD32" s="193"/>
      <c r="AE32" s="193"/>
      <c r="AF32" s="193"/>
      <c r="AG32" s="193"/>
      <c r="AH32" s="193"/>
      <c r="AI32" s="111">
        <f ca="1">IF(Configurações!$G$10="Ligado",SUMIFS(C32:AH32,$C$4:$AH$4,"&lt;="&amp;Configurações!$C$5,$C$4:$AH$4,"&lt;="&amp;$AI$3),"")</f>
        <v>0</v>
      </c>
      <c r="AJ32" s="112" t="str">
        <f ca="1">IF(Configurações!$G$12="Ligado",IF(AI32&lt;=0,"Vazio",IF(Configurações!$G$11="Dia",IF(C32="",BAIXAS!AI32/(Configurações!$C$5),BAIXAS!AI32/(Configurações!$C$5+1)),BAIXAS!AI32/BAIXAS!A32)),"")</f>
        <v>Vazio</v>
      </c>
    </row>
    <row r="33" spans="1:36" ht="21">
      <c r="A33" s="91">
        <f ca="1">COUNT(INDEX($C:$AH,ROW(),1):INDEX($C:$AH,ROW(),$AI$3+1))</f>
        <v>1</v>
      </c>
      <c r="B33" s="106" t="str">
        <f>INDEX(Cadastro_Mantimentos[[#All],[Colunas4]],MATCH(ROW()-5,Cadastro_Mantimentos[[#All],[Colunas2]],0))</f>
        <v>Canela Em Pó</v>
      </c>
      <c r="C33" s="193"/>
      <c r="D33" s="193"/>
      <c r="E33" s="193">
        <v>0.5</v>
      </c>
      <c r="F33" s="193"/>
      <c r="G33" s="193"/>
      <c r="H33" s="193"/>
      <c r="I33" s="193"/>
      <c r="J33" s="193"/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11">
        <f ca="1">IF(Configurações!$G$10="Ligado",SUMIFS(C33:AH33,$C$4:$AH$4,"&lt;="&amp;Configurações!$C$5,$C$4:$AH$4,"&lt;="&amp;$AI$3),"")</f>
        <v>0.5</v>
      </c>
      <c r="AJ33" s="112">
        <f ca="1">IF(Configurações!$G$12="Ligado",IF(AI33&lt;=0,"Vazio",IF(Configurações!$G$11="Dia",IF(C33="",BAIXAS!AI33/(Configurações!$C$5),BAIXAS!AI33/(Configurações!$C$5+1)),BAIXAS!AI33/BAIXAS!A33)),"")</f>
        <v>2.0833333333333332E-2</v>
      </c>
    </row>
    <row r="34" spans="1:36" ht="21">
      <c r="A34" s="91">
        <f ca="1">COUNT(INDEX($C:$AH,ROW(),1):INDEX($C:$AH,ROW(),$AI$3+1))</f>
        <v>0</v>
      </c>
      <c r="B34" s="106" t="str">
        <f>INDEX(Cadastro_Mantimentos[[#All],[Colunas4]],MATCH(ROW()-5,Cadastro_Mantimentos[[#All],[Colunas2]],0))</f>
        <v>Canelone</v>
      </c>
      <c r="C34" s="193"/>
      <c r="D34" s="193"/>
      <c r="E34" s="193"/>
      <c r="F34" s="193"/>
      <c r="G34" s="193"/>
      <c r="H34" s="193"/>
      <c r="I34" s="193"/>
      <c r="J34" s="193"/>
      <c r="K34" s="193"/>
      <c r="L34" s="193"/>
      <c r="M34" s="193"/>
      <c r="N34" s="193"/>
      <c r="O34" s="193"/>
      <c r="P34" s="193"/>
      <c r="Q34" s="193"/>
      <c r="R34" s="193"/>
      <c r="S34" s="193"/>
      <c r="T34" s="193"/>
      <c r="U34" s="193"/>
      <c r="V34" s="193"/>
      <c r="W34" s="193"/>
      <c r="X34" s="193"/>
      <c r="Y34" s="193"/>
      <c r="Z34" s="193"/>
      <c r="AA34" s="193"/>
      <c r="AB34" s="193"/>
      <c r="AC34" s="193"/>
      <c r="AD34" s="193"/>
      <c r="AE34" s="193"/>
      <c r="AF34" s="193"/>
      <c r="AG34" s="193"/>
      <c r="AH34" s="193"/>
      <c r="AI34" s="111">
        <f ca="1">IF(Configurações!$G$10="Ligado",SUMIFS(C34:AH34,$C$4:$AH$4,"&lt;="&amp;Configurações!$C$5,$C$4:$AH$4,"&lt;="&amp;$AI$3),"")</f>
        <v>0</v>
      </c>
      <c r="AJ34" s="112" t="str">
        <f ca="1">IF(Configurações!$G$12="Ligado",IF(AI34&lt;=0,"Vazio",IF(Configurações!$G$11="Dia",IF(C34="",BAIXAS!AI34/(Configurações!$C$5),BAIXAS!AI34/(Configurações!$C$5+1)),BAIXAS!AI34/BAIXAS!A34)),"")</f>
        <v>Vazio</v>
      </c>
    </row>
    <row r="35" spans="1:36" ht="21">
      <c r="A35" s="91">
        <f ca="1">COUNT(INDEX($C:$AH,ROW(),1):INDEX($C:$AH,ROW(),$AI$3+1))</f>
        <v>0</v>
      </c>
      <c r="B35" s="106" t="str">
        <f>INDEX(Cadastro_Mantimentos[[#All],[Colunas4]],MATCH(ROW()-5,Cadastro_Mantimentos[[#All],[Colunas2]],0))</f>
        <v>Chá De Camomila</v>
      </c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11">
        <f ca="1">IF(Configurações!$G$10="Ligado",SUMIFS(C35:AH35,$C$4:$AH$4,"&lt;="&amp;Configurações!$C$5,$C$4:$AH$4,"&lt;="&amp;$AI$3),"")</f>
        <v>0</v>
      </c>
      <c r="AJ35" s="112" t="str">
        <f ca="1">IF(Configurações!$G$12="Ligado",IF(AI35&lt;=0,"Vazio",IF(Configurações!$G$11="Dia",IF(C35="",BAIXAS!AI35/(Configurações!$C$5),BAIXAS!AI35/(Configurações!$C$5+1)),BAIXAS!AI35/BAIXAS!A35)),"")</f>
        <v>Vazio</v>
      </c>
    </row>
    <row r="36" spans="1:36" ht="21">
      <c r="A36" s="91">
        <f ca="1">COUNT(INDEX($C:$AH,ROW(),1):INDEX($C:$AH,ROW(),$AI$3+1))</f>
        <v>0</v>
      </c>
      <c r="B36" s="106" t="str">
        <f>INDEX(Cadastro_Mantimentos[[#All],[Colunas4]],MATCH(ROW()-5,Cadastro_Mantimentos[[#All],[Colunas2]],0))</f>
        <v>Chá De Camomila</v>
      </c>
      <c r="C36" s="193"/>
      <c r="D36" s="193"/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193"/>
      <c r="Q36" s="193"/>
      <c r="R36" s="193"/>
      <c r="S36" s="193"/>
      <c r="T36" s="193"/>
      <c r="U36" s="193"/>
      <c r="V36" s="193"/>
      <c r="W36" s="193"/>
      <c r="X36" s="193"/>
      <c r="Y36" s="193"/>
      <c r="Z36" s="193"/>
      <c r="AA36" s="193"/>
      <c r="AB36" s="193"/>
      <c r="AC36" s="193"/>
      <c r="AD36" s="193"/>
      <c r="AE36" s="193"/>
      <c r="AF36" s="193"/>
      <c r="AG36" s="193"/>
      <c r="AH36" s="193"/>
      <c r="AI36" s="111">
        <f ca="1">IF(Configurações!$G$10="Ligado",SUMIFS(C36:AH36,$C$4:$AH$4,"&lt;="&amp;Configurações!$C$5,$C$4:$AH$4,"&lt;="&amp;$AI$3),"")</f>
        <v>0</v>
      </c>
      <c r="AJ36" s="112" t="str">
        <f ca="1">IF(Configurações!$G$12="Ligado",IF(AI36&lt;=0,"Vazio",IF(Configurações!$G$11="Dia",IF(C36="",BAIXAS!AI36/(Configurações!$C$5),BAIXAS!AI36/(Configurações!$C$5+1)),BAIXAS!AI36/BAIXAS!A36)),"")</f>
        <v>Vazio</v>
      </c>
    </row>
    <row r="37" spans="1:36" ht="21">
      <c r="A37" s="91">
        <f ca="1">COUNT(INDEX($C:$AH,ROW(),1):INDEX($C:$AH,ROW(),$AI$3+1))</f>
        <v>1</v>
      </c>
      <c r="B37" s="106" t="str">
        <f>INDEX(Cadastro_Mantimentos[[#All],[Colunas4]],MATCH(ROW()-5,Cadastro_Mantimentos[[#All],[Colunas2]],0))</f>
        <v>Chá De Erva Doce</v>
      </c>
      <c r="C37" s="193"/>
      <c r="D37" s="193"/>
      <c r="E37" s="193"/>
      <c r="F37" s="193">
        <v>0.2</v>
      </c>
      <c r="G37" s="193"/>
      <c r="H37" s="193"/>
      <c r="I37" s="193"/>
      <c r="J37" s="193"/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11">
        <f ca="1">IF(Configurações!$G$10="Ligado",SUMIFS(C37:AH37,$C$4:$AH$4,"&lt;="&amp;Configurações!$C$5,$C$4:$AH$4,"&lt;="&amp;$AI$3),"")</f>
        <v>0.2</v>
      </c>
      <c r="AJ37" s="112">
        <f ca="1">IF(Configurações!$G$12="Ligado",IF(AI37&lt;=0,"Vazio",IF(Configurações!$G$11="Dia",IF(C37="",BAIXAS!AI37/(Configurações!$C$5),BAIXAS!AI37/(Configurações!$C$5+1)),BAIXAS!AI37/BAIXAS!A37)),"")</f>
        <v>8.3333333333333332E-3</v>
      </c>
    </row>
    <row r="38" spans="1:36" ht="21">
      <c r="A38" s="91">
        <f ca="1">COUNT(INDEX($C:$AH,ROW(),1):INDEX($C:$AH,ROW(),$AI$3+1))</f>
        <v>0</v>
      </c>
      <c r="B38" s="106" t="str">
        <f>INDEX(Cadastro_Mantimentos[[#All],[Colunas4]],MATCH(ROW()-5,Cadastro_Mantimentos[[#All],[Colunas2]],0))</f>
        <v>Chá de Hibisco</v>
      </c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3"/>
      <c r="X38" s="193"/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111">
        <f ca="1">IF(Configurações!$G$10="Ligado",SUMIFS(C38:AH38,$C$4:$AH$4,"&lt;="&amp;Configurações!$C$5,$C$4:$AH$4,"&lt;="&amp;$AI$3),"")</f>
        <v>0</v>
      </c>
      <c r="AJ38" s="112" t="str">
        <f ca="1">IF(Configurações!$G$12="Ligado",IF(AI38&lt;=0,"Vazio",IF(Configurações!$G$11="Dia",IF(C38="",BAIXAS!AI38/(Configurações!$C$5),BAIXAS!AI38/(Configurações!$C$5+1)),BAIXAS!AI38/BAIXAS!A38)),"")</f>
        <v>Vazio</v>
      </c>
    </row>
    <row r="39" spans="1:36" ht="21">
      <c r="A39" s="91">
        <f ca="1">COUNT(INDEX($C:$AH,ROW(),1):INDEX($C:$AH,ROW(),$AI$3+1))</f>
        <v>0</v>
      </c>
      <c r="B39" s="106" t="str">
        <f>INDEX(Cadastro_Mantimentos[[#All],[Colunas4]],MATCH(ROW()-5,Cadastro_Mantimentos[[#All],[Colunas2]],0))</f>
        <v>Chá De Hortelã</v>
      </c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11">
        <f ca="1">IF(Configurações!$G$10="Ligado",SUMIFS(C39:AH39,$C$4:$AH$4,"&lt;="&amp;Configurações!$C$5,$C$4:$AH$4,"&lt;="&amp;$AI$3),"")</f>
        <v>0</v>
      </c>
      <c r="AJ39" s="112" t="str">
        <f ca="1">IF(Configurações!$G$12="Ligado",IF(AI39&lt;=0,"Vazio",IF(Configurações!$G$11="Dia",IF(C39="",BAIXAS!AI39/(Configurações!$C$5),BAIXAS!AI39/(Configurações!$C$5+1)),BAIXAS!AI39/BAIXAS!A39)),"")</f>
        <v>Vazio</v>
      </c>
    </row>
    <row r="40" spans="1:36" ht="21">
      <c r="A40" s="91">
        <f ca="1">COUNT(INDEX($C:$AH,ROW(),1):INDEX($C:$AH,ROW(),$AI$3+1))</f>
        <v>0</v>
      </c>
      <c r="B40" s="106" t="str">
        <f>INDEX(Cadastro_Mantimentos[[#All],[Colunas4]],MATCH(ROW()-5,Cadastro_Mantimentos[[#All],[Colunas2]],0))</f>
        <v>Chá de Melissa</v>
      </c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11">
        <f ca="1">IF(Configurações!$G$10="Ligado",SUMIFS(C40:AH40,$C$4:$AH$4,"&lt;="&amp;Configurações!$C$5,$C$4:$AH$4,"&lt;="&amp;$AI$3),"")</f>
        <v>0</v>
      </c>
      <c r="AJ40" s="112" t="str">
        <f ca="1">IF(Configurações!$G$12="Ligado",IF(AI40&lt;=0,"Vazio",IF(Configurações!$G$11="Dia",IF(C40="",BAIXAS!AI40/(Configurações!$C$5),BAIXAS!AI40/(Configurações!$C$5+1)),BAIXAS!AI40/BAIXAS!A40)),"")</f>
        <v>Vazio</v>
      </c>
    </row>
    <row r="41" spans="1:36" ht="21">
      <c r="A41" s="91">
        <f ca="1">COUNT(INDEX($C:$AH,ROW(),1):INDEX($C:$AH,ROW(),$AI$3+1))</f>
        <v>2</v>
      </c>
      <c r="B41" s="106" t="str">
        <f>INDEX(Cadastro_Mantimentos[[#All],[Colunas4]],MATCH(ROW()-5,Cadastro_Mantimentos[[#All],[Colunas2]],0))</f>
        <v xml:space="preserve">Chá Mate </v>
      </c>
      <c r="C41" s="193"/>
      <c r="D41" s="193"/>
      <c r="E41" s="193"/>
      <c r="F41" s="193">
        <v>0.25</v>
      </c>
      <c r="G41" s="193"/>
      <c r="H41" s="193"/>
      <c r="I41" s="193"/>
      <c r="J41" s="193"/>
      <c r="K41" s="193"/>
      <c r="L41" s="193"/>
      <c r="M41" s="193"/>
      <c r="N41" s="193"/>
      <c r="O41" s="193"/>
      <c r="P41" s="193">
        <v>0.25</v>
      </c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11">
        <f ca="1">IF(Configurações!$G$10="Ligado",SUMIFS(C41:AH41,$C$4:$AH$4,"&lt;="&amp;Configurações!$C$5,$C$4:$AH$4,"&lt;="&amp;$AI$3),"")</f>
        <v>0.5</v>
      </c>
      <c r="AJ41" s="112">
        <f ca="1">IF(Configurações!$G$12="Ligado",IF(AI41&lt;=0,"Vazio",IF(Configurações!$G$11="Dia",IF(C41="",BAIXAS!AI41/(Configurações!$C$5),BAIXAS!AI41/(Configurações!$C$5+1)),BAIXAS!AI41/BAIXAS!A41)),"")</f>
        <v>2.0833333333333332E-2</v>
      </c>
    </row>
    <row r="42" spans="1:36" ht="21">
      <c r="A42" s="91">
        <f ca="1">COUNT(INDEX($C:$AH,ROW(),1):INDEX($C:$AH,ROW(),$AI$3+1))</f>
        <v>0</v>
      </c>
      <c r="B42" s="106" t="str">
        <f>INDEX(Cadastro_Mantimentos[[#All],[Colunas4]],MATCH(ROW()-5,Cadastro_Mantimentos[[#All],[Colunas2]],0))</f>
        <v>Chá Morango</v>
      </c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193"/>
      <c r="W42" s="193"/>
      <c r="X42" s="193"/>
      <c r="Y42" s="193"/>
      <c r="Z42" s="193"/>
      <c r="AA42" s="193"/>
      <c r="AB42" s="193"/>
      <c r="AC42" s="193"/>
      <c r="AD42" s="193"/>
      <c r="AE42" s="193"/>
      <c r="AF42" s="193"/>
      <c r="AG42" s="193"/>
      <c r="AH42" s="193"/>
      <c r="AI42" s="111">
        <f ca="1">IF(Configurações!$G$10="Ligado",SUMIFS(C42:AH42,$C$4:$AH$4,"&lt;="&amp;Configurações!$C$5,$C$4:$AH$4,"&lt;="&amp;$AI$3),"")</f>
        <v>0</v>
      </c>
      <c r="AJ42" s="112" t="str">
        <f ca="1">IF(Configurações!$G$12="Ligado",IF(AI42&lt;=0,"Vazio",IF(Configurações!$G$11="Dia",IF(C42="",BAIXAS!AI42/(Configurações!$C$5),BAIXAS!AI42/(Configurações!$C$5+1)),BAIXAS!AI42/BAIXAS!A42)),"")</f>
        <v>Vazio</v>
      </c>
    </row>
    <row r="43" spans="1:36" ht="21">
      <c r="A43" s="91">
        <f ca="1">COUNT(INDEX($C:$AH,ROW(),1):INDEX($C:$AH,ROW(),$AI$3+1))</f>
        <v>0</v>
      </c>
      <c r="B43" s="106" t="str">
        <f>INDEX(Cadastro_Mantimentos[[#All],[Colunas4]],MATCH(ROW()-5,Cadastro_Mantimentos[[#All],[Colunas2]],0))</f>
        <v xml:space="preserve">Chá Preto </v>
      </c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11">
        <f ca="1">IF(Configurações!$G$10="Ligado",SUMIFS(C43:AH43,$C$4:$AH$4,"&lt;="&amp;Configurações!$C$5,$C$4:$AH$4,"&lt;="&amp;$AI$3),"")</f>
        <v>0</v>
      </c>
      <c r="AJ43" s="112" t="str">
        <f ca="1">IF(Configurações!$G$12="Ligado",IF(AI43&lt;=0,"Vazio",IF(Configurações!$G$11="Dia",IF(C43="",BAIXAS!AI43/(Configurações!$C$5),BAIXAS!AI43/(Configurações!$C$5+1)),BAIXAS!AI43/BAIXAS!A43)),"")</f>
        <v>Vazio</v>
      </c>
    </row>
    <row r="44" spans="1:36" ht="21">
      <c r="A44" s="91">
        <f ca="1">COUNT(INDEX($C:$AH,ROW(),1):INDEX($C:$AH,ROW(),$AI$3+1))</f>
        <v>2</v>
      </c>
      <c r="B44" s="106" t="str">
        <f>INDEX(Cadastro_Mantimentos[[#All],[Colunas4]],MATCH(ROW()-5,Cadastro_Mantimentos[[#All],[Colunas2]],0))</f>
        <v>Champignon Fatiado</v>
      </c>
      <c r="C44" s="193"/>
      <c r="D44" s="193"/>
      <c r="E44" s="193"/>
      <c r="F44" s="193"/>
      <c r="G44" s="193"/>
      <c r="H44" s="193"/>
      <c r="I44" s="193"/>
      <c r="J44" s="193"/>
      <c r="K44" s="193"/>
      <c r="L44" s="193">
        <v>1</v>
      </c>
      <c r="M44" s="193"/>
      <c r="N44" s="193"/>
      <c r="O44" s="193"/>
      <c r="P44" s="193"/>
      <c r="Q44" s="193"/>
      <c r="R44" s="193"/>
      <c r="S44" s="193"/>
      <c r="T44" s="193"/>
      <c r="U44" s="193"/>
      <c r="V44" s="193"/>
      <c r="W44" s="193"/>
      <c r="X44" s="193"/>
      <c r="Y44" s="193"/>
      <c r="Z44" s="193">
        <v>1.5</v>
      </c>
      <c r="AA44" s="193"/>
      <c r="AB44" s="193"/>
      <c r="AC44" s="193"/>
      <c r="AD44" s="193"/>
      <c r="AE44" s="193"/>
      <c r="AF44" s="193"/>
      <c r="AG44" s="193"/>
      <c r="AH44" s="193"/>
      <c r="AI44" s="111">
        <f ca="1">IF(Configurações!$G$10="Ligado",SUMIFS(C44:AH44,$C$4:$AH$4,"&lt;="&amp;Configurações!$C$5,$C$4:$AH$4,"&lt;="&amp;$AI$3),"")</f>
        <v>2.5</v>
      </c>
      <c r="AJ44" s="112">
        <f ca="1">IF(Configurações!$G$12="Ligado",IF(AI44&lt;=0,"Vazio",IF(Configurações!$G$11="Dia",IF(C44="",BAIXAS!AI44/(Configurações!$C$5),BAIXAS!AI44/(Configurações!$C$5+1)),BAIXAS!AI44/BAIXAS!A44)),"")</f>
        <v>0.10416666666666667</v>
      </c>
    </row>
    <row r="45" spans="1:36" ht="21">
      <c r="A45" s="91">
        <f ca="1">COUNT(INDEX($C:$AH,ROW(),1):INDEX($C:$AH,ROW(),$AI$3+1))</f>
        <v>4</v>
      </c>
      <c r="B45" s="106" t="str">
        <f>INDEX(Cadastro_Mantimentos[[#All],[Colunas4]],MATCH(ROW()-5,Cadastro_Mantimentos[[#All],[Colunas2]],0))</f>
        <v>Chocolate Em Pó</v>
      </c>
      <c r="C45" s="193"/>
      <c r="D45" s="193"/>
      <c r="E45" s="193"/>
      <c r="F45" s="193">
        <v>1</v>
      </c>
      <c r="G45" s="193"/>
      <c r="H45" s="193"/>
      <c r="I45" s="193"/>
      <c r="J45" s="193"/>
      <c r="K45" s="193"/>
      <c r="L45" s="193"/>
      <c r="M45" s="193"/>
      <c r="N45" s="193">
        <v>1</v>
      </c>
      <c r="O45" s="193"/>
      <c r="P45" s="193"/>
      <c r="Q45" s="193"/>
      <c r="R45" s="193"/>
      <c r="S45" s="193">
        <v>1</v>
      </c>
      <c r="T45" s="193"/>
      <c r="U45" s="193"/>
      <c r="V45" s="193"/>
      <c r="W45" s="193">
        <v>1</v>
      </c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11">
        <f ca="1">IF(Configurações!$G$10="Ligado",SUMIFS(C45:AH45,$C$4:$AH$4,"&lt;="&amp;Configurações!$C$5,$C$4:$AH$4,"&lt;="&amp;$AI$3),"")</f>
        <v>4</v>
      </c>
      <c r="AJ45" s="112">
        <f ca="1">IF(Configurações!$G$12="Ligado",IF(AI45&lt;=0,"Vazio",IF(Configurações!$G$11="Dia",IF(C45="",BAIXAS!AI45/(Configurações!$C$5),BAIXAS!AI45/(Configurações!$C$5+1)),BAIXAS!AI45/BAIXAS!A45)),"")</f>
        <v>0.16666666666666666</v>
      </c>
    </row>
    <row r="46" spans="1:36" ht="21">
      <c r="A46" s="91">
        <f ca="1">COUNT(INDEX($C:$AH,ROW(),1):INDEX($C:$AH,ROW(),$AI$3+1))</f>
        <v>2</v>
      </c>
      <c r="B46" s="106" t="str">
        <f>INDEX(Cadastro_Mantimentos[[#All],[Colunas4]],MATCH(ROW()-5,Cadastro_Mantimentos[[#All],[Colunas2]],0))</f>
        <v xml:space="preserve">Chocolate Granulado </v>
      </c>
      <c r="C46" s="193"/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>
        <v>1</v>
      </c>
      <c r="P46" s="193"/>
      <c r="Q46" s="193"/>
      <c r="R46" s="193"/>
      <c r="S46" s="193"/>
      <c r="T46" s="193"/>
      <c r="U46" s="193">
        <v>2</v>
      </c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3"/>
      <c r="AH46" s="193"/>
      <c r="AI46" s="111">
        <f ca="1">IF(Configurações!$G$10="Ligado",SUMIFS(C46:AH46,$C$4:$AH$4,"&lt;="&amp;Configurações!$C$5,$C$4:$AH$4,"&lt;="&amp;$AI$3),"")</f>
        <v>3</v>
      </c>
      <c r="AJ46" s="112">
        <f ca="1">IF(Configurações!$G$12="Ligado",IF(AI46&lt;=0,"Vazio",IF(Configurações!$G$11="Dia",IF(C46="",BAIXAS!AI46/(Configurações!$C$5),BAIXAS!AI46/(Configurações!$C$5+1)),BAIXAS!AI46/BAIXAS!A46)),"")</f>
        <v>0.125</v>
      </c>
    </row>
    <row r="47" spans="1:36" ht="21">
      <c r="A47" s="91">
        <f ca="1">COUNT(INDEX($C:$AH,ROW(),1):INDEX($C:$AH,ROW(),$AI$3+1))</f>
        <v>0</v>
      </c>
      <c r="B47" s="106" t="str">
        <f>INDEX(Cadastro_Mantimentos[[#All],[Colunas4]],MATCH(ROW()-5,Cadastro_Mantimentos[[#All],[Colunas2]],0))</f>
        <v xml:space="preserve">Coco Ralado </v>
      </c>
      <c r="C47" s="193"/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193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  <c r="AI47" s="111">
        <f ca="1">IF(Configurações!$G$10="Ligado",SUMIFS(C47:AH47,$C$4:$AH$4,"&lt;="&amp;Configurações!$C$5,$C$4:$AH$4,"&lt;="&amp;$AI$3),"")</f>
        <v>0</v>
      </c>
      <c r="AJ47" s="112" t="str">
        <f ca="1">IF(Configurações!$G$12="Ligado",IF(AI47&lt;=0,"Vazio",IF(Configurações!$G$11="Dia",IF(C47="",BAIXAS!AI47/(Configurações!$C$5),BAIXAS!AI47/(Configurações!$C$5+1)),BAIXAS!AI47/BAIXAS!A47)),"")</f>
        <v>Vazio</v>
      </c>
    </row>
    <row r="48" spans="1:36" ht="21">
      <c r="A48" s="91">
        <f ca="1">COUNT(INDEX($C:$AH,ROW(),1):INDEX($C:$AH,ROW(),$AI$3+1))</f>
        <v>1</v>
      </c>
      <c r="B48" s="106" t="str">
        <f>INDEX(Cadastro_Mantimentos[[#All],[Colunas4]],MATCH(ROW()-5,Cadastro_Mantimentos[[#All],[Colunas2]],0))</f>
        <v>Coloral</v>
      </c>
      <c r="C48" s="193"/>
      <c r="D48" s="193"/>
      <c r="E48" s="193"/>
      <c r="F48" s="193">
        <v>1</v>
      </c>
      <c r="G48" s="193"/>
      <c r="H48" s="193"/>
      <c r="I48" s="193"/>
      <c r="J48" s="193"/>
      <c r="K48" s="193"/>
      <c r="L48" s="193"/>
      <c r="M48" s="193"/>
      <c r="N48" s="193"/>
      <c r="O48" s="193"/>
      <c r="P48" s="193"/>
      <c r="Q48" s="193"/>
      <c r="R48" s="193"/>
      <c r="S48" s="193"/>
      <c r="T48" s="193"/>
      <c r="U48" s="193"/>
      <c r="V48" s="193"/>
      <c r="W48" s="193"/>
      <c r="X48" s="193"/>
      <c r="Y48" s="193"/>
      <c r="Z48" s="193"/>
      <c r="AA48" s="193"/>
      <c r="AB48" s="193"/>
      <c r="AC48" s="193"/>
      <c r="AD48" s="193"/>
      <c r="AE48" s="193"/>
      <c r="AF48" s="193"/>
      <c r="AG48" s="193"/>
      <c r="AH48" s="193"/>
      <c r="AI48" s="111">
        <f ca="1">IF(Configurações!$G$10="Ligado",SUMIFS(C48:AH48,$C$4:$AH$4,"&lt;="&amp;Configurações!$C$5,$C$4:$AH$4,"&lt;="&amp;$AI$3),"")</f>
        <v>1</v>
      </c>
      <c r="AJ48" s="112">
        <f ca="1">IF(Configurações!$G$12="Ligado",IF(AI48&lt;=0,"Vazio",IF(Configurações!$G$11="Dia",IF(C48="",BAIXAS!AI48/(Configurações!$C$5),BAIXAS!AI48/(Configurações!$C$5+1)),BAIXAS!AI48/BAIXAS!A48)),"")</f>
        <v>4.1666666666666664E-2</v>
      </c>
    </row>
    <row r="49" spans="1:36" ht="21">
      <c r="A49" s="91">
        <f ca="1">COUNT(INDEX($C:$AH,ROW(),1):INDEX($C:$AH,ROW(),$AI$3+1))</f>
        <v>0</v>
      </c>
      <c r="B49" s="106" t="str">
        <f>INDEX(Cadastro_Mantimentos[[#All],[Colunas4]],MATCH(ROW()-5,Cadastro_Mantimentos[[#All],[Colunas2]],0))</f>
        <v>Cravo</v>
      </c>
      <c r="C49" s="193"/>
      <c r="D49" s="193"/>
      <c r="E49" s="193"/>
      <c r="F49" s="193"/>
      <c r="G49" s="193"/>
      <c r="H49" s="193"/>
      <c r="I49" s="193"/>
      <c r="J49" s="193"/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3"/>
      <c r="V49" s="193"/>
      <c r="W49" s="193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  <c r="AI49" s="111">
        <f ca="1">IF(Configurações!$G$10="Ligado",SUMIFS(C49:AH49,$C$4:$AH$4,"&lt;="&amp;Configurações!$C$5,$C$4:$AH$4,"&lt;="&amp;$AI$3),"")</f>
        <v>0</v>
      </c>
      <c r="AJ49" s="112" t="str">
        <f ca="1">IF(Configurações!$G$12="Ligado",IF(AI49&lt;=0,"Vazio",IF(Configurações!$G$11="Dia",IF(C49="",BAIXAS!AI49/(Configurações!$C$5),BAIXAS!AI49/(Configurações!$C$5+1)),BAIXAS!AI49/BAIXAS!A49)),"")</f>
        <v>Vazio</v>
      </c>
    </row>
    <row r="50" spans="1:36" ht="21">
      <c r="A50" s="91">
        <f ca="1">COUNT(INDEX($C:$AH,ROW(),1):INDEX($C:$AH,ROW(),$AI$3+1))</f>
        <v>0</v>
      </c>
      <c r="B50" s="106" t="str">
        <f>INDEX(Cadastro_Mantimentos[[#All],[Colunas4]],MATCH(ROW()-5,Cadastro_Mantimentos[[#All],[Colunas2]],0))</f>
        <v>Creme Cebola</v>
      </c>
      <c r="C50" s="193"/>
      <c r="D50" s="193"/>
      <c r="E50" s="193"/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193"/>
      <c r="W50" s="193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  <c r="AI50" s="111">
        <f ca="1">IF(Configurações!$G$10="Ligado",SUMIFS(C50:AH50,$C$4:$AH$4,"&lt;="&amp;Configurações!$C$5,$C$4:$AH$4,"&lt;="&amp;$AI$3),"")</f>
        <v>0</v>
      </c>
      <c r="AJ50" s="112" t="str">
        <f ca="1">IF(Configurações!$G$12="Ligado",IF(AI50&lt;=0,"Vazio",IF(Configurações!$G$11="Dia",IF(C50="",BAIXAS!AI50/(Configurações!$C$5),BAIXAS!AI50/(Configurações!$C$5+1)),BAIXAS!AI50/BAIXAS!A50)),"")</f>
        <v>Vazio</v>
      </c>
    </row>
    <row r="51" spans="1:36" ht="21">
      <c r="A51" s="91">
        <f ca="1">COUNT(INDEX($C:$AH,ROW(),1):INDEX($C:$AH,ROW(),$AI$3+1))</f>
        <v>10</v>
      </c>
      <c r="B51" s="106" t="str">
        <f>INDEX(Cadastro_Mantimentos[[#All],[Colunas4]],MATCH(ROW()-5,Cadastro_Mantimentos[[#All],[Colunas2]],0))</f>
        <v>Creme De Leite</v>
      </c>
      <c r="C51" s="193"/>
      <c r="D51" s="193"/>
      <c r="E51" s="193">
        <v>3</v>
      </c>
      <c r="F51" s="193"/>
      <c r="G51" s="193"/>
      <c r="H51" s="193">
        <v>4</v>
      </c>
      <c r="I51" s="193"/>
      <c r="J51" s="193"/>
      <c r="K51" s="193"/>
      <c r="L51" s="193">
        <v>4</v>
      </c>
      <c r="M51" s="193">
        <v>7</v>
      </c>
      <c r="N51" s="193">
        <v>4</v>
      </c>
      <c r="O51" s="193"/>
      <c r="P51" s="193"/>
      <c r="Q51" s="193">
        <v>1</v>
      </c>
      <c r="R51" s="193"/>
      <c r="S51" s="193">
        <v>2</v>
      </c>
      <c r="T51" s="193"/>
      <c r="U51" s="193">
        <v>14</v>
      </c>
      <c r="V51" s="193"/>
      <c r="W51" s="193"/>
      <c r="X51" s="193"/>
      <c r="Y51" s="193"/>
      <c r="Z51" s="193">
        <v>4</v>
      </c>
      <c r="AA51" s="193">
        <v>6</v>
      </c>
      <c r="AB51" s="193"/>
      <c r="AC51" s="193"/>
      <c r="AD51" s="193"/>
      <c r="AE51" s="193"/>
      <c r="AF51" s="193"/>
      <c r="AG51" s="193"/>
      <c r="AH51" s="193"/>
      <c r="AI51" s="111">
        <f ca="1">IF(Configurações!$G$10="Ligado",SUMIFS(C51:AH51,$C$4:$AH$4,"&lt;="&amp;Configurações!$C$5,$C$4:$AH$4,"&lt;="&amp;$AI$3),"")</f>
        <v>49</v>
      </c>
      <c r="AJ51" s="112">
        <f ca="1">IF(Configurações!$G$12="Ligado",IF(AI51&lt;=0,"Vazio",IF(Configurações!$G$11="Dia",IF(C51="",BAIXAS!AI51/(Configurações!$C$5),BAIXAS!AI51/(Configurações!$C$5+1)),BAIXAS!AI51/BAIXAS!A51)),"")</f>
        <v>2.0416666666666665</v>
      </c>
    </row>
    <row r="52" spans="1:36" ht="21">
      <c r="A52" s="91">
        <f ca="1">COUNT(INDEX($C:$AH,ROW(),1):INDEX($C:$AH,ROW(),$AI$3+1))</f>
        <v>2</v>
      </c>
      <c r="B52" s="106" t="str">
        <f>INDEX(Cadastro_Mantimentos[[#All],[Colunas4]],MATCH(ROW()-5,Cadastro_Mantimentos[[#All],[Colunas2]],0))</f>
        <v>Curau</v>
      </c>
      <c r="C52" s="193"/>
      <c r="D52" s="193">
        <v>1</v>
      </c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>
        <v>1</v>
      </c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11">
        <f ca="1">IF(Configurações!$G$10="Ligado",SUMIFS(C52:AH52,$C$4:$AH$4,"&lt;="&amp;Configurações!$C$5,$C$4:$AH$4,"&lt;="&amp;$AI$3),"")</f>
        <v>2</v>
      </c>
      <c r="AJ52" s="112">
        <f ca="1">IF(Configurações!$G$12="Ligado",IF(AI52&lt;=0,"Vazio",IF(Configurações!$G$11="Dia",IF(C52="",BAIXAS!AI52/(Configurações!$C$5),BAIXAS!AI52/(Configurações!$C$5+1)),BAIXAS!AI52/BAIXAS!A52)),"")</f>
        <v>8.3333333333333329E-2</v>
      </c>
    </row>
    <row r="53" spans="1:36" ht="21">
      <c r="A53" s="91">
        <f ca="1">COUNT(INDEX($C:$AH,ROW(),1):INDEX($C:$AH,ROW(),$AI$3+1))</f>
        <v>1</v>
      </c>
      <c r="B53" s="106" t="str">
        <f>INDEX(Cadastro_Mantimentos[[#All],[Colunas4]],MATCH(ROW()-5,Cadastro_Mantimentos[[#All],[Colunas2]],0))</f>
        <v>Doce De Leite</v>
      </c>
      <c r="C53" s="193"/>
      <c r="D53" s="193"/>
      <c r="E53" s="193"/>
      <c r="F53" s="193"/>
      <c r="G53" s="193"/>
      <c r="H53" s="193"/>
      <c r="I53" s="193"/>
      <c r="J53" s="193"/>
      <c r="K53" s="193"/>
      <c r="L53" s="193"/>
      <c r="M53" s="193"/>
      <c r="N53" s="193"/>
      <c r="O53" s="193">
        <v>6</v>
      </c>
      <c r="P53" s="193"/>
      <c r="Q53" s="193"/>
      <c r="R53" s="193"/>
      <c r="S53" s="193"/>
      <c r="T53" s="193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11">
        <f ca="1">IF(Configurações!$G$10="Ligado",SUMIFS(C53:AH53,$C$4:$AH$4,"&lt;="&amp;Configurações!$C$5,$C$4:$AH$4,"&lt;="&amp;$AI$3),"")</f>
        <v>6</v>
      </c>
      <c r="AJ53" s="112">
        <f ca="1">IF(Configurações!$G$12="Ligado",IF(AI53&lt;=0,"Vazio",IF(Configurações!$G$11="Dia",IF(C53="",BAIXAS!AI53/(Configurações!$C$5),BAIXAS!AI53/(Configurações!$C$5+1)),BAIXAS!AI53/BAIXAS!A53)),"")</f>
        <v>0.25</v>
      </c>
    </row>
    <row r="54" spans="1:36" ht="21">
      <c r="A54" s="91">
        <f ca="1">COUNT(INDEX($C:$AH,ROW(),1):INDEX($C:$AH,ROW(),$AI$3+1))</f>
        <v>0</v>
      </c>
      <c r="B54" s="106" t="str">
        <f>INDEX(Cadastro_Mantimentos[[#All],[Colunas4]],MATCH(ROW()-5,Cadastro_Mantimentos[[#All],[Colunas2]],0))</f>
        <v>Erva Doce</v>
      </c>
      <c r="C54" s="193"/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193"/>
      <c r="W54" s="193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11">
        <f ca="1">IF(Configurações!$G$10="Ligado",SUMIFS(C54:AH54,$C$4:$AH$4,"&lt;="&amp;Configurações!$C$5,$C$4:$AH$4,"&lt;="&amp;$AI$3),"")</f>
        <v>0</v>
      </c>
      <c r="AJ54" s="112" t="str">
        <f ca="1">IF(Configurações!$G$12="Ligado",IF(AI54&lt;=0,"Vazio",IF(Configurações!$G$11="Dia",IF(C54="",BAIXAS!AI54/(Configurações!$C$5),BAIXAS!AI54/(Configurações!$C$5+1)),BAIXAS!AI54/BAIXAS!A54)),"")</f>
        <v>Vazio</v>
      </c>
    </row>
    <row r="55" spans="1:36" ht="21">
      <c r="A55" s="91">
        <f ca="1">COUNT(INDEX($C:$AH,ROW(),1):INDEX($C:$AH,ROW(),$AI$3+1))</f>
        <v>9</v>
      </c>
      <c r="B55" s="106" t="str">
        <f>INDEX(Cadastro_Mantimentos[[#All],[Colunas4]],MATCH(ROW()-5,Cadastro_Mantimentos[[#All],[Colunas2]],0))</f>
        <v xml:space="preserve">Ervilha Lata </v>
      </c>
      <c r="C55" s="193"/>
      <c r="D55" s="193"/>
      <c r="E55" s="193"/>
      <c r="F55" s="193">
        <v>1</v>
      </c>
      <c r="G55" s="193">
        <v>2</v>
      </c>
      <c r="H55" s="193">
        <v>2</v>
      </c>
      <c r="I55" s="193">
        <v>4</v>
      </c>
      <c r="J55" s="193"/>
      <c r="K55" s="193"/>
      <c r="L55" s="193"/>
      <c r="M55" s="193"/>
      <c r="N55" s="193">
        <v>2</v>
      </c>
      <c r="O55" s="193"/>
      <c r="P55" s="193">
        <v>4</v>
      </c>
      <c r="Q55" s="193"/>
      <c r="R55" s="193"/>
      <c r="S55" s="193"/>
      <c r="T55" s="193"/>
      <c r="U55" s="193">
        <v>1</v>
      </c>
      <c r="V55" s="193">
        <v>5</v>
      </c>
      <c r="W55" s="193"/>
      <c r="X55" s="193"/>
      <c r="Y55" s="193"/>
      <c r="Z55" s="193"/>
      <c r="AA55" s="193">
        <v>1</v>
      </c>
      <c r="AB55" s="193"/>
      <c r="AC55" s="193"/>
      <c r="AD55" s="193"/>
      <c r="AE55" s="193"/>
      <c r="AF55" s="193"/>
      <c r="AG55" s="193"/>
      <c r="AH55" s="193"/>
      <c r="AI55" s="111">
        <f ca="1">IF(Configurações!$G$10="Ligado",SUMIFS(C55:AH55,$C$4:$AH$4,"&lt;="&amp;Configurações!$C$5,$C$4:$AH$4,"&lt;="&amp;$AI$3),"")</f>
        <v>22</v>
      </c>
      <c r="AJ55" s="112">
        <f ca="1">IF(Configurações!$G$12="Ligado",IF(AI55&lt;=0,"Vazio",IF(Configurações!$G$11="Dia",IF(C55="",BAIXAS!AI55/(Configurações!$C$5),BAIXAS!AI55/(Configurações!$C$5+1)),BAIXAS!AI55/BAIXAS!A55)),"")</f>
        <v>0.91666666666666663</v>
      </c>
    </row>
    <row r="56" spans="1:36" ht="21">
      <c r="A56" s="91">
        <f ca="1">COUNT(INDEX($C:$AH,ROW(),1):INDEX($C:$AH,ROW(),$AI$3+1))</f>
        <v>2</v>
      </c>
      <c r="B56" s="106" t="str">
        <f>INDEX(Cadastro_Mantimentos[[#All],[Colunas4]],MATCH(ROW()-5,Cadastro_Mantimentos[[#All],[Colunas2]],0))</f>
        <v xml:space="preserve">Ervilha Seca </v>
      </c>
      <c r="C56" s="193"/>
      <c r="D56" s="193"/>
      <c r="E56" s="193"/>
      <c r="F56" s="193"/>
      <c r="G56" s="193">
        <v>2</v>
      </c>
      <c r="H56" s="193"/>
      <c r="I56" s="193"/>
      <c r="J56" s="193"/>
      <c r="K56" s="193"/>
      <c r="L56" s="193"/>
      <c r="M56" s="193">
        <v>1</v>
      </c>
      <c r="N56" s="193"/>
      <c r="O56" s="193"/>
      <c r="P56" s="193"/>
      <c r="Q56" s="193"/>
      <c r="R56" s="193"/>
      <c r="S56" s="193"/>
      <c r="T56" s="193"/>
      <c r="U56" s="193"/>
      <c r="V56" s="193"/>
      <c r="W56" s="193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11">
        <f ca="1">IF(Configurações!$G$10="Ligado",SUMIFS(C56:AH56,$C$4:$AH$4,"&lt;="&amp;Configurações!$C$5,$C$4:$AH$4,"&lt;="&amp;$AI$3),"")</f>
        <v>3</v>
      </c>
      <c r="AJ56" s="112">
        <f ca="1">IF(Configurações!$G$12="Ligado",IF(AI56&lt;=0,"Vazio",IF(Configurações!$G$11="Dia",IF(C56="",BAIXAS!AI56/(Configurações!$C$5),BAIXAS!AI56/(Configurações!$C$5+1)),BAIXAS!AI56/BAIXAS!A56)),"")</f>
        <v>0.125</v>
      </c>
    </row>
    <row r="57" spans="1:36" ht="21">
      <c r="A57" s="91">
        <f ca="1">COUNT(INDEX($C:$AH,ROW(),1):INDEX($C:$AH,ROW(),$AI$3+1))</f>
        <v>4</v>
      </c>
      <c r="B57" s="106" t="str">
        <f>INDEX(Cadastro_Mantimentos[[#All],[Colunas4]],MATCH(ROW()-5,Cadastro_Mantimentos[[#All],[Colunas2]],0))</f>
        <v xml:space="preserve">Farinha De Mandioca </v>
      </c>
      <c r="C57" s="193"/>
      <c r="D57" s="193"/>
      <c r="E57" s="193"/>
      <c r="F57" s="193"/>
      <c r="G57" s="193"/>
      <c r="H57" s="193">
        <v>1</v>
      </c>
      <c r="I57" s="193"/>
      <c r="J57" s="193"/>
      <c r="K57" s="193"/>
      <c r="L57" s="193"/>
      <c r="M57" s="193"/>
      <c r="N57" s="193"/>
      <c r="O57" s="193">
        <v>1</v>
      </c>
      <c r="P57" s="193">
        <v>1</v>
      </c>
      <c r="Q57" s="193"/>
      <c r="R57" s="193"/>
      <c r="S57" s="193"/>
      <c r="T57" s="193"/>
      <c r="U57" s="193"/>
      <c r="V57" s="193">
        <v>1</v>
      </c>
      <c r="W57" s="193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11">
        <f ca="1">IF(Configurações!$G$10="Ligado",SUMIFS(C57:AH57,$C$4:$AH$4,"&lt;="&amp;Configurações!$C$5,$C$4:$AH$4,"&lt;="&amp;$AI$3),"")</f>
        <v>4</v>
      </c>
      <c r="AJ57" s="112">
        <f ca="1">IF(Configurações!$G$12="Ligado",IF(AI57&lt;=0,"Vazio",IF(Configurações!$G$11="Dia",IF(C57="",BAIXAS!AI57/(Configurações!$C$5),BAIXAS!AI57/(Configurações!$C$5+1)),BAIXAS!AI57/BAIXAS!A57)),"")</f>
        <v>0.16666666666666666</v>
      </c>
    </row>
    <row r="58" spans="1:36" ht="21">
      <c r="A58" s="91">
        <f ca="1">COUNT(INDEX($C:$AH,ROW(),1):INDEX($C:$AH,ROW(),$AI$3+1))</f>
        <v>2</v>
      </c>
      <c r="B58" s="106" t="str">
        <f>INDEX(Cadastro_Mantimentos[[#All],[Colunas4]],MATCH(ROW()-5,Cadastro_Mantimentos[[#All],[Colunas2]],0))</f>
        <v>Farinha De Milho</v>
      </c>
      <c r="C58" s="193"/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>
        <v>10</v>
      </c>
      <c r="V58" s="193"/>
      <c r="W58" s="193"/>
      <c r="X58" s="193"/>
      <c r="Y58" s="193"/>
      <c r="Z58" s="193"/>
      <c r="AA58" s="193">
        <v>2</v>
      </c>
      <c r="AB58" s="193"/>
      <c r="AC58" s="193"/>
      <c r="AD58" s="193"/>
      <c r="AE58" s="193"/>
      <c r="AF58" s="193"/>
      <c r="AG58" s="193"/>
      <c r="AH58" s="193"/>
      <c r="AI58" s="111">
        <f ca="1">IF(Configurações!$G$10="Ligado",SUMIFS(C58:AH58,$C$4:$AH$4,"&lt;="&amp;Configurações!$C$5,$C$4:$AH$4,"&lt;="&amp;$AI$3),"")</f>
        <v>12</v>
      </c>
      <c r="AJ58" s="112">
        <f ca="1">IF(Configurações!$G$12="Ligado",IF(AI58&lt;=0,"Vazio",IF(Configurações!$G$11="Dia",IF(C58="",BAIXAS!AI58/(Configurações!$C$5),BAIXAS!AI58/(Configurações!$C$5+1)),BAIXAS!AI58/BAIXAS!A58)),"")</f>
        <v>0.5</v>
      </c>
    </row>
    <row r="59" spans="1:36" ht="21">
      <c r="A59" s="91">
        <f ca="1">COUNT(INDEX($C:$AH,ROW(),1):INDEX($C:$AH,ROW(),$AI$3+1))</f>
        <v>3</v>
      </c>
      <c r="B59" s="106" t="str">
        <f>INDEX(Cadastro_Mantimentos[[#All],[Colunas4]],MATCH(ROW()-5,Cadastro_Mantimentos[[#All],[Colunas2]],0))</f>
        <v xml:space="preserve">Farinha De Rosca </v>
      </c>
      <c r="C59" s="193"/>
      <c r="D59" s="193"/>
      <c r="E59" s="193"/>
      <c r="F59" s="193">
        <v>2.5</v>
      </c>
      <c r="G59" s="193"/>
      <c r="H59" s="193"/>
      <c r="I59" s="193"/>
      <c r="J59" s="193"/>
      <c r="K59" s="193"/>
      <c r="L59" s="193">
        <v>1</v>
      </c>
      <c r="M59" s="193">
        <v>9.5</v>
      </c>
      <c r="N59" s="193"/>
      <c r="O59" s="193"/>
      <c r="P59" s="193"/>
      <c r="Q59" s="193"/>
      <c r="R59" s="193"/>
      <c r="S59" s="193"/>
      <c r="T59" s="193"/>
      <c r="U59" s="193"/>
      <c r="V59" s="193"/>
      <c r="W59" s="193"/>
      <c r="X59" s="193"/>
      <c r="Y59" s="193"/>
      <c r="Z59" s="193"/>
      <c r="AA59" s="193"/>
      <c r="AB59" s="193"/>
      <c r="AC59" s="193"/>
      <c r="AD59" s="193"/>
      <c r="AE59" s="193"/>
      <c r="AF59" s="193"/>
      <c r="AG59" s="193"/>
      <c r="AH59" s="193"/>
      <c r="AI59" s="111">
        <f ca="1">IF(Configurações!$G$10="Ligado",SUMIFS(C59:AH59,$C$4:$AH$4,"&lt;="&amp;Configurações!$C$5,$C$4:$AH$4,"&lt;="&amp;$AI$3),"")</f>
        <v>13</v>
      </c>
      <c r="AJ59" s="112">
        <f ca="1">IF(Configurações!$G$12="Ligado",IF(AI59&lt;=0,"Vazio",IF(Configurações!$G$11="Dia",IF(C59="",BAIXAS!AI59/(Configurações!$C$5),BAIXAS!AI59/(Configurações!$C$5+1)),BAIXAS!AI59/BAIXAS!A59)),"")</f>
        <v>0.54166666666666663</v>
      </c>
    </row>
    <row r="60" spans="1:36" ht="21">
      <c r="A60" s="91">
        <f ca="1">COUNT(INDEX($C:$AH,ROW(),1):INDEX($C:$AH,ROW(),$AI$3+1))</f>
        <v>9</v>
      </c>
      <c r="B60" s="106" t="str">
        <f>INDEX(Cadastro_Mantimentos[[#All],[Colunas4]],MATCH(ROW()-5,Cadastro_Mantimentos[[#All],[Colunas2]],0))</f>
        <v>Farinha De Trigo</v>
      </c>
      <c r="C60" s="193"/>
      <c r="D60" s="193"/>
      <c r="E60" s="193">
        <v>2</v>
      </c>
      <c r="F60" s="193"/>
      <c r="G60" s="193">
        <v>2</v>
      </c>
      <c r="H60" s="193">
        <v>2</v>
      </c>
      <c r="I60" s="193">
        <v>1</v>
      </c>
      <c r="J60" s="193"/>
      <c r="K60" s="193"/>
      <c r="L60" s="193">
        <v>2</v>
      </c>
      <c r="M60" s="193">
        <v>5</v>
      </c>
      <c r="N60" s="193"/>
      <c r="O60" s="193">
        <v>10</v>
      </c>
      <c r="P60" s="193"/>
      <c r="Q60" s="193"/>
      <c r="R60" s="193"/>
      <c r="S60" s="193"/>
      <c r="T60" s="193"/>
      <c r="U60" s="193">
        <v>5</v>
      </c>
      <c r="V60" s="193"/>
      <c r="W60" s="193"/>
      <c r="X60" s="193"/>
      <c r="Y60" s="193"/>
      <c r="Z60" s="193">
        <v>5</v>
      </c>
      <c r="AA60" s="193"/>
      <c r="AB60" s="193"/>
      <c r="AC60" s="193"/>
      <c r="AD60" s="193"/>
      <c r="AE60" s="193"/>
      <c r="AF60" s="193"/>
      <c r="AG60" s="193"/>
      <c r="AH60" s="193"/>
      <c r="AI60" s="111">
        <f ca="1">IF(Configurações!$G$10="Ligado",SUMIFS(C60:AH60,$C$4:$AH$4,"&lt;="&amp;Configurações!$C$5,$C$4:$AH$4,"&lt;="&amp;$AI$3),"")</f>
        <v>34</v>
      </c>
      <c r="AJ60" s="112">
        <f ca="1">IF(Configurações!$G$12="Ligado",IF(AI60&lt;=0,"Vazio",IF(Configurações!$G$11="Dia",IF(C60="",BAIXAS!AI60/(Configurações!$C$5),BAIXAS!AI60/(Configurações!$C$5+1)),BAIXAS!AI60/BAIXAS!A60)),"")</f>
        <v>1.4166666666666667</v>
      </c>
    </row>
    <row r="61" spans="1:36" ht="21">
      <c r="A61" s="91">
        <f ca="1">COUNT(INDEX($C:$AH,ROW(),1):INDEX($C:$AH,ROW(),$AI$3+1))</f>
        <v>16</v>
      </c>
      <c r="B61" s="106" t="str">
        <f>INDEX(Cadastro_Mantimentos[[#All],[Colunas4]],MATCH(ROW()-5,Cadastro_Mantimentos[[#All],[Colunas2]],0))</f>
        <v>Feijão Carioca Camil</v>
      </c>
      <c r="C61" s="193"/>
      <c r="D61" s="193"/>
      <c r="E61" s="193">
        <v>3</v>
      </c>
      <c r="F61" s="193">
        <v>3</v>
      </c>
      <c r="G61" s="193">
        <v>4</v>
      </c>
      <c r="H61" s="193">
        <v>2</v>
      </c>
      <c r="I61" s="193"/>
      <c r="J61" s="193">
        <v>1</v>
      </c>
      <c r="K61" s="193"/>
      <c r="L61" s="193">
        <v>3</v>
      </c>
      <c r="M61" s="193">
        <v>1</v>
      </c>
      <c r="N61" s="193">
        <v>4</v>
      </c>
      <c r="O61" s="193">
        <v>3</v>
      </c>
      <c r="P61" s="193">
        <v>2</v>
      </c>
      <c r="Q61" s="193"/>
      <c r="R61" s="193">
        <v>3</v>
      </c>
      <c r="S61" s="193"/>
      <c r="T61" s="193">
        <v>2</v>
      </c>
      <c r="U61" s="193">
        <v>5</v>
      </c>
      <c r="V61" s="193">
        <v>6</v>
      </c>
      <c r="W61" s="193"/>
      <c r="X61" s="193"/>
      <c r="Y61" s="193"/>
      <c r="Z61" s="193">
        <v>4</v>
      </c>
      <c r="AA61" s="193">
        <v>4</v>
      </c>
      <c r="AB61" s="193"/>
      <c r="AC61" s="193"/>
      <c r="AD61" s="193"/>
      <c r="AE61" s="193"/>
      <c r="AF61" s="193"/>
      <c r="AG61" s="193"/>
      <c r="AH61" s="193"/>
      <c r="AI61" s="111">
        <f ca="1">IF(Configurações!$G$10="Ligado",SUMIFS(C61:AH61,$C$4:$AH$4,"&lt;="&amp;Configurações!$C$5,$C$4:$AH$4,"&lt;="&amp;$AI$3),"")</f>
        <v>50</v>
      </c>
      <c r="AJ61" s="112">
        <f ca="1">IF(Configurações!$G$12="Ligado",IF(AI61&lt;=0,"Vazio",IF(Configurações!$G$11="Dia",IF(C61="",BAIXAS!AI61/(Configurações!$C$5),BAIXAS!AI61/(Configurações!$C$5+1)),BAIXAS!AI61/BAIXAS!A61)),"")</f>
        <v>2.0833333333333335</v>
      </c>
    </row>
    <row r="62" spans="1:36" ht="21">
      <c r="A62" s="91">
        <f ca="1">COUNT(INDEX($C:$AH,ROW(),1):INDEX($C:$AH,ROW(),$AI$3+1))</f>
        <v>2</v>
      </c>
      <c r="B62" s="106" t="str">
        <f>INDEX(Cadastro_Mantimentos[[#All],[Colunas4]],MATCH(ROW()-5,Cadastro_Mantimentos[[#All],[Colunas2]],0))</f>
        <v xml:space="preserve">Feijão Preto </v>
      </c>
      <c r="C62" s="193"/>
      <c r="D62" s="193"/>
      <c r="E62" s="193"/>
      <c r="F62" s="193"/>
      <c r="G62" s="193"/>
      <c r="H62" s="193">
        <v>5</v>
      </c>
      <c r="I62" s="193"/>
      <c r="J62" s="193"/>
      <c r="K62" s="193"/>
      <c r="L62" s="193"/>
      <c r="M62" s="193"/>
      <c r="N62" s="193"/>
      <c r="O62" s="193">
        <v>6</v>
      </c>
      <c r="P62" s="193"/>
      <c r="Q62" s="193"/>
      <c r="R62" s="193"/>
      <c r="S62" s="193"/>
      <c r="T62" s="193"/>
      <c r="U62" s="193"/>
      <c r="V62" s="193"/>
      <c r="W62" s="193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11">
        <f ca="1">IF(Configurações!$G$10="Ligado",SUMIFS(C62:AH62,$C$4:$AH$4,"&lt;="&amp;Configurações!$C$5,$C$4:$AH$4,"&lt;="&amp;$AI$3),"")</f>
        <v>11</v>
      </c>
      <c r="AJ62" s="112">
        <f ca="1">IF(Configurações!$G$12="Ligado",IF(AI62&lt;=0,"Vazio",IF(Configurações!$G$11="Dia",IF(C62="",BAIXAS!AI62/(Configurações!$C$5),BAIXAS!AI62/(Configurações!$C$5+1)),BAIXAS!AI62/BAIXAS!A62)),"")</f>
        <v>0.45833333333333331</v>
      </c>
    </row>
    <row r="63" spans="1:36" ht="21">
      <c r="A63" s="91">
        <f ca="1">COUNT(INDEX($C:$AH,ROW(),1):INDEX($C:$AH,ROW(),$AI$3+1))</f>
        <v>2</v>
      </c>
      <c r="B63" s="106" t="str">
        <f>INDEX(Cadastro_Mantimentos[[#All],[Colunas4]],MATCH(ROW()-5,Cadastro_Mantimentos[[#All],[Colunas2]],0))</f>
        <v xml:space="preserve">Fermento </v>
      </c>
      <c r="C63" s="193"/>
      <c r="D63" s="193"/>
      <c r="E63" s="193"/>
      <c r="F63" s="193">
        <v>2</v>
      </c>
      <c r="G63" s="193"/>
      <c r="H63" s="193"/>
      <c r="I63" s="193"/>
      <c r="J63" s="193"/>
      <c r="K63" s="193"/>
      <c r="L63" s="193"/>
      <c r="M63" s="193"/>
      <c r="N63" s="193">
        <v>1</v>
      </c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11">
        <f ca="1">IF(Configurações!$G$10="Ligado",SUMIFS(C63:AH63,$C$4:$AH$4,"&lt;="&amp;Configurações!$C$5,$C$4:$AH$4,"&lt;="&amp;$AI$3),"")</f>
        <v>3</v>
      </c>
      <c r="AJ63" s="112">
        <f ca="1">IF(Configurações!$G$12="Ligado",IF(AI63&lt;=0,"Vazio",IF(Configurações!$G$11="Dia",IF(C63="",BAIXAS!AI63/(Configurações!$C$5),BAIXAS!AI63/(Configurações!$C$5+1)),BAIXAS!AI63/BAIXAS!A63)),"")</f>
        <v>0.125</v>
      </c>
    </row>
    <row r="64" spans="1:36" ht="21">
      <c r="A64" s="91">
        <f ca="1">COUNT(INDEX($C:$AH,ROW(),1):INDEX($C:$AH,ROW(),$AI$3+1))</f>
        <v>1</v>
      </c>
      <c r="B64" s="106" t="str">
        <f>INDEX(Cadastro_Mantimentos[[#All],[Colunas4]],MATCH(ROW()-5,Cadastro_Mantimentos[[#All],[Colunas2]],0))</f>
        <v>Figo Em Calda</v>
      </c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/>
      <c r="U64" s="193"/>
      <c r="V64" s="193"/>
      <c r="W64" s="193"/>
      <c r="X64" s="193"/>
      <c r="Y64" s="193"/>
      <c r="Z64" s="193"/>
      <c r="AA64" s="193">
        <v>1</v>
      </c>
      <c r="AB64" s="193"/>
      <c r="AC64" s="193"/>
      <c r="AD64" s="193"/>
      <c r="AE64" s="193"/>
      <c r="AF64" s="193"/>
      <c r="AG64" s="193"/>
      <c r="AH64" s="193"/>
      <c r="AI64" s="111">
        <f ca="1">IF(Configurações!$G$10="Ligado",SUMIFS(C64:AH64,$C$4:$AH$4,"&lt;="&amp;Configurações!$C$5,$C$4:$AH$4,"&lt;="&amp;$AI$3),"")</f>
        <v>1</v>
      </c>
      <c r="AJ64" s="112">
        <f ca="1">IF(Configurações!$G$12="Ligado",IF(AI64&lt;=0,"Vazio",IF(Configurações!$G$11="Dia",IF(C64="",BAIXAS!AI64/(Configurações!$C$5),BAIXAS!AI64/(Configurações!$C$5+1)),BAIXAS!AI64/BAIXAS!A64)),"")</f>
        <v>4.1666666666666664E-2</v>
      </c>
    </row>
    <row r="65" spans="1:36" ht="21">
      <c r="A65" s="91">
        <f ca="1">COUNT(INDEX($C:$AH,ROW(),1):INDEX($C:$AH,ROW(),$AI$3+1))</f>
        <v>2</v>
      </c>
      <c r="B65" s="106" t="str">
        <f>INDEX(Cadastro_Mantimentos[[#All],[Colunas4]],MATCH(ROW()-5,Cadastro_Mantimentos[[#All],[Colunas2]],0))</f>
        <v>Flan Baunilha</v>
      </c>
      <c r="C65" s="193"/>
      <c r="D65" s="193"/>
      <c r="E65" s="193"/>
      <c r="F65" s="193">
        <v>1</v>
      </c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>
        <v>1</v>
      </c>
      <c r="AA65" s="193"/>
      <c r="AB65" s="193"/>
      <c r="AC65" s="193"/>
      <c r="AD65" s="193"/>
      <c r="AE65" s="193"/>
      <c r="AF65" s="193"/>
      <c r="AG65" s="193"/>
      <c r="AH65" s="193"/>
      <c r="AI65" s="111">
        <f ca="1">IF(Configurações!$G$10="Ligado",SUMIFS(C65:AH65,$C$4:$AH$4,"&lt;="&amp;Configurações!$C$5,$C$4:$AH$4,"&lt;="&amp;$AI$3),"")</f>
        <v>2</v>
      </c>
      <c r="AJ65" s="112">
        <f ca="1">IF(Configurações!$G$12="Ligado",IF(AI65&lt;=0,"Vazio",IF(Configurações!$G$11="Dia",IF(C65="",BAIXAS!AI65/(Configurações!$C$5),BAIXAS!AI65/(Configurações!$C$5+1)),BAIXAS!AI65/BAIXAS!A65)),"")</f>
        <v>8.3333333333333329E-2</v>
      </c>
    </row>
    <row r="66" spans="1:36" ht="21">
      <c r="A66" s="91">
        <f ca="1">COUNT(INDEX($C:$AH,ROW(),1):INDEX($C:$AH,ROW(),$AI$3+1))</f>
        <v>1</v>
      </c>
      <c r="B66" s="106" t="str">
        <f>INDEX(Cadastro_Mantimentos[[#All],[Colunas4]],MATCH(ROW()-5,Cadastro_Mantimentos[[#All],[Colunas2]],0))</f>
        <v xml:space="preserve">Fubá </v>
      </c>
      <c r="C66" s="193"/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>
        <v>1</v>
      </c>
      <c r="Q66" s="193"/>
      <c r="R66" s="193"/>
      <c r="S66" s="193"/>
      <c r="T66" s="193"/>
      <c r="U66" s="193"/>
      <c r="V66" s="193"/>
      <c r="W66" s="193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11">
        <f ca="1">IF(Configurações!$G$10="Ligado",SUMIFS(C66:AH66,$C$4:$AH$4,"&lt;="&amp;Configurações!$C$5,$C$4:$AH$4,"&lt;="&amp;$AI$3),"")</f>
        <v>1</v>
      </c>
      <c r="AJ66" s="112">
        <f ca="1">IF(Configurações!$G$12="Ligado",IF(AI66&lt;=0,"Vazio",IF(Configurações!$G$11="Dia",IF(C66="",BAIXAS!AI66/(Configurações!$C$5),BAIXAS!AI66/(Configurações!$C$5+1)),BAIXAS!AI66/BAIXAS!A66)),"")</f>
        <v>4.1666666666666664E-2</v>
      </c>
    </row>
    <row r="67" spans="1:36" ht="21">
      <c r="A67" s="91">
        <f ca="1">COUNT(INDEX($C:$AH,ROW(),1):INDEX($C:$AH,ROW(),$AI$3+1))</f>
        <v>0</v>
      </c>
      <c r="B67" s="106" t="str">
        <f>INDEX(Cadastro_Mantimentos[[#All],[Colunas4]],MATCH(ROW()-5,Cadastro_Mantimentos[[#All],[Colunas2]],0))</f>
        <v>Gelatina</v>
      </c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11">
        <f ca="1">IF(Configurações!$G$10="Ligado",SUMIFS(C67:AH67,$C$4:$AH$4,"&lt;="&amp;Configurações!$C$5,$C$4:$AH$4,"&lt;="&amp;$AI$3),"")</f>
        <v>0</v>
      </c>
      <c r="AJ67" s="112" t="str">
        <f ca="1">IF(Configurações!$G$12="Ligado",IF(AI67&lt;=0,"Vazio",IF(Configurações!$G$11="Dia",IF(C67="",BAIXAS!AI67/(Configurações!$C$5),BAIXAS!AI67/(Configurações!$C$5+1)),BAIXAS!AI67/BAIXAS!A67)),"")</f>
        <v>Vazio</v>
      </c>
    </row>
    <row r="68" spans="1:36" ht="21">
      <c r="A68" s="91">
        <f ca="1">COUNT(INDEX($C:$AH,ROW(),1):INDEX($C:$AH,ROW(),$AI$3+1))</f>
        <v>0</v>
      </c>
      <c r="B68" s="106" t="str">
        <f>INDEX(Cadastro_Mantimentos[[#All],[Colunas4]],MATCH(ROW()-5,Cadastro_Mantimentos[[#All],[Colunas2]],0))</f>
        <v>Gelatina  Abacaxi</v>
      </c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11">
        <f ca="1">IF(Configurações!$G$10="Ligado",SUMIFS(C68:AH68,$C$4:$AH$4,"&lt;="&amp;Configurações!$C$5,$C$4:$AH$4,"&lt;="&amp;$AI$3),"")</f>
        <v>0</v>
      </c>
      <c r="AJ68" s="112" t="str">
        <f ca="1">IF(Configurações!$G$12="Ligado",IF(AI68&lt;=0,"Vazio",IF(Configurações!$G$11="Dia",IF(C68="",BAIXAS!AI68/(Configurações!$C$5),BAIXAS!AI68/(Configurações!$C$5+1)),BAIXAS!AI68/BAIXAS!A68)),"")</f>
        <v>Vazio</v>
      </c>
    </row>
    <row r="69" spans="1:36" ht="21">
      <c r="A69" s="91">
        <f ca="1">COUNT(INDEX($C:$AH,ROW(),1):INDEX($C:$AH,ROW(),$AI$3+1))</f>
        <v>1</v>
      </c>
      <c r="B69" s="106" t="str">
        <f>INDEX(Cadastro_Mantimentos[[#All],[Colunas4]],MATCH(ROW()-5,Cadastro_Mantimentos[[#All],[Colunas2]],0))</f>
        <v>Gelatina  Cereja</v>
      </c>
      <c r="C69" s="193"/>
      <c r="D69" s="193"/>
      <c r="E69" s="193"/>
      <c r="F69" s="193"/>
      <c r="G69" s="193"/>
      <c r="H69" s="193"/>
      <c r="I69" s="193"/>
      <c r="J69" s="193"/>
      <c r="K69" s="193"/>
      <c r="L69" s="193">
        <v>1</v>
      </c>
      <c r="M69" s="193"/>
      <c r="N69" s="193"/>
      <c r="O69" s="193"/>
      <c r="P69" s="193"/>
      <c r="Q69" s="193"/>
      <c r="R69" s="193"/>
      <c r="S69" s="193"/>
      <c r="T69" s="193"/>
      <c r="U69" s="193"/>
      <c r="V69" s="193"/>
      <c r="W69" s="193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11">
        <f ca="1">IF(Configurações!$G$10="Ligado",SUMIFS(C69:AH69,$C$4:$AH$4,"&lt;="&amp;Configurações!$C$5,$C$4:$AH$4,"&lt;="&amp;$AI$3),"")</f>
        <v>1</v>
      </c>
      <c r="AJ69" s="112">
        <f ca="1">IF(Configurações!$G$12="Ligado",IF(AI69&lt;=0,"Vazio",IF(Configurações!$G$11="Dia",IF(C69="",BAIXAS!AI69/(Configurações!$C$5),BAIXAS!AI69/(Configurações!$C$5+1)),BAIXAS!AI69/BAIXAS!A69)),"")</f>
        <v>4.1666666666666664E-2</v>
      </c>
    </row>
    <row r="70" spans="1:36" ht="21">
      <c r="A70" s="91">
        <f ca="1">COUNT(INDEX($C:$AH,ROW(),1):INDEX($C:$AH,ROW(),$AI$3+1))</f>
        <v>2</v>
      </c>
      <c r="B70" s="106" t="str">
        <f>INDEX(Cadastro_Mantimentos[[#All],[Colunas4]],MATCH(ROW()-5,Cadastro_Mantimentos[[#All],[Colunas2]],0))</f>
        <v>Gelatina  Framboesa</v>
      </c>
      <c r="C70" s="193"/>
      <c r="D70" s="193"/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>
        <v>1</v>
      </c>
      <c r="U70" s="193"/>
      <c r="V70" s="193"/>
      <c r="W70" s="193"/>
      <c r="X70" s="193"/>
      <c r="Y70" s="193"/>
      <c r="Z70" s="193">
        <v>2</v>
      </c>
      <c r="AA70" s="193"/>
      <c r="AB70" s="193"/>
      <c r="AC70" s="193"/>
      <c r="AD70" s="193"/>
      <c r="AE70" s="193"/>
      <c r="AF70" s="193"/>
      <c r="AG70" s="193"/>
      <c r="AH70" s="193"/>
      <c r="AI70" s="111">
        <f ca="1">IF(Configurações!$G$10="Ligado",SUMIFS(C70:AH70,$C$4:$AH$4,"&lt;="&amp;Configurações!$C$5,$C$4:$AH$4,"&lt;="&amp;$AI$3),"")</f>
        <v>3</v>
      </c>
      <c r="AJ70" s="112">
        <f ca="1">IF(Configurações!$G$12="Ligado",IF(AI70&lt;=0,"Vazio",IF(Configurações!$G$11="Dia",IF(C70="",BAIXAS!AI70/(Configurações!$C$5),BAIXAS!AI70/(Configurações!$C$5+1)),BAIXAS!AI70/BAIXAS!A70)),"")</f>
        <v>0.125</v>
      </c>
    </row>
    <row r="71" spans="1:36" ht="21">
      <c r="A71" s="91">
        <f ca="1">COUNT(INDEX($C:$AH,ROW(),1):INDEX($C:$AH,ROW(),$AI$3+1))</f>
        <v>0</v>
      </c>
      <c r="B71" s="106" t="str">
        <f>INDEX(Cadastro_Mantimentos[[#All],[Colunas4]],MATCH(ROW()-5,Cadastro_Mantimentos[[#All],[Colunas2]],0))</f>
        <v>Gelatina  Limão</v>
      </c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  <c r="V71" s="193"/>
      <c r="W71" s="193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11">
        <f ca="1">IF(Configurações!$G$10="Ligado",SUMIFS(C71:AH71,$C$4:$AH$4,"&lt;="&amp;Configurações!$C$5,$C$4:$AH$4,"&lt;="&amp;$AI$3),"")</f>
        <v>0</v>
      </c>
      <c r="AJ71" s="112" t="str">
        <f ca="1">IF(Configurações!$G$12="Ligado",IF(AI71&lt;=0,"Vazio",IF(Configurações!$G$11="Dia",IF(C71="",BAIXAS!AI71/(Configurações!$C$5),BAIXAS!AI71/(Configurações!$C$5+1)),BAIXAS!AI71/BAIXAS!A71)),"")</f>
        <v>Vazio</v>
      </c>
    </row>
    <row r="72" spans="1:36" ht="21">
      <c r="A72" s="91">
        <f ca="1">COUNT(INDEX($C:$AH,ROW(),1):INDEX($C:$AH,ROW(),$AI$3+1))</f>
        <v>0</v>
      </c>
      <c r="B72" s="106" t="str">
        <f>INDEX(Cadastro_Mantimentos[[#All],[Colunas4]],MATCH(ROW()-5,Cadastro_Mantimentos[[#All],[Colunas2]],0))</f>
        <v>Gelatina  Morango</v>
      </c>
      <c r="C72" s="193"/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  <c r="P72" s="193"/>
      <c r="Q72" s="193"/>
      <c r="R72" s="193"/>
      <c r="S72" s="193"/>
      <c r="T72" s="193"/>
      <c r="U72" s="193"/>
      <c r="V72" s="193"/>
      <c r="W72" s="193"/>
      <c r="X72" s="193"/>
      <c r="Y72" s="193"/>
      <c r="Z72" s="193"/>
      <c r="AA72" s="193"/>
      <c r="AB72" s="193"/>
      <c r="AC72" s="193"/>
      <c r="AD72" s="193"/>
      <c r="AE72" s="193"/>
      <c r="AF72" s="193"/>
      <c r="AG72" s="193"/>
      <c r="AH72" s="193"/>
      <c r="AI72" s="111">
        <f ca="1">IF(Configurações!$G$10="Ligado",SUMIFS(C72:AH72,$C$4:$AH$4,"&lt;="&amp;Configurações!$C$5,$C$4:$AH$4,"&lt;="&amp;$AI$3),"")</f>
        <v>0</v>
      </c>
      <c r="AJ72" s="112" t="str">
        <f ca="1">IF(Configurações!$G$12="Ligado",IF(AI72&lt;=0,"Vazio",IF(Configurações!$G$11="Dia",IF(C72="",BAIXAS!AI72/(Configurações!$C$5),BAIXAS!AI72/(Configurações!$C$5+1)),BAIXAS!AI72/BAIXAS!A72)),"")</f>
        <v>Vazio</v>
      </c>
    </row>
    <row r="73" spans="1:36" ht="21">
      <c r="A73" s="91">
        <f ca="1">COUNT(INDEX($C:$AH,ROW(),1):INDEX($C:$AH,ROW(),$AI$3+1))</f>
        <v>2</v>
      </c>
      <c r="B73" s="106" t="str">
        <f>INDEX(Cadastro_Mantimentos[[#All],[Colunas4]],MATCH(ROW()-5,Cadastro_Mantimentos[[#All],[Colunas2]],0))</f>
        <v>Gelatina  Pêssego</v>
      </c>
      <c r="C73" s="193"/>
      <c r="D73" s="193"/>
      <c r="E73" s="193"/>
      <c r="F73" s="193"/>
      <c r="G73" s="193"/>
      <c r="H73" s="193"/>
      <c r="I73" s="193"/>
      <c r="J73" s="193"/>
      <c r="K73" s="193"/>
      <c r="L73" s="193"/>
      <c r="M73" s="193">
        <v>1</v>
      </c>
      <c r="N73" s="193"/>
      <c r="O73" s="193"/>
      <c r="P73" s="193"/>
      <c r="Q73" s="193"/>
      <c r="R73" s="193"/>
      <c r="S73" s="193"/>
      <c r="T73" s="193"/>
      <c r="U73" s="193"/>
      <c r="V73" s="193"/>
      <c r="W73" s="193"/>
      <c r="X73" s="193"/>
      <c r="Y73" s="193"/>
      <c r="Z73" s="193"/>
      <c r="AA73" s="193">
        <v>1</v>
      </c>
      <c r="AB73" s="193"/>
      <c r="AC73" s="193"/>
      <c r="AD73" s="193"/>
      <c r="AE73" s="193"/>
      <c r="AF73" s="193"/>
      <c r="AG73" s="193"/>
      <c r="AH73" s="193"/>
      <c r="AI73" s="111">
        <f ca="1">IF(Configurações!$G$10="Ligado",SUMIFS(C73:AH73,$C$4:$AH$4,"&lt;="&amp;Configurações!$C$5,$C$4:$AH$4,"&lt;="&amp;$AI$3),"")</f>
        <v>2</v>
      </c>
      <c r="AJ73" s="112">
        <f ca="1">IF(Configurações!$G$12="Ligado",IF(AI73&lt;=0,"Vazio",IF(Configurações!$G$11="Dia",IF(C73="",BAIXAS!AI73/(Configurações!$C$5),BAIXAS!AI73/(Configurações!$C$5+1)),BAIXAS!AI73/BAIXAS!A73)),"")</f>
        <v>8.3333333333333329E-2</v>
      </c>
    </row>
    <row r="74" spans="1:36" ht="21">
      <c r="A74" s="91">
        <f ca="1">COUNT(INDEX($C:$AH,ROW(),1):INDEX($C:$AH,ROW(),$AI$3+1))</f>
        <v>0</v>
      </c>
      <c r="B74" s="106" t="str">
        <f>INDEX(Cadastro_Mantimentos[[#All],[Colunas4]],MATCH(ROW()-5,Cadastro_Mantimentos[[#All],[Colunas2]],0))</f>
        <v>Gelatina  S/Sabor</v>
      </c>
      <c r="C74" s="193"/>
      <c r="D74" s="193"/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  <c r="V74" s="193"/>
      <c r="W74" s="193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  <c r="AI74" s="111">
        <f ca="1">IF(Configurações!$G$10="Ligado",SUMIFS(C74:AH74,$C$4:$AH$4,"&lt;="&amp;Configurações!$C$5,$C$4:$AH$4,"&lt;="&amp;$AI$3),"")</f>
        <v>0</v>
      </c>
      <c r="AJ74" s="112" t="str">
        <f ca="1">IF(Configurações!$G$12="Ligado",IF(AI74&lt;=0,"Vazio",IF(Configurações!$G$11="Dia",IF(C74="",BAIXAS!AI74/(Configurações!$C$5),BAIXAS!AI74/(Configurações!$C$5+1)),BAIXAS!AI74/BAIXAS!A74)),"")</f>
        <v>Vazio</v>
      </c>
    </row>
    <row r="75" spans="1:36" ht="21">
      <c r="A75" s="91">
        <f ca="1">COUNT(INDEX($C:$AH,ROW(),1):INDEX($C:$AH,ROW(),$AI$3+1))</f>
        <v>1</v>
      </c>
      <c r="B75" s="106" t="str">
        <f>INDEX(Cadastro_Mantimentos[[#All],[Colunas4]],MATCH(ROW()-5,Cadastro_Mantimentos[[#All],[Colunas2]],0))</f>
        <v>Gelatina  Uva</v>
      </c>
      <c r="C75" s="193"/>
      <c r="D75" s="193">
        <v>1</v>
      </c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  <c r="V75" s="193"/>
      <c r="W75" s="193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11">
        <f ca="1">IF(Configurações!$G$10="Ligado",SUMIFS(C75:AH75,$C$4:$AH$4,"&lt;="&amp;Configurações!$C$5,$C$4:$AH$4,"&lt;="&amp;$AI$3),"")</f>
        <v>1</v>
      </c>
      <c r="AJ75" s="112">
        <f ca="1">IF(Configurações!$G$12="Ligado",IF(AI75&lt;=0,"Vazio",IF(Configurações!$G$11="Dia",IF(C75="",BAIXAS!AI75/(Configurações!$C$5),BAIXAS!AI75/(Configurações!$C$5+1)),BAIXAS!AI75/BAIXAS!A75)),"")</f>
        <v>4.1666666666666664E-2</v>
      </c>
    </row>
    <row r="76" spans="1:36" ht="21">
      <c r="A76" s="91">
        <f ca="1">COUNT(INDEX($C:$AH,ROW(),1):INDEX($C:$AH,ROW(),$AI$3+1))</f>
        <v>2</v>
      </c>
      <c r="B76" s="106" t="str">
        <f>INDEX(Cadastro_Mantimentos[[#All],[Colunas4]],MATCH(ROW()-5,Cadastro_Mantimentos[[#All],[Colunas2]],0))</f>
        <v>Geleia Sache</v>
      </c>
      <c r="C76" s="193"/>
      <c r="D76" s="193"/>
      <c r="E76" s="193"/>
      <c r="F76" s="193">
        <v>2</v>
      </c>
      <c r="G76" s="193"/>
      <c r="H76" s="193"/>
      <c r="I76" s="193"/>
      <c r="J76" s="193"/>
      <c r="K76" s="193"/>
      <c r="L76" s="193"/>
      <c r="M76" s="193"/>
      <c r="N76" s="193"/>
      <c r="O76" s="193">
        <v>1</v>
      </c>
      <c r="P76" s="193"/>
      <c r="Q76" s="193"/>
      <c r="R76" s="193"/>
      <c r="S76" s="193"/>
      <c r="T76" s="193"/>
      <c r="U76" s="193"/>
      <c r="V76" s="193"/>
      <c r="W76" s="193"/>
      <c r="X76" s="193"/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  <c r="AI76" s="111">
        <f ca="1">IF(Configurações!$G$10="Ligado",SUMIFS(C76:AH76,$C$4:$AH$4,"&lt;="&amp;Configurações!$C$5,$C$4:$AH$4,"&lt;="&amp;$AI$3),"")</f>
        <v>3</v>
      </c>
      <c r="AJ76" s="112">
        <f ca="1">IF(Configurações!$G$12="Ligado",IF(AI76&lt;=0,"Vazio",IF(Configurações!$G$11="Dia",IF(C76="",BAIXAS!AI76/(Configurações!$C$5),BAIXAS!AI76/(Configurações!$C$5+1)),BAIXAS!AI76/BAIXAS!A76)),"")</f>
        <v>0.125</v>
      </c>
    </row>
    <row r="77" spans="1:36" ht="21">
      <c r="A77" s="91">
        <f ca="1">COUNT(INDEX($C:$AH,ROW(),1):INDEX($C:$AH,ROW(),$AI$3+1))</f>
        <v>0</v>
      </c>
      <c r="B77" s="106" t="str">
        <f>INDEX(Cadastro_Mantimentos[[#All],[Colunas4]],MATCH(ROW()-5,Cadastro_Mantimentos[[#All],[Colunas2]],0))</f>
        <v>Gergelim</v>
      </c>
      <c r="C77" s="193"/>
      <c r="D77" s="193"/>
      <c r="E77" s="193"/>
      <c r="F77" s="193"/>
      <c r="G77" s="193"/>
      <c r="H77" s="193"/>
      <c r="I77" s="193"/>
      <c r="J77" s="193"/>
      <c r="K77" s="193"/>
      <c r="L77" s="193"/>
      <c r="M77" s="193"/>
      <c r="N77" s="193"/>
      <c r="O77" s="193"/>
      <c r="P77" s="193"/>
      <c r="Q77" s="193"/>
      <c r="R77" s="193"/>
      <c r="S77" s="193"/>
      <c r="T77" s="193"/>
      <c r="U77" s="193"/>
      <c r="V77" s="193"/>
      <c r="W77" s="193"/>
      <c r="X77" s="193"/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  <c r="AI77" s="111">
        <f ca="1">IF(Configurações!$G$10="Ligado",SUMIFS(C77:AH77,$C$4:$AH$4,"&lt;="&amp;Configurações!$C$5,$C$4:$AH$4,"&lt;="&amp;$AI$3),"")</f>
        <v>0</v>
      </c>
      <c r="AJ77" s="112" t="str">
        <f ca="1">IF(Configurações!$G$12="Ligado",IF(AI77&lt;=0,"Vazio",IF(Configurações!$G$11="Dia",IF(C77="",BAIXAS!AI77/(Configurações!$C$5),BAIXAS!AI77/(Configurações!$C$5+1)),BAIXAS!AI77/BAIXAS!A77)),"")</f>
        <v>Vazio</v>
      </c>
    </row>
    <row r="78" spans="1:36" ht="21">
      <c r="A78" s="91">
        <f ca="1">COUNT(INDEX($C:$AH,ROW(),1):INDEX($C:$AH,ROW(),$AI$3+1))</f>
        <v>0</v>
      </c>
      <c r="B78" s="106" t="str">
        <f>INDEX(Cadastro_Mantimentos[[#All],[Colunas4]],MATCH(ROW()-5,Cadastro_Mantimentos[[#All],[Colunas2]],0))</f>
        <v>Gergelim Branco</v>
      </c>
      <c r="C78" s="193"/>
      <c r="D78" s="193"/>
      <c r="E78" s="193"/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93"/>
      <c r="S78" s="193"/>
      <c r="T78" s="193"/>
      <c r="U78" s="193"/>
      <c r="V78" s="193"/>
      <c r="W78" s="193"/>
      <c r="X78" s="193"/>
      <c r="Y78" s="193"/>
      <c r="Z78" s="193"/>
      <c r="AA78" s="193"/>
      <c r="AB78" s="193"/>
      <c r="AC78" s="193"/>
      <c r="AD78" s="193"/>
      <c r="AE78" s="193"/>
      <c r="AF78" s="193"/>
      <c r="AG78" s="193"/>
      <c r="AH78" s="193"/>
      <c r="AI78" s="111">
        <f ca="1">IF(Configurações!$G$10="Ligado",SUMIFS(C78:AH78,$C$4:$AH$4,"&lt;="&amp;Configurações!$C$5,$C$4:$AH$4,"&lt;="&amp;$AI$3),"")</f>
        <v>0</v>
      </c>
      <c r="AJ78" s="112" t="str">
        <f ca="1">IF(Configurações!$G$12="Ligado",IF(AI78&lt;=0,"Vazio",IF(Configurações!$G$11="Dia",IF(C78="",BAIXAS!AI78/(Configurações!$C$5),BAIXAS!AI78/(Configurações!$C$5+1)),BAIXAS!AI78/BAIXAS!A78)),"")</f>
        <v>Vazio</v>
      </c>
    </row>
    <row r="79" spans="1:36" ht="21">
      <c r="A79" s="91">
        <f ca="1">COUNT(INDEX($C:$AH,ROW(),1):INDEX($C:$AH,ROW(),$AI$3+1))</f>
        <v>0</v>
      </c>
      <c r="B79" s="106" t="str">
        <f>INDEX(Cadastro_Mantimentos[[#All],[Colunas4]],MATCH(ROW()-5,Cadastro_Mantimentos[[#All],[Colunas2]],0))</f>
        <v>Gergelim Preto</v>
      </c>
      <c r="C79" s="193"/>
      <c r="D79" s="193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93"/>
      <c r="U79" s="193"/>
      <c r="V79" s="193"/>
      <c r="W79" s="193"/>
      <c r="X79" s="193"/>
      <c r="Y79" s="193"/>
      <c r="Z79" s="193"/>
      <c r="AA79" s="193"/>
      <c r="AB79" s="193"/>
      <c r="AC79" s="193"/>
      <c r="AD79" s="193"/>
      <c r="AE79" s="193"/>
      <c r="AF79" s="193"/>
      <c r="AG79" s="193"/>
      <c r="AH79" s="193"/>
      <c r="AI79" s="111">
        <f ca="1">IF(Configurações!$G$10="Ligado",SUMIFS(C79:AH79,$C$4:$AH$4,"&lt;="&amp;Configurações!$C$5,$C$4:$AH$4,"&lt;="&amp;$AI$3),"")</f>
        <v>0</v>
      </c>
      <c r="AJ79" s="112" t="str">
        <f ca="1">IF(Configurações!$G$12="Ligado",IF(AI79&lt;=0,"Vazio",IF(Configurações!$G$11="Dia",IF(C79="",BAIXAS!AI79/(Configurações!$C$5),BAIXAS!AI79/(Configurações!$C$5+1)),BAIXAS!AI79/BAIXAS!A79)),"")</f>
        <v>Vazio</v>
      </c>
    </row>
    <row r="80" spans="1:36" ht="21">
      <c r="A80" s="91">
        <f ca="1">COUNT(INDEX($C:$AH,ROW(),1):INDEX($C:$AH,ROW(),$AI$3+1))</f>
        <v>0</v>
      </c>
      <c r="B80" s="106" t="str">
        <f>INDEX(Cadastro_Mantimentos[[#All],[Colunas4]],MATCH(ROW()-5,Cadastro_Mantimentos[[#All],[Colunas2]],0))</f>
        <v>Goiaba Em Calda</v>
      </c>
      <c r="C80" s="193"/>
      <c r="D80" s="193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193"/>
      <c r="W80" s="193"/>
      <c r="X80" s="193"/>
      <c r="Y80" s="193"/>
      <c r="Z80" s="193"/>
      <c r="AA80" s="193"/>
      <c r="AB80" s="193"/>
      <c r="AC80" s="193"/>
      <c r="AD80" s="193"/>
      <c r="AE80" s="193"/>
      <c r="AF80" s="193"/>
      <c r="AG80" s="193"/>
      <c r="AH80" s="193"/>
      <c r="AI80" s="111">
        <f ca="1">IF(Configurações!$G$10="Ligado",SUMIFS(C80:AH80,$C$4:$AH$4,"&lt;="&amp;Configurações!$C$5,$C$4:$AH$4,"&lt;="&amp;$AI$3),"")</f>
        <v>0</v>
      </c>
      <c r="AJ80" s="112" t="str">
        <f ca="1">IF(Configurações!$G$12="Ligado",IF(AI80&lt;=0,"Vazio",IF(Configurações!$G$11="Dia",IF(C80="",BAIXAS!AI80/(Configurações!$C$5),BAIXAS!AI80/(Configurações!$C$5+1)),BAIXAS!AI80/BAIXAS!A80)),"")</f>
        <v>Vazio</v>
      </c>
    </row>
    <row r="81" spans="1:36" ht="21">
      <c r="A81" s="91">
        <f ca="1">COUNT(INDEX($C:$AH,ROW(),1):INDEX($C:$AH,ROW(),$AI$3+1))</f>
        <v>2</v>
      </c>
      <c r="B81" s="106" t="str">
        <f>INDEX(Cadastro_Mantimentos[[#All],[Colunas4]],MATCH(ROW()-5,Cadastro_Mantimentos[[#All],[Colunas2]],0))</f>
        <v xml:space="preserve">Gordura Vegetal </v>
      </c>
      <c r="C81" s="193"/>
      <c r="D81" s="193"/>
      <c r="E81" s="193"/>
      <c r="F81" s="193">
        <v>30</v>
      </c>
      <c r="G81" s="193"/>
      <c r="H81" s="193"/>
      <c r="I81" s="193"/>
      <c r="J81" s="193"/>
      <c r="K81" s="193"/>
      <c r="L81" s="193"/>
      <c r="M81" s="193"/>
      <c r="N81" s="193"/>
      <c r="O81" s="193">
        <v>30</v>
      </c>
      <c r="P81" s="193"/>
      <c r="Q81" s="193"/>
      <c r="R81" s="193"/>
      <c r="S81" s="193"/>
      <c r="T81" s="193"/>
      <c r="U81" s="193"/>
      <c r="V81" s="193"/>
      <c r="W81" s="193"/>
      <c r="X81" s="193"/>
      <c r="Y81" s="193"/>
      <c r="Z81" s="193"/>
      <c r="AA81" s="193"/>
      <c r="AB81" s="193"/>
      <c r="AC81" s="193"/>
      <c r="AD81" s="193"/>
      <c r="AE81" s="193"/>
      <c r="AF81" s="193"/>
      <c r="AG81" s="193"/>
      <c r="AH81" s="193"/>
      <c r="AI81" s="111">
        <f ca="1">IF(Configurações!$G$10="Ligado",SUMIFS(C81:AH81,$C$4:$AH$4,"&lt;="&amp;Configurações!$C$5,$C$4:$AH$4,"&lt;="&amp;$AI$3),"")</f>
        <v>60</v>
      </c>
      <c r="AJ81" s="112">
        <f ca="1">IF(Configurações!$G$12="Ligado",IF(AI81&lt;=0,"Vazio",IF(Configurações!$G$11="Dia",IF(C81="",BAIXAS!AI81/(Configurações!$C$5),BAIXAS!AI81/(Configurações!$C$5+1)),BAIXAS!AI81/BAIXAS!A81)),"")</f>
        <v>2.5</v>
      </c>
    </row>
    <row r="82" spans="1:36" ht="21">
      <c r="A82" s="91">
        <f ca="1">COUNT(INDEX($C:$AH,ROW(),1):INDEX($C:$AH,ROW(),$AI$3+1))</f>
        <v>0</v>
      </c>
      <c r="B82" s="106" t="str">
        <f>INDEX(Cadastro_Mantimentos[[#All],[Colunas4]],MATCH(ROW()-5,Cadastro_Mantimentos[[#All],[Colunas2]],0))</f>
        <v xml:space="preserve">Grão De Bico </v>
      </c>
      <c r="C82" s="193"/>
      <c r="D82" s="193"/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  <c r="P82" s="193"/>
      <c r="Q82" s="193"/>
      <c r="R82" s="193"/>
      <c r="S82" s="193"/>
      <c r="T82" s="193"/>
      <c r="U82" s="193"/>
      <c r="V82" s="193"/>
      <c r="W82" s="193"/>
      <c r="X82" s="193"/>
      <c r="Y82" s="193"/>
      <c r="Z82" s="193"/>
      <c r="AA82" s="193"/>
      <c r="AB82" s="193"/>
      <c r="AC82" s="193"/>
      <c r="AD82" s="193"/>
      <c r="AE82" s="193"/>
      <c r="AF82" s="193"/>
      <c r="AG82" s="193"/>
      <c r="AH82" s="193"/>
      <c r="AI82" s="111">
        <f ca="1">IF(Configurações!$G$10="Ligado",SUMIFS(C82:AH82,$C$4:$AH$4,"&lt;="&amp;Configurações!$C$5,$C$4:$AH$4,"&lt;="&amp;$AI$3),"")</f>
        <v>0</v>
      </c>
      <c r="AJ82" s="112" t="str">
        <f ca="1">IF(Configurações!$G$12="Ligado",IF(AI82&lt;=0,"Vazio",IF(Configurações!$G$11="Dia",IF(C82="",BAIXAS!AI82/(Configurações!$C$5),BAIXAS!AI82/(Configurações!$C$5+1)),BAIXAS!AI82/BAIXAS!A82)),"")</f>
        <v>Vazio</v>
      </c>
    </row>
    <row r="83" spans="1:36" ht="21">
      <c r="A83" s="91">
        <f ca="1">COUNT(INDEX($C:$AH,ROW(),1):INDEX($C:$AH,ROW(),$AI$3+1))</f>
        <v>0</v>
      </c>
      <c r="B83" s="106" t="str">
        <f>INDEX(Cadastro_Mantimentos[[#All],[Colunas4]],MATCH(ROW()-5,Cadastro_Mantimentos[[#All],[Colunas2]],0))</f>
        <v xml:space="preserve">katchup </v>
      </c>
      <c r="C83" s="193"/>
      <c r="D83" s="193"/>
      <c r="E83" s="193"/>
      <c r="F83" s="193"/>
      <c r="G83" s="193"/>
      <c r="H83" s="193"/>
      <c r="I83" s="193"/>
      <c r="J83" s="193"/>
      <c r="K83" s="193"/>
      <c r="L83" s="193"/>
      <c r="M83" s="193"/>
      <c r="N83" s="193"/>
      <c r="O83" s="193"/>
      <c r="P83" s="193"/>
      <c r="Q83" s="193"/>
      <c r="R83" s="193"/>
      <c r="S83" s="193"/>
      <c r="T83" s="193"/>
      <c r="U83" s="193"/>
      <c r="V83" s="193"/>
      <c r="W83" s="193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11">
        <f ca="1">IF(Configurações!$G$10="Ligado",SUMIFS(C83:AH83,$C$4:$AH$4,"&lt;="&amp;Configurações!$C$5,$C$4:$AH$4,"&lt;="&amp;$AI$3),"")</f>
        <v>0</v>
      </c>
      <c r="AJ83" s="112" t="str">
        <f ca="1">IF(Configurações!$G$12="Ligado",IF(AI83&lt;=0,"Vazio",IF(Configurações!$G$11="Dia",IF(C83="",BAIXAS!AI83/(Configurações!$C$5),BAIXAS!AI83/(Configurações!$C$5+1)),BAIXAS!AI83/BAIXAS!A83)),"")</f>
        <v>Vazio</v>
      </c>
    </row>
    <row r="84" spans="1:36" ht="21">
      <c r="A84" s="91">
        <f ca="1">COUNT(INDEX($C:$AH,ROW(),1):INDEX($C:$AH,ROW(),$AI$3+1))</f>
        <v>8</v>
      </c>
      <c r="B84" s="106" t="str">
        <f>INDEX(Cadastro_Mantimentos[[#All],[Colunas4]],MATCH(ROW()-5,Cadastro_Mantimentos[[#All],[Colunas2]],0))</f>
        <v>Leite Condensado</v>
      </c>
      <c r="C84" s="193"/>
      <c r="D84" s="193"/>
      <c r="E84" s="193"/>
      <c r="F84" s="193">
        <v>1</v>
      </c>
      <c r="G84" s="193">
        <v>15</v>
      </c>
      <c r="H84" s="193"/>
      <c r="I84" s="193"/>
      <c r="J84" s="193"/>
      <c r="K84" s="193"/>
      <c r="L84" s="193"/>
      <c r="M84" s="193"/>
      <c r="N84" s="193">
        <v>5</v>
      </c>
      <c r="O84" s="193">
        <v>7</v>
      </c>
      <c r="P84" s="193"/>
      <c r="Q84" s="193"/>
      <c r="R84" s="193"/>
      <c r="S84" s="193">
        <v>2</v>
      </c>
      <c r="T84" s="193"/>
      <c r="U84" s="193">
        <v>8</v>
      </c>
      <c r="V84" s="193"/>
      <c r="W84" s="193"/>
      <c r="X84" s="193"/>
      <c r="Y84" s="193"/>
      <c r="Z84" s="193">
        <v>6</v>
      </c>
      <c r="AA84" s="193">
        <v>7</v>
      </c>
      <c r="AB84" s="193"/>
      <c r="AC84" s="193"/>
      <c r="AD84" s="193"/>
      <c r="AE84" s="193"/>
      <c r="AF84" s="193"/>
      <c r="AG84" s="193"/>
      <c r="AH84" s="193"/>
      <c r="AI84" s="111">
        <f ca="1">IF(Configurações!$G$10="Ligado",SUMIFS(C84:AH84,$C$4:$AH$4,"&lt;="&amp;Configurações!$C$5,$C$4:$AH$4,"&lt;="&amp;$AI$3),"")</f>
        <v>51</v>
      </c>
      <c r="AJ84" s="112">
        <f ca="1">IF(Configurações!$G$12="Ligado",IF(AI84&lt;=0,"Vazio",IF(Configurações!$G$11="Dia",IF(C84="",BAIXAS!AI84/(Configurações!$C$5),BAIXAS!AI84/(Configurações!$C$5+1)),BAIXAS!AI84/BAIXAS!A84)),"")</f>
        <v>2.125</v>
      </c>
    </row>
    <row r="85" spans="1:36" ht="21">
      <c r="A85" s="91">
        <f ca="1">COUNT(INDEX($C:$AH,ROW(),1):INDEX($C:$AH,ROW(),$AI$3+1))</f>
        <v>4</v>
      </c>
      <c r="B85" s="106" t="str">
        <f>INDEX(Cadastro_Mantimentos[[#All],[Colunas4]],MATCH(ROW()-5,Cadastro_Mantimentos[[#All],[Colunas2]],0))</f>
        <v xml:space="preserve">Leite De Coco </v>
      </c>
      <c r="C85" s="193"/>
      <c r="D85" s="193"/>
      <c r="E85" s="193"/>
      <c r="F85" s="193">
        <v>1</v>
      </c>
      <c r="G85" s="193"/>
      <c r="H85" s="193">
        <v>0.5</v>
      </c>
      <c r="I85" s="193"/>
      <c r="J85" s="193"/>
      <c r="K85" s="193"/>
      <c r="L85" s="193"/>
      <c r="M85" s="193"/>
      <c r="N85" s="193">
        <v>1</v>
      </c>
      <c r="O85" s="193"/>
      <c r="P85" s="193"/>
      <c r="Q85" s="193"/>
      <c r="R85" s="193"/>
      <c r="S85" s="193"/>
      <c r="T85" s="193">
        <v>0.5</v>
      </c>
      <c r="U85" s="193"/>
      <c r="V85" s="193"/>
      <c r="W85" s="193"/>
      <c r="X85" s="193"/>
      <c r="Y85" s="193"/>
      <c r="Z85" s="193"/>
      <c r="AA85" s="193"/>
      <c r="AB85" s="193"/>
      <c r="AC85" s="193"/>
      <c r="AD85" s="193"/>
      <c r="AE85" s="193"/>
      <c r="AF85" s="193"/>
      <c r="AG85" s="193"/>
      <c r="AH85" s="193"/>
      <c r="AI85" s="111">
        <f ca="1">IF(Configurações!$G$10="Ligado",SUMIFS(C85:AH85,$C$4:$AH$4,"&lt;="&amp;Configurações!$C$5,$C$4:$AH$4,"&lt;="&amp;$AI$3),"")</f>
        <v>3</v>
      </c>
      <c r="AJ85" s="112">
        <f ca="1">IF(Configurações!$G$12="Ligado",IF(AI85&lt;=0,"Vazio",IF(Configurações!$G$11="Dia",IF(C85="",BAIXAS!AI85/(Configurações!$C$5),BAIXAS!AI85/(Configurações!$C$5+1)),BAIXAS!AI85/BAIXAS!A85)),"")</f>
        <v>0.125</v>
      </c>
    </row>
    <row r="86" spans="1:36" ht="21">
      <c r="A86" s="91">
        <f ca="1">COUNT(INDEX($C:$AH,ROW(),1):INDEX($C:$AH,ROW(),$AI$3+1))</f>
        <v>9</v>
      </c>
      <c r="B86" s="106" t="str">
        <f>INDEX(Cadastro_Mantimentos[[#All],[Colunas4]],MATCH(ROW()-5,Cadastro_Mantimentos[[#All],[Colunas2]],0))</f>
        <v>Leite Uht Integral</v>
      </c>
      <c r="C86" s="193"/>
      <c r="D86" s="193"/>
      <c r="E86" s="193">
        <v>1</v>
      </c>
      <c r="F86" s="193">
        <v>2</v>
      </c>
      <c r="G86" s="193">
        <v>1</v>
      </c>
      <c r="H86" s="193">
        <v>1</v>
      </c>
      <c r="I86" s="193">
        <v>1</v>
      </c>
      <c r="J86" s="193"/>
      <c r="K86" s="193"/>
      <c r="L86" s="193"/>
      <c r="M86" s="193">
        <v>1</v>
      </c>
      <c r="N86" s="193"/>
      <c r="O86" s="193">
        <v>2</v>
      </c>
      <c r="P86" s="193">
        <v>2</v>
      </c>
      <c r="Q86" s="193"/>
      <c r="R86" s="193"/>
      <c r="S86" s="193"/>
      <c r="T86" s="193">
        <v>1</v>
      </c>
      <c r="U86" s="193"/>
      <c r="V86" s="193"/>
      <c r="W86" s="193"/>
      <c r="X86" s="193"/>
      <c r="Y86" s="193"/>
      <c r="Z86" s="193"/>
      <c r="AA86" s="193"/>
      <c r="AB86" s="193"/>
      <c r="AC86" s="193"/>
      <c r="AD86" s="193"/>
      <c r="AE86" s="193"/>
      <c r="AF86" s="193"/>
      <c r="AG86" s="193"/>
      <c r="AH86" s="193"/>
      <c r="AI86" s="111">
        <f ca="1">IF(Configurações!$G$10="Ligado",SUMIFS(C86:AH86,$C$4:$AH$4,"&lt;="&amp;Configurações!$C$5,$C$4:$AH$4,"&lt;="&amp;$AI$3),"")</f>
        <v>12</v>
      </c>
      <c r="AJ86" s="112">
        <f ca="1">IF(Configurações!$G$12="Ligado",IF(AI86&lt;=0,"Vazio",IF(Configurações!$G$11="Dia",IF(C86="",BAIXAS!AI86/(Configurações!$C$5),BAIXAS!AI86/(Configurações!$C$5+1)),BAIXAS!AI86/BAIXAS!A86)),"")</f>
        <v>0.5</v>
      </c>
    </row>
    <row r="87" spans="1:36" ht="21">
      <c r="A87" s="91">
        <f ca="1">COUNT(INDEX($C:$AH,ROW(),1):INDEX($C:$AH,ROW(),$AI$3+1))</f>
        <v>2</v>
      </c>
      <c r="B87" s="106" t="str">
        <f>INDEX(Cadastro_Mantimentos[[#All],[Colunas4]],MATCH(ROW()-5,Cadastro_Mantimentos[[#All],[Colunas2]],0))</f>
        <v>Lentilha</v>
      </c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>
        <v>1</v>
      </c>
      <c r="Q87" s="193"/>
      <c r="R87" s="193">
        <v>3</v>
      </c>
      <c r="S87" s="193"/>
      <c r="T87" s="193"/>
      <c r="U87" s="193"/>
      <c r="V87" s="193"/>
      <c r="W87" s="193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11">
        <f ca="1">IF(Configurações!$G$10="Ligado",SUMIFS(C87:AH87,$C$4:$AH$4,"&lt;="&amp;Configurações!$C$5,$C$4:$AH$4,"&lt;="&amp;$AI$3),"")</f>
        <v>4</v>
      </c>
      <c r="AJ87" s="112">
        <f ca="1">IF(Configurações!$G$12="Ligado",IF(AI87&lt;=0,"Vazio",IF(Configurações!$G$11="Dia",IF(C87="",BAIXAS!AI87/(Configurações!$C$5),BAIXAS!AI87/(Configurações!$C$5+1)),BAIXAS!AI87/BAIXAS!A87)),"")</f>
        <v>0.16666666666666666</v>
      </c>
    </row>
    <row r="88" spans="1:36" ht="21">
      <c r="A88" s="91">
        <f ca="1">COUNT(INDEX($C:$AH,ROW(),1):INDEX($C:$AH,ROW(),$AI$3+1))</f>
        <v>3</v>
      </c>
      <c r="B88" s="106" t="str">
        <f>INDEX(Cadastro_Mantimentos[[#All],[Colunas4]],MATCH(ROW()-5,Cadastro_Mantimentos[[#All],[Colunas2]],0))</f>
        <v>Macarrão Espaguete</v>
      </c>
      <c r="C88" s="193"/>
      <c r="D88" s="193"/>
      <c r="E88" s="193"/>
      <c r="F88" s="193"/>
      <c r="G88" s="193"/>
      <c r="H88" s="193"/>
      <c r="I88" s="193">
        <v>5</v>
      </c>
      <c r="J88" s="193"/>
      <c r="K88" s="193"/>
      <c r="L88" s="193"/>
      <c r="M88" s="193"/>
      <c r="N88" s="193"/>
      <c r="O88" s="193"/>
      <c r="P88" s="193">
        <v>4</v>
      </c>
      <c r="Q88" s="193"/>
      <c r="R88" s="193"/>
      <c r="S88" s="193"/>
      <c r="T88" s="193"/>
      <c r="U88" s="193"/>
      <c r="V88" s="193">
        <v>3.5</v>
      </c>
      <c r="W88" s="193"/>
      <c r="X88" s="193"/>
      <c r="Y88" s="193"/>
      <c r="Z88" s="193"/>
      <c r="AA88" s="193"/>
      <c r="AB88" s="193"/>
      <c r="AC88" s="193"/>
      <c r="AD88" s="193"/>
      <c r="AE88" s="193"/>
      <c r="AF88" s="193"/>
      <c r="AG88" s="193"/>
      <c r="AH88" s="193"/>
      <c r="AI88" s="111">
        <f ca="1">IF(Configurações!$G$10="Ligado",SUMIFS(C88:AH88,$C$4:$AH$4,"&lt;="&amp;Configurações!$C$5,$C$4:$AH$4,"&lt;="&amp;$AI$3),"")</f>
        <v>12.5</v>
      </c>
      <c r="AJ88" s="112">
        <f ca="1">IF(Configurações!$G$12="Ligado",IF(AI88&lt;=0,"Vazio",IF(Configurações!$G$11="Dia",IF(C88="",BAIXAS!AI88/(Configurações!$C$5),BAIXAS!AI88/(Configurações!$C$5+1)),BAIXAS!AI88/BAIXAS!A88)),"")</f>
        <v>0.52083333333333337</v>
      </c>
    </row>
    <row r="89" spans="1:36" ht="21">
      <c r="A89" s="91">
        <f ca="1">COUNT(INDEX($C:$AH,ROW(),1):INDEX($C:$AH,ROW(),$AI$3+1))</f>
        <v>2</v>
      </c>
      <c r="B89" s="106" t="str">
        <f>INDEX(Cadastro_Mantimentos[[#All],[Colunas4]],MATCH(ROW()-5,Cadastro_Mantimentos[[#All],[Colunas2]],0))</f>
        <v>Macarrão Parafuso</v>
      </c>
      <c r="C89" s="193"/>
      <c r="D89" s="193"/>
      <c r="E89" s="193"/>
      <c r="F89" s="193"/>
      <c r="G89" s="193"/>
      <c r="H89" s="193"/>
      <c r="I89" s="193"/>
      <c r="J89" s="193"/>
      <c r="K89" s="193"/>
      <c r="L89" s="193"/>
      <c r="M89" s="193"/>
      <c r="N89" s="193"/>
      <c r="O89" s="193"/>
      <c r="P89" s="193"/>
      <c r="Q89" s="193"/>
      <c r="R89" s="193"/>
      <c r="S89" s="193"/>
      <c r="T89" s="193"/>
      <c r="U89" s="193">
        <v>1</v>
      </c>
      <c r="V89" s="193"/>
      <c r="W89" s="193"/>
      <c r="X89" s="193"/>
      <c r="Y89" s="193"/>
      <c r="Z89" s="193">
        <v>0.5</v>
      </c>
      <c r="AA89" s="193"/>
      <c r="AB89" s="193"/>
      <c r="AC89" s="193"/>
      <c r="AD89" s="193"/>
      <c r="AE89" s="193"/>
      <c r="AF89" s="193"/>
      <c r="AG89" s="193"/>
      <c r="AH89" s="193"/>
      <c r="AI89" s="111">
        <f ca="1">IF(Configurações!$G$10="Ligado",SUMIFS(C89:AH89,$C$4:$AH$4,"&lt;="&amp;Configurações!$C$5,$C$4:$AH$4,"&lt;="&amp;$AI$3),"")</f>
        <v>1.5</v>
      </c>
      <c r="AJ89" s="112">
        <f ca="1">IF(Configurações!$G$12="Ligado",IF(AI89&lt;=0,"Vazio",IF(Configurações!$G$11="Dia",IF(C89="",BAIXAS!AI89/(Configurações!$C$5),BAIXAS!AI89/(Configurações!$C$5+1)),BAIXAS!AI89/BAIXAS!A89)),"")</f>
        <v>6.25E-2</v>
      </c>
    </row>
    <row r="90" spans="1:36" ht="21">
      <c r="A90" s="91">
        <f ca="1">COUNT(INDEX($C:$AH,ROW(),1):INDEX($C:$AH,ROW(),$AI$3+1))</f>
        <v>0</v>
      </c>
      <c r="B90" s="106" t="str">
        <f>INDEX(Cadastro_Mantimentos[[#All],[Colunas4]],MATCH(ROW()-5,Cadastro_Mantimentos[[#All],[Colunas2]],0))</f>
        <v>Macarrão Penne</v>
      </c>
      <c r="C90" s="193"/>
      <c r="D90" s="193"/>
      <c r="E90" s="193"/>
      <c r="F90" s="193"/>
      <c r="G90" s="193"/>
      <c r="H90" s="193"/>
      <c r="I90" s="193"/>
      <c r="J90" s="193"/>
      <c r="K90" s="193"/>
      <c r="L90" s="193"/>
      <c r="M90" s="193"/>
      <c r="N90" s="193"/>
      <c r="O90" s="193"/>
      <c r="P90" s="193"/>
      <c r="Q90" s="193"/>
      <c r="R90" s="193"/>
      <c r="S90" s="193"/>
      <c r="T90" s="193"/>
      <c r="U90" s="193"/>
      <c r="V90" s="193"/>
      <c r="W90" s="193"/>
      <c r="X90" s="193"/>
      <c r="Y90" s="193"/>
      <c r="Z90" s="193"/>
      <c r="AA90" s="193"/>
      <c r="AB90" s="193"/>
      <c r="AC90" s="193"/>
      <c r="AD90" s="193"/>
      <c r="AE90" s="193"/>
      <c r="AF90" s="193"/>
      <c r="AG90" s="193"/>
      <c r="AH90" s="193"/>
      <c r="AI90" s="111">
        <f ca="1">IF(Configurações!$G$10="Ligado",SUMIFS(C90:AH90,$C$4:$AH$4,"&lt;="&amp;Configurações!$C$5,$C$4:$AH$4,"&lt;="&amp;$AI$3),"")</f>
        <v>0</v>
      </c>
      <c r="AJ90" s="112" t="str">
        <f ca="1">IF(Configurações!$G$12="Ligado",IF(AI90&lt;=0,"Vazio",IF(Configurações!$G$11="Dia",IF(C90="",BAIXAS!AI90/(Configurações!$C$5),BAIXAS!AI90/(Configurações!$C$5+1)),BAIXAS!AI90/BAIXAS!A90)),"")</f>
        <v>Vazio</v>
      </c>
    </row>
    <row r="91" spans="1:36" ht="21">
      <c r="A91" s="91">
        <f ca="1">COUNT(INDEX($C:$AH,ROW(),1):INDEX($C:$AH,ROW(),$AI$3+1))</f>
        <v>2</v>
      </c>
      <c r="B91" s="106" t="str">
        <f>INDEX(Cadastro_Mantimentos[[#All],[Colunas4]],MATCH(ROW()-5,Cadastro_Mantimentos[[#All],[Colunas2]],0))</f>
        <v>Macarrão Sopa</v>
      </c>
      <c r="C91" s="193"/>
      <c r="D91" s="193"/>
      <c r="E91" s="193">
        <v>0.5</v>
      </c>
      <c r="F91" s="193"/>
      <c r="G91" s="193"/>
      <c r="H91" s="193"/>
      <c r="I91" s="193"/>
      <c r="J91" s="193"/>
      <c r="K91" s="193"/>
      <c r="L91" s="193"/>
      <c r="M91" s="193"/>
      <c r="N91" s="193"/>
      <c r="O91" s="193"/>
      <c r="P91" s="193"/>
      <c r="Q91" s="193"/>
      <c r="R91" s="193"/>
      <c r="S91" s="193"/>
      <c r="T91" s="193">
        <v>0.5</v>
      </c>
      <c r="U91" s="193"/>
      <c r="V91" s="193"/>
      <c r="W91" s="193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  <c r="AI91" s="111">
        <f ca="1">IF(Configurações!$G$10="Ligado",SUMIFS(C91:AH91,$C$4:$AH$4,"&lt;="&amp;Configurações!$C$5,$C$4:$AH$4,"&lt;="&amp;$AI$3),"")</f>
        <v>1</v>
      </c>
      <c r="AJ91" s="112">
        <f ca="1">IF(Configurações!$G$12="Ligado",IF(AI91&lt;=0,"Vazio",IF(Configurações!$G$11="Dia",IF(C91="",BAIXAS!AI91/(Configurações!$C$5),BAIXAS!AI91/(Configurações!$C$5+1)),BAIXAS!AI91/BAIXAS!A91)),"")</f>
        <v>4.1666666666666664E-2</v>
      </c>
    </row>
    <row r="92" spans="1:36" ht="21">
      <c r="A92" s="91">
        <f ca="1">COUNT(INDEX($C:$AH,ROW(),1):INDEX($C:$AH,ROW(),$AI$3+1))</f>
        <v>0</v>
      </c>
      <c r="B92" s="106" t="str">
        <f>INDEX(Cadastro_Mantimentos[[#All],[Colunas4]],MATCH(ROW()-5,Cadastro_Mantimentos[[#All],[Colunas2]],0))</f>
        <v>Macarrão Yaksoba</v>
      </c>
      <c r="C92" s="193"/>
      <c r="D92" s="193"/>
      <c r="E92" s="193"/>
      <c r="F92" s="193"/>
      <c r="G92" s="193"/>
      <c r="H92" s="193"/>
      <c r="I92" s="193"/>
      <c r="J92" s="193"/>
      <c r="K92" s="193"/>
      <c r="L92" s="193"/>
      <c r="M92" s="193"/>
      <c r="N92" s="193"/>
      <c r="O92" s="193"/>
      <c r="P92" s="193"/>
      <c r="Q92" s="193"/>
      <c r="R92" s="193"/>
      <c r="S92" s="193"/>
      <c r="T92" s="193"/>
      <c r="U92" s="193"/>
      <c r="V92" s="193"/>
      <c r="W92" s="193"/>
      <c r="X92" s="193"/>
      <c r="Y92" s="193"/>
      <c r="Z92" s="193"/>
      <c r="AA92" s="193"/>
      <c r="AB92" s="193"/>
      <c r="AC92" s="193"/>
      <c r="AD92" s="193"/>
      <c r="AE92" s="193"/>
      <c r="AF92" s="193"/>
      <c r="AG92" s="193"/>
      <c r="AH92" s="193"/>
      <c r="AI92" s="111">
        <f ca="1">IF(Configurações!$G$10="Ligado",SUMIFS(C92:AH92,$C$4:$AH$4,"&lt;="&amp;Configurações!$C$5,$C$4:$AH$4,"&lt;="&amp;$AI$3),"")</f>
        <v>0</v>
      </c>
      <c r="AJ92" s="112" t="str">
        <f ca="1">IF(Configurações!$G$12="Ligado",IF(AI92&lt;=0,"Vazio",IF(Configurações!$G$11="Dia",IF(C92="",BAIXAS!AI92/(Configurações!$C$5),BAIXAS!AI92/(Configurações!$C$5+1)),BAIXAS!AI92/BAIXAS!A92)),"")</f>
        <v>Vazio</v>
      </c>
    </row>
    <row r="93" spans="1:36" ht="21">
      <c r="A93" s="91">
        <f ca="1">COUNT(INDEX($C:$AH,ROW(),1):INDEX($C:$AH,ROW(),$AI$3+1))</f>
        <v>3</v>
      </c>
      <c r="B93" s="106" t="str">
        <f>INDEX(Cadastro_Mantimentos[[#All],[Colunas4]],MATCH(ROW()-5,Cadastro_Mantimentos[[#All],[Colunas2]],0))</f>
        <v>Maionese</v>
      </c>
      <c r="C93" s="193"/>
      <c r="D93" s="193"/>
      <c r="E93" s="193"/>
      <c r="F93" s="193"/>
      <c r="G93" s="193"/>
      <c r="H93" s="193">
        <v>2</v>
      </c>
      <c r="I93" s="193">
        <v>4</v>
      </c>
      <c r="J93" s="193"/>
      <c r="K93" s="193"/>
      <c r="L93" s="193"/>
      <c r="M93" s="193"/>
      <c r="N93" s="193"/>
      <c r="O93" s="193"/>
      <c r="P93" s="193">
        <v>4</v>
      </c>
      <c r="Q93" s="193"/>
      <c r="R93" s="193"/>
      <c r="S93" s="193"/>
      <c r="T93" s="193"/>
      <c r="U93" s="193"/>
      <c r="V93" s="193"/>
      <c r="W93" s="193"/>
      <c r="X93" s="193"/>
      <c r="Y93" s="193"/>
      <c r="Z93" s="193"/>
      <c r="AA93" s="193"/>
      <c r="AB93" s="193"/>
      <c r="AC93" s="193"/>
      <c r="AD93" s="193"/>
      <c r="AE93" s="193"/>
      <c r="AF93" s="193"/>
      <c r="AG93" s="193"/>
      <c r="AH93" s="193"/>
      <c r="AI93" s="111">
        <f ca="1">IF(Configurações!$G$10="Ligado",SUMIFS(C93:AH93,$C$4:$AH$4,"&lt;="&amp;Configurações!$C$5,$C$4:$AH$4,"&lt;="&amp;$AI$3),"")</f>
        <v>10</v>
      </c>
      <c r="AJ93" s="112">
        <f ca="1">IF(Configurações!$G$12="Ligado",IF(AI93&lt;=0,"Vazio",IF(Configurações!$G$11="Dia",IF(C93="",BAIXAS!AI93/(Configurações!$C$5),BAIXAS!AI93/(Configurações!$C$5+1)),BAIXAS!AI93/BAIXAS!A93)),"")</f>
        <v>0.41666666666666669</v>
      </c>
    </row>
    <row r="94" spans="1:36" ht="21">
      <c r="A94" s="91">
        <f ca="1">COUNT(INDEX($C:$AH,ROW(),1):INDEX($C:$AH,ROW(),$AI$3+1))</f>
        <v>0</v>
      </c>
      <c r="B94" s="106" t="str">
        <f>INDEX(Cadastro_Mantimentos[[#All],[Colunas4]],MATCH(ROW()-5,Cadastro_Mantimentos[[#All],[Colunas2]],0))</f>
        <v xml:space="preserve">Margarina </v>
      </c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3"/>
      <c r="P94" s="193"/>
      <c r="Q94" s="193"/>
      <c r="R94" s="193"/>
      <c r="S94" s="193"/>
      <c r="T94" s="193"/>
      <c r="U94" s="193"/>
      <c r="V94" s="193"/>
      <c r="W94" s="193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  <c r="AI94" s="111">
        <f ca="1">IF(Configurações!$G$10="Ligado",SUMIFS(C94:AH94,$C$4:$AH$4,"&lt;="&amp;Configurações!$C$5,$C$4:$AH$4,"&lt;="&amp;$AI$3),"")</f>
        <v>0</v>
      </c>
      <c r="AJ94" s="112" t="str">
        <f ca="1">IF(Configurações!$G$12="Ligado",IF(AI94&lt;=0,"Vazio",IF(Configurações!$G$11="Dia",IF(C94="",BAIXAS!AI94/(Configurações!$C$5),BAIXAS!AI94/(Configurações!$C$5+1)),BAIXAS!AI94/BAIXAS!A94)),"")</f>
        <v>Vazio</v>
      </c>
    </row>
    <row r="95" spans="1:36" ht="21">
      <c r="A95" s="91">
        <f ca="1">COUNT(INDEX($C:$AH,ROW(),1):INDEX($C:$AH,ROW(),$AI$3+1))</f>
        <v>2</v>
      </c>
      <c r="B95" s="106" t="str">
        <f>INDEX(Cadastro_Mantimentos[[#All],[Colunas4]],MATCH(ROW()-5,Cadastro_Mantimentos[[#All],[Colunas2]],0))</f>
        <v>Margarina  Sachê</v>
      </c>
      <c r="C95" s="193"/>
      <c r="D95" s="193"/>
      <c r="E95" s="193"/>
      <c r="F95" s="193">
        <v>1</v>
      </c>
      <c r="G95" s="193"/>
      <c r="H95" s="193"/>
      <c r="I95" s="193"/>
      <c r="J95" s="193"/>
      <c r="K95" s="193"/>
      <c r="L95" s="193"/>
      <c r="M95" s="193"/>
      <c r="N95" s="193"/>
      <c r="O95" s="193"/>
      <c r="P95" s="193"/>
      <c r="Q95" s="193"/>
      <c r="R95" s="193"/>
      <c r="S95" s="193"/>
      <c r="T95" s="193"/>
      <c r="U95" s="193"/>
      <c r="V95" s="193"/>
      <c r="W95" s="193"/>
      <c r="X95" s="193"/>
      <c r="Y95" s="193"/>
      <c r="Z95" s="193"/>
      <c r="AA95" s="193">
        <v>1</v>
      </c>
      <c r="AB95" s="193"/>
      <c r="AC95" s="193"/>
      <c r="AD95" s="193"/>
      <c r="AE95" s="193"/>
      <c r="AF95" s="193"/>
      <c r="AG95" s="193"/>
      <c r="AH95" s="193"/>
      <c r="AI95" s="111">
        <f ca="1">IF(Configurações!$G$10="Ligado",SUMIFS(C95:AH95,$C$4:$AH$4,"&lt;="&amp;Configurações!$C$5,$C$4:$AH$4,"&lt;="&amp;$AI$3),"")</f>
        <v>2</v>
      </c>
      <c r="AJ95" s="112">
        <f ca="1">IF(Configurações!$G$12="Ligado",IF(AI95&lt;=0,"Vazio",IF(Configurações!$G$11="Dia",IF(C95="",BAIXAS!AI95/(Configurações!$C$5),BAIXAS!AI95/(Configurações!$C$5+1)),BAIXAS!AI95/BAIXAS!A95)),"")</f>
        <v>8.3333333333333329E-2</v>
      </c>
    </row>
    <row r="96" spans="1:36" ht="21">
      <c r="A96" s="91">
        <f ca="1">COUNT(INDEX($C:$AH,ROW(),1):INDEX($C:$AH,ROW(),$AI$3+1))</f>
        <v>14</v>
      </c>
      <c r="B96" s="106" t="str">
        <f>INDEX(Cadastro_Mantimentos[[#All],[Colunas4]],MATCH(ROW()-5,Cadastro_Mantimentos[[#All],[Colunas2]],0))</f>
        <v xml:space="preserve">Milho Verde </v>
      </c>
      <c r="C96" s="193"/>
      <c r="D96" s="193"/>
      <c r="E96" s="193"/>
      <c r="F96" s="193">
        <v>1</v>
      </c>
      <c r="G96" s="193">
        <v>2</v>
      </c>
      <c r="H96" s="193">
        <v>2</v>
      </c>
      <c r="I96" s="193">
        <v>5</v>
      </c>
      <c r="J96" s="193"/>
      <c r="K96" s="193"/>
      <c r="L96" s="193"/>
      <c r="M96" s="193"/>
      <c r="N96" s="193">
        <v>3</v>
      </c>
      <c r="O96" s="193">
        <v>2</v>
      </c>
      <c r="P96" s="193">
        <v>4</v>
      </c>
      <c r="Q96" s="193">
        <v>2</v>
      </c>
      <c r="R96" s="193">
        <v>2</v>
      </c>
      <c r="S96" s="193"/>
      <c r="T96" s="193">
        <v>2</v>
      </c>
      <c r="U96" s="193">
        <v>2</v>
      </c>
      <c r="V96" s="193">
        <v>3</v>
      </c>
      <c r="W96" s="193"/>
      <c r="X96" s="193"/>
      <c r="Y96" s="193"/>
      <c r="Z96" s="193">
        <v>4</v>
      </c>
      <c r="AA96" s="193">
        <v>1</v>
      </c>
      <c r="AB96" s="193"/>
      <c r="AC96" s="193"/>
      <c r="AD96" s="193"/>
      <c r="AE96" s="193"/>
      <c r="AF96" s="193"/>
      <c r="AG96" s="193"/>
      <c r="AH96" s="193"/>
      <c r="AI96" s="111">
        <f ca="1">IF(Configurações!$G$10="Ligado",SUMIFS(C96:AH96,$C$4:$AH$4,"&lt;="&amp;Configurações!$C$5,$C$4:$AH$4,"&lt;="&amp;$AI$3),"")</f>
        <v>35</v>
      </c>
      <c r="AJ96" s="112">
        <f ca="1">IF(Configurações!$G$12="Ligado",IF(AI96&lt;=0,"Vazio",IF(Configurações!$G$11="Dia",IF(C96="",BAIXAS!AI96/(Configurações!$C$5),BAIXAS!AI96/(Configurações!$C$5+1)),BAIXAS!AI96/BAIXAS!A96)),"")</f>
        <v>1.4583333333333333</v>
      </c>
    </row>
    <row r="97" spans="1:36" ht="21">
      <c r="A97" s="91">
        <f ca="1">COUNT(INDEX($C:$AH,ROW(),1):INDEX($C:$AH,ROW(),$AI$3+1))</f>
        <v>0</v>
      </c>
      <c r="B97" s="106" t="str">
        <f>INDEX(Cadastro_Mantimentos[[#All],[Colunas4]],MATCH(ROW()-5,Cadastro_Mantimentos[[#All],[Colunas2]],0))</f>
        <v>Molho</v>
      </c>
      <c r="C97" s="193"/>
      <c r="D97" s="193"/>
      <c r="E97" s="193"/>
      <c r="F97" s="193"/>
      <c r="G97" s="193"/>
      <c r="H97" s="193"/>
      <c r="I97" s="193"/>
      <c r="J97" s="193"/>
      <c r="K97" s="193"/>
      <c r="L97" s="193"/>
      <c r="M97" s="193"/>
      <c r="N97" s="193"/>
      <c r="O97" s="193"/>
      <c r="P97" s="193"/>
      <c r="Q97" s="193"/>
      <c r="R97" s="193"/>
      <c r="S97" s="193"/>
      <c r="T97" s="193"/>
      <c r="U97" s="193"/>
      <c r="V97" s="193"/>
      <c r="W97" s="193"/>
      <c r="X97" s="193"/>
      <c r="Y97" s="193"/>
      <c r="Z97" s="193"/>
      <c r="AA97" s="193"/>
      <c r="AB97" s="193"/>
      <c r="AC97" s="193"/>
      <c r="AD97" s="193"/>
      <c r="AE97" s="193"/>
      <c r="AF97" s="193"/>
      <c r="AG97" s="193"/>
      <c r="AH97" s="193"/>
      <c r="AI97" s="111">
        <f ca="1">IF(Configurações!$G$10="Ligado",SUMIFS(C97:AH97,$C$4:$AH$4,"&lt;="&amp;Configurações!$C$5,$C$4:$AH$4,"&lt;="&amp;$AI$3),"")</f>
        <v>0</v>
      </c>
      <c r="AJ97" s="112" t="str">
        <f ca="1">IF(Configurações!$G$12="Ligado",IF(AI97&lt;=0,"Vazio",IF(Configurações!$G$11="Dia",IF(C97="",BAIXAS!AI97/(Configurações!$C$5),BAIXAS!AI97/(Configurações!$C$5+1)),BAIXAS!AI97/BAIXAS!A97)),"")</f>
        <v>Vazio</v>
      </c>
    </row>
    <row r="98" spans="1:36" ht="21">
      <c r="A98" s="91">
        <f ca="1">COUNT(INDEX($C:$AH,ROW(),1):INDEX($C:$AH,ROW(),$AI$3+1))</f>
        <v>9</v>
      </c>
      <c r="B98" s="106" t="str">
        <f>INDEX(Cadastro_Mantimentos[[#All],[Colunas4]],MATCH(ROW()-5,Cadastro_Mantimentos[[#All],[Colunas2]],0))</f>
        <v>Molho De Tomate</v>
      </c>
      <c r="C98" s="193"/>
      <c r="D98" s="193"/>
      <c r="E98" s="193"/>
      <c r="F98" s="193">
        <v>3</v>
      </c>
      <c r="G98" s="193"/>
      <c r="H98" s="193">
        <v>1</v>
      </c>
      <c r="I98" s="193">
        <v>9.3000000000000007</v>
      </c>
      <c r="J98" s="193"/>
      <c r="K98" s="193"/>
      <c r="L98" s="193"/>
      <c r="M98" s="193">
        <v>3.1</v>
      </c>
      <c r="N98" s="193"/>
      <c r="O98" s="193">
        <v>3</v>
      </c>
      <c r="P98" s="193">
        <v>6.2</v>
      </c>
      <c r="Q98" s="193"/>
      <c r="R98" s="193">
        <v>3.1</v>
      </c>
      <c r="S98" s="193"/>
      <c r="T98" s="193"/>
      <c r="U98" s="193">
        <v>6.2</v>
      </c>
      <c r="V98" s="193">
        <v>6.2</v>
      </c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  <c r="AI98" s="111">
        <f ca="1">IF(Configurações!$G$10="Ligado",SUMIFS(C98:AH98,$C$4:$AH$4,"&lt;="&amp;Configurações!$C$5,$C$4:$AH$4,"&lt;="&amp;$AI$3),"")</f>
        <v>41.100000000000009</v>
      </c>
      <c r="AJ98" s="112">
        <f ca="1">IF(Configurações!$G$12="Ligado",IF(AI98&lt;=0,"Vazio",IF(Configurações!$G$11="Dia",IF(C98="",BAIXAS!AI98/(Configurações!$C$5),BAIXAS!AI98/(Configurações!$C$5+1)),BAIXAS!AI98/BAIXAS!A98)),"")</f>
        <v>1.7125000000000004</v>
      </c>
    </row>
    <row r="99" spans="1:36" ht="21">
      <c r="A99" s="91">
        <f ca="1">COUNT(INDEX($C:$AH,ROW(),1):INDEX($C:$AH,ROW(),$AI$3+1))</f>
        <v>1</v>
      </c>
      <c r="B99" s="106" t="str">
        <f>INDEX(Cadastro_Mantimentos[[#All],[Colunas4]],MATCH(ROW()-5,Cadastro_Mantimentos[[#All],[Colunas2]],0))</f>
        <v>Molho Escuro</v>
      </c>
      <c r="C99" s="193"/>
      <c r="D99" s="193"/>
      <c r="E99" s="193"/>
      <c r="F99" s="193">
        <v>1</v>
      </c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  <c r="AI99" s="111">
        <f ca="1">IF(Configurações!$G$10="Ligado",SUMIFS(C99:AH99,$C$4:$AH$4,"&lt;="&amp;Configurações!$C$5,$C$4:$AH$4,"&lt;="&amp;$AI$3),"")</f>
        <v>1</v>
      </c>
      <c r="AJ99" s="112">
        <f ca="1">IF(Configurações!$G$12="Ligado",IF(AI99&lt;=0,"Vazio",IF(Configurações!$G$11="Dia",IF(C99="",BAIXAS!AI99/(Configurações!$C$5),BAIXAS!AI99/(Configurações!$C$5+1)),BAIXAS!AI99/BAIXAS!A99)),"")</f>
        <v>4.1666666666666664E-2</v>
      </c>
    </row>
    <row r="100" spans="1:36" ht="21">
      <c r="A100" s="91">
        <f ca="1">COUNT(INDEX($C:$AH,ROW(),1):INDEX($C:$AH,ROW(),$AI$3+1))</f>
        <v>0</v>
      </c>
      <c r="B100" s="106" t="str">
        <f>INDEX(Cadastro_Mantimentos[[#All],[Colunas4]],MATCH(ROW()-5,Cadastro_Mantimentos[[#All],[Colunas2]],0))</f>
        <v>Molho Ingles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  <c r="AI100" s="111">
        <f ca="1">IF(Configurações!$G$10="Ligado",SUMIFS(C100:AH100,$C$4:$AH$4,"&lt;="&amp;Configurações!$C$5,$C$4:$AH$4,"&lt;="&amp;$AI$3),"")</f>
        <v>0</v>
      </c>
      <c r="AJ100" s="112" t="str">
        <f ca="1">IF(Configurações!$G$12="Ligado",IF(AI100&lt;=0,"Vazio",IF(Configurações!$G$11="Dia",IF(C100="",BAIXAS!AI100/(Configurações!$C$5),BAIXAS!AI100/(Configurações!$C$5+1)),BAIXAS!AI100/BAIXAS!A100)),"")</f>
        <v>Vazio</v>
      </c>
    </row>
    <row r="101" spans="1:36" ht="21">
      <c r="A101" s="91">
        <f ca="1">COUNT(INDEX($C:$AH,ROW(),1):INDEX($C:$AH,ROW(),$AI$3+1))</f>
        <v>0</v>
      </c>
      <c r="B101" s="106" t="str">
        <f>INDEX(Cadastro_Mantimentos[[#All],[Colunas4]],MATCH(ROW()-5,Cadastro_Mantimentos[[#All],[Colunas2]],0))</f>
        <v>Molho Pimenta</v>
      </c>
      <c r="C101" s="193"/>
      <c r="D101" s="193"/>
      <c r="E101" s="193"/>
      <c r="F101" s="193"/>
      <c r="G101" s="193"/>
      <c r="H101" s="193"/>
      <c r="I101" s="193"/>
      <c r="J101" s="193"/>
      <c r="K101" s="193"/>
      <c r="L101" s="193"/>
      <c r="M101" s="193"/>
      <c r="N101" s="193"/>
      <c r="O101" s="193"/>
      <c r="P101" s="193"/>
      <c r="Q101" s="193"/>
      <c r="R101" s="193"/>
      <c r="S101" s="193"/>
      <c r="T101" s="193"/>
      <c r="U101" s="193"/>
      <c r="V101" s="193"/>
      <c r="W101" s="193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  <c r="AI101" s="111">
        <f ca="1">IF(Configurações!$G$10="Ligado",SUMIFS(C101:AH101,$C$4:$AH$4,"&lt;="&amp;Configurações!$C$5,$C$4:$AH$4,"&lt;="&amp;$AI$3),"")</f>
        <v>0</v>
      </c>
      <c r="AJ101" s="112" t="str">
        <f ca="1">IF(Configurações!$G$12="Ligado",IF(AI101&lt;=0,"Vazio",IF(Configurações!$G$11="Dia",IF(C101="",BAIXAS!AI101/(Configurações!$C$5),BAIXAS!AI101/(Configurações!$C$5+1)),BAIXAS!AI101/BAIXAS!A101)),"")</f>
        <v>Vazio</v>
      </c>
    </row>
    <row r="102" spans="1:36" ht="21">
      <c r="A102" s="91">
        <f ca="1">COUNT(INDEX($C:$AH,ROW(),1):INDEX($C:$AH,ROW(),$AI$3+1))</f>
        <v>1</v>
      </c>
      <c r="B102" s="106" t="str">
        <f>INDEX(Cadastro_Mantimentos[[#All],[Colunas4]],MATCH(ROW()-5,Cadastro_Mantimentos[[#All],[Colunas2]],0))</f>
        <v>Mostarda</v>
      </c>
      <c r="C102" s="193"/>
      <c r="D102" s="193"/>
      <c r="E102" s="193"/>
      <c r="F102" s="193"/>
      <c r="G102" s="193"/>
      <c r="H102" s="193"/>
      <c r="I102" s="193"/>
      <c r="J102" s="193"/>
      <c r="K102" s="193"/>
      <c r="L102" s="193">
        <v>3.3</v>
      </c>
      <c r="M102" s="193"/>
      <c r="N102" s="193"/>
      <c r="O102" s="193"/>
      <c r="P102" s="193"/>
      <c r="Q102" s="193"/>
      <c r="R102" s="193"/>
      <c r="S102" s="193"/>
      <c r="T102" s="193"/>
      <c r="U102" s="193"/>
      <c r="V102" s="193"/>
      <c r="W102" s="193"/>
      <c r="X102" s="193"/>
      <c r="Y102" s="193"/>
      <c r="Z102" s="193"/>
      <c r="AA102" s="193"/>
      <c r="AB102" s="193"/>
      <c r="AC102" s="193"/>
      <c r="AD102" s="193"/>
      <c r="AE102" s="193"/>
      <c r="AF102" s="193"/>
      <c r="AG102" s="193"/>
      <c r="AH102" s="193"/>
      <c r="AI102" s="111">
        <f ca="1">IF(Configurações!$G$10="Ligado",SUMIFS(C102:AH102,$C$4:$AH$4,"&lt;="&amp;Configurações!$C$5,$C$4:$AH$4,"&lt;="&amp;$AI$3),"")</f>
        <v>3.3</v>
      </c>
      <c r="AJ102" s="112">
        <f ca="1">IF(Configurações!$G$12="Ligado",IF(AI102&lt;=0,"Vazio",IF(Configurações!$G$11="Dia",IF(C102="",BAIXAS!AI102/(Configurações!$C$5),BAIXAS!AI102/(Configurações!$C$5+1)),BAIXAS!AI102/BAIXAS!A102)),"")</f>
        <v>0.13749999999999998</v>
      </c>
    </row>
    <row r="103" spans="1:36" ht="21">
      <c r="A103" s="91">
        <f ca="1">COUNT(INDEX($C:$AH,ROW(),1):INDEX($C:$AH,ROW(),$AI$3+1))</f>
        <v>17</v>
      </c>
      <c r="B103" s="106" t="str">
        <f>INDEX(Cadastro_Mantimentos[[#All],[Colunas4]],MATCH(ROW()-5,Cadastro_Mantimentos[[#All],[Colunas2]],0))</f>
        <v>Óleo De Soja</v>
      </c>
      <c r="C103" s="193"/>
      <c r="D103" s="193"/>
      <c r="E103" s="193">
        <v>2</v>
      </c>
      <c r="F103" s="193">
        <v>1</v>
      </c>
      <c r="G103" s="193">
        <v>2</v>
      </c>
      <c r="H103" s="193">
        <v>3</v>
      </c>
      <c r="I103" s="193"/>
      <c r="J103" s="193">
        <v>1</v>
      </c>
      <c r="K103" s="193"/>
      <c r="L103" s="193">
        <v>2</v>
      </c>
      <c r="M103" s="193">
        <v>1</v>
      </c>
      <c r="N103" s="193">
        <v>2</v>
      </c>
      <c r="O103" s="193">
        <v>2</v>
      </c>
      <c r="P103" s="193">
        <v>2</v>
      </c>
      <c r="Q103" s="193"/>
      <c r="R103" s="193">
        <v>2</v>
      </c>
      <c r="S103" s="193"/>
      <c r="T103" s="193">
        <v>2</v>
      </c>
      <c r="U103" s="193"/>
      <c r="V103" s="193">
        <v>2</v>
      </c>
      <c r="W103" s="193">
        <v>2</v>
      </c>
      <c r="X103" s="193">
        <v>1</v>
      </c>
      <c r="Y103" s="193"/>
      <c r="Z103" s="193">
        <v>2</v>
      </c>
      <c r="AA103" s="193">
        <v>2</v>
      </c>
      <c r="AB103" s="193"/>
      <c r="AC103" s="193"/>
      <c r="AD103" s="193"/>
      <c r="AE103" s="193"/>
      <c r="AF103" s="193"/>
      <c r="AG103" s="193"/>
      <c r="AH103" s="193"/>
      <c r="AI103" s="111">
        <f ca="1">IF(Configurações!$G$10="Ligado",SUMIFS(C103:AH103,$C$4:$AH$4,"&lt;="&amp;Configurações!$C$5,$C$4:$AH$4,"&lt;="&amp;$AI$3),"")</f>
        <v>31</v>
      </c>
      <c r="AJ103" s="112">
        <f ca="1">IF(Configurações!$G$12="Ligado",IF(AI103&lt;=0,"Vazio",IF(Configurações!$G$11="Dia",IF(C103="",BAIXAS!AI103/(Configurações!$C$5),BAIXAS!AI103/(Configurações!$C$5+1)),BAIXAS!AI103/BAIXAS!A103)),"")</f>
        <v>1.2916666666666667</v>
      </c>
    </row>
    <row r="104" spans="1:36" ht="21">
      <c r="A104" s="91">
        <f ca="1">COUNT(INDEX($C:$AH,ROW(),1):INDEX($C:$AH,ROW(),$AI$3+1))</f>
        <v>7</v>
      </c>
      <c r="B104" s="106" t="str">
        <f>INDEX(Cadastro_Mantimentos[[#All],[Colunas4]],MATCH(ROW()-5,Cadastro_Mantimentos[[#All],[Colunas2]],0))</f>
        <v>Óleo Maria</v>
      </c>
      <c r="C104" s="193"/>
      <c r="D104" s="193"/>
      <c r="E104" s="193"/>
      <c r="F104" s="193"/>
      <c r="G104" s="193">
        <v>0.5</v>
      </c>
      <c r="H104" s="193">
        <v>1</v>
      </c>
      <c r="I104" s="193"/>
      <c r="J104" s="193">
        <v>0.5</v>
      </c>
      <c r="K104" s="193"/>
      <c r="L104" s="193"/>
      <c r="M104" s="193"/>
      <c r="N104" s="193"/>
      <c r="O104" s="193">
        <v>0.5</v>
      </c>
      <c r="P104" s="193">
        <v>0.5</v>
      </c>
      <c r="Q104" s="193"/>
      <c r="R104" s="193">
        <v>1</v>
      </c>
      <c r="S104" s="193"/>
      <c r="T104" s="193">
        <v>1</v>
      </c>
      <c r="U104" s="193"/>
      <c r="V104" s="193"/>
      <c r="W104" s="193"/>
      <c r="X104" s="193"/>
      <c r="Y104" s="193"/>
      <c r="Z104" s="193"/>
      <c r="AA104" s="193"/>
      <c r="AB104" s="193"/>
      <c r="AC104" s="193"/>
      <c r="AD104" s="193"/>
      <c r="AE104" s="193"/>
      <c r="AF104" s="193"/>
      <c r="AG104" s="193"/>
      <c r="AH104" s="193"/>
      <c r="AI104" s="111">
        <f ca="1">IF(Configurações!$G$10="Ligado",SUMIFS(C104:AH104,$C$4:$AH$4,"&lt;="&amp;Configurações!$C$5,$C$4:$AH$4,"&lt;="&amp;$AI$3),"")</f>
        <v>5</v>
      </c>
      <c r="AJ104" s="112">
        <f ca="1">IF(Configurações!$G$12="Ligado",IF(AI104&lt;=0,"Vazio",IF(Configurações!$G$11="Dia",IF(C104="",BAIXAS!AI104/(Configurações!$C$5),BAIXAS!AI104/(Configurações!$C$5+1)),BAIXAS!AI104/BAIXAS!A104)),"")</f>
        <v>0.20833333333333334</v>
      </c>
    </row>
    <row r="105" spans="1:36" ht="21">
      <c r="A105" s="91">
        <f ca="1">COUNT(INDEX($C:$AH,ROW(),1):INDEX($C:$AH,ROW(),$AI$3+1))</f>
        <v>1</v>
      </c>
      <c r="B105" s="106" t="str">
        <f>INDEX(Cadastro_Mantimentos[[#All],[Colunas4]],MATCH(ROW()-5,Cadastro_Mantimentos[[#All],[Colunas2]],0))</f>
        <v>Orégano</v>
      </c>
      <c r="C105" s="193"/>
      <c r="D105" s="193"/>
      <c r="E105" s="193"/>
      <c r="F105" s="193"/>
      <c r="G105" s="193"/>
      <c r="H105" s="193"/>
      <c r="I105" s="193"/>
      <c r="J105" s="193"/>
      <c r="K105" s="193"/>
      <c r="L105" s="193"/>
      <c r="M105" s="193"/>
      <c r="N105" s="193">
        <v>0.5</v>
      </c>
      <c r="O105" s="193"/>
      <c r="P105" s="193"/>
      <c r="Q105" s="193"/>
      <c r="R105" s="193"/>
      <c r="S105" s="193"/>
      <c r="T105" s="193"/>
      <c r="U105" s="193"/>
      <c r="V105" s="193"/>
      <c r="W105" s="193"/>
      <c r="X105" s="193"/>
      <c r="Y105" s="193"/>
      <c r="Z105" s="193"/>
      <c r="AA105" s="193"/>
      <c r="AB105" s="193"/>
      <c r="AC105" s="193"/>
      <c r="AD105" s="193"/>
      <c r="AE105" s="193"/>
      <c r="AF105" s="193"/>
      <c r="AG105" s="193"/>
      <c r="AH105" s="193"/>
      <c r="AI105" s="111">
        <f ca="1">IF(Configurações!$G$10="Ligado",SUMIFS(C105:AH105,$C$4:$AH$4,"&lt;="&amp;Configurações!$C$5,$C$4:$AH$4,"&lt;="&amp;$AI$3),"")</f>
        <v>0.5</v>
      </c>
      <c r="AJ105" s="112">
        <f ca="1">IF(Configurações!$G$12="Ligado",IF(AI105&lt;=0,"Vazio",IF(Configurações!$G$11="Dia",IF(C105="",BAIXAS!AI105/(Configurações!$C$5),BAIXAS!AI105/(Configurações!$C$5+1)),BAIXAS!AI105/BAIXAS!A105)),"")</f>
        <v>2.0833333333333332E-2</v>
      </c>
    </row>
    <row r="106" spans="1:36" ht="21">
      <c r="A106" s="91">
        <f ca="1">COUNT(INDEX($C:$AH,ROW(),1):INDEX($C:$AH,ROW(),$AI$3+1))</f>
        <v>9</v>
      </c>
      <c r="B106" s="106" t="str">
        <f>INDEX(Cadastro_Mantimentos[[#All],[Colunas4]],MATCH(ROW()-5,Cadastro_Mantimentos[[#All],[Colunas2]],0))</f>
        <v>Pão De Forma</v>
      </c>
      <c r="C106" s="193"/>
      <c r="D106" s="193"/>
      <c r="E106" s="193"/>
      <c r="F106" s="193"/>
      <c r="G106" s="193">
        <v>1</v>
      </c>
      <c r="H106" s="193">
        <v>1</v>
      </c>
      <c r="I106" s="193">
        <v>1</v>
      </c>
      <c r="J106" s="193"/>
      <c r="K106" s="193"/>
      <c r="L106" s="193"/>
      <c r="M106" s="193"/>
      <c r="N106" s="193">
        <v>1</v>
      </c>
      <c r="O106" s="193">
        <v>1</v>
      </c>
      <c r="P106" s="193">
        <v>1</v>
      </c>
      <c r="Q106" s="193"/>
      <c r="R106" s="193"/>
      <c r="S106" s="193"/>
      <c r="T106" s="193">
        <v>1</v>
      </c>
      <c r="U106" s="193">
        <v>1</v>
      </c>
      <c r="V106" s="193"/>
      <c r="W106" s="193"/>
      <c r="X106" s="193"/>
      <c r="Y106" s="193"/>
      <c r="Z106" s="193"/>
      <c r="AA106" s="193">
        <v>1</v>
      </c>
      <c r="AB106" s="193"/>
      <c r="AC106" s="193"/>
      <c r="AD106" s="193"/>
      <c r="AE106" s="193"/>
      <c r="AF106" s="193"/>
      <c r="AG106" s="193"/>
      <c r="AH106" s="193"/>
      <c r="AI106" s="111">
        <f ca="1">IF(Configurações!$G$10="Ligado",SUMIFS(C106:AH106,$C$4:$AH$4,"&lt;="&amp;Configurações!$C$5,$C$4:$AH$4,"&lt;="&amp;$AI$3),"")</f>
        <v>9</v>
      </c>
      <c r="AJ106" s="112">
        <f ca="1">IF(Configurações!$G$12="Ligado",IF(AI106&lt;=0,"Vazio",IF(Configurações!$G$11="Dia",IF(C106="",BAIXAS!AI106/(Configurações!$C$5),BAIXAS!AI106/(Configurações!$C$5+1)),BAIXAS!AI106/BAIXAS!A106)),"")</f>
        <v>0.375</v>
      </c>
    </row>
    <row r="107" spans="1:36" ht="21">
      <c r="A107" s="91">
        <f ca="1">COUNT(INDEX($C:$AH,ROW(),1):INDEX($C:$AH,ROW(),$AI$3+1))</f>
        <v>9</v>
      </c>
      <c r="B107" s="106" t="str">
        <f>INDEX(Cadastro_Mantimentos[[#All],[Colunas4]],MATCH(ROW()-5,Cadastro_Mantimentos[[#All],[Colunas2]],0))</f>
        <v>Pão Integral</v>
      </c>
      <c r="C107" s="193"/>
      <c r="D107" s="193"/>
      <c r="E107" s="193"/>
      <c r="F107" s="193"/>
      <c r="G107" s="193">
        <v>1</v>
      </c>
      <c r="H107" s="193"/>
      <c r="I107" s="193">
        <v>1</v>
      </c>
      <c r="J107" s="193"/>
      <c r="K107" s="193"/>
      <c r="L107" s="193"/>
      <c r="M107" s="193"/>
      <c r="N107" s="193">
        <v>1</v>
      </c>
      <c r="O107" s="193">
        <v>1</v>
      </c>
      <c r="P107" s="193">
        <v>1</v>
      </c>
      <c r="Q107" s="193">
        <v>1</v>
      </c>
      <c r="R107" s="193"/>
      <c r="S107" s="193"/>
      <c r="T107" s="193">
        <v>1</v>
      </c>
      <c r="U107" s="193">
        <v>1</v>
      </c>
      <c r="V107" s="193"/>
      <c r="W107" s="193"/>
      <c r="X107" s="193"/>
      <c r="Y107" s="193"/>
      <c r="Z107" s="193"/>
      <c r="AA107" s="193">
        <v>1</v>
      </c>
      <c r="AB107" s="193"/>
      <c r="AC107" s="193"/>
      <c r="AD107" s="193"/>
      <c r="AE107" s="193"/>
      <c r="AF107" s="193"/>
      <c r="AG107" s="193"/>
      <c r="AH107" s="193"/>
      <c r="AI107" s="111">
        <f ca="1">IF(Configurações!$G$10="Ligado",SUMIFS(C107:AH107,$C$4:$AH$4,"&lt;="&amp;Configurações!$C$5,$C$4:$AH$4,"&lt;="&amp;$AI$3),"")</f>
        <v>9</v>
      </c>
      <c r="AJ107" s="112">
        <f ca="1">IF(Configurações!$G$12="Ligado",IF(AI107&lt;=0,"Vazio",IF(Configurações!$G$11="Dia",IF(C107="",BAIXAS!AI107/(Configurações!$C$5),BAIXAS!AI107/(Configurações!$C$5+1)),BAIXAS!AI107/BAIXAS!A107)),"")</f>
        <v>0.375</v>
      </c>
    </row>
    <row r="108" spans="1:36" ht="21">
      <c r="A108" s="91">
        <f ca="1">COUNT(INDEX($C:$AH,ROW(),1):INDEX($C:$AH,ROW(),$AI$3+1))</f>
        <v>0</v>
      </c>
      <c r="B108" s="106" t="str">
        <f>INDEX(Cadastro_Mantimentos[[#All],[Colunas4]],MATCH(ROW()-5,Cadastro_Mantimentos[[#All],[Colunas2]],0))</f>
        <v>Páprica</v>
      </c>
      <c r="C108" s="193"/>
      <c r="D108" s="193"/>
      <c r="E108" s="193"/>
      <c r="F108" s="193"/>
      <c r="G108" s="193"/>
      <c r="H108" s="193"/>
      <c r="I108" s="193"/>
      <c r="J108" s="193"/>
      <c r="K108" s="193"/>
      <c r="L108" s="193"/>
      <c r="M108" s="193"/>
      <c r="N108" s="193"/>
      <c r="O108" s="193"/>
      <c r="P108" s="193"/>
      <c r="Q108" s="193"/>
      <c r="R108" s="193"/>
      <c r="S108" s="193"/>
      <c r="T108" s="193"/>
      <c r="U108" s="193"/>
      <c r="V108" s="193"/>
      <c r="W108" s="193"/>
      <c r="X108" s="193"/>
      <c r="Y108" s="193"/>
      <c r="Z108" s="193"/>
      <c r="AA108" s="193"/>
      <c r="AB108" s="193"/>
      <c r="AC108" s="193"/>
      <c r="AD108" s="193"/>
      <c r="AE108" s="193"/>
      <c r="AF108" s="193"/>
      <c r="AG108" s="193"/>
      <c r="AH108" s="193"/>
      <c r="AI108" s="111">
        <f ca="1">IF(Configurações!$G$10="Ligado",SUMIFS(C108:AH108,$C$4:$AH$4,"&lt;="&amp;Configurações!$C$5,$C$4:$AH$4,"&lt;="&amp;$AI$3),"")</f>
        <v>0</v>
      </c>
      <c r="AJ108" s="112" t="str">
        <f ca="1">IF(Configurações!$G$12="Ligado",IF(AI108&lt;=0,"Vazio",IF(Configurações!$G$11="Dia",IF(C108="",BAIXAS!AI108/(Configurações!$C$5),BAIXAS!AI108/(Configurações!$C$5+1)),BAIXAS!AI108/BAIXAS!A108)),"")</f>
        <v>Vazio</v>
      </c>
    </row>
    <row r="109" spans="1:36" ht="21">
      <c r="A109" s="91">
        <f ca="1">COUNT(INDEX($C:$AH,ROW(),1):INDEX($C:$AH,ROW(),$AI$3+1))</f>
        <v>2</v>
      </c>
      <c r="B109" s="106" t="str">
        <f>INDEX(Cadastro_Mantimentos[[#All],[Colunas4]],MATCH(ROW()-5,Cadastro_Mantimentos[[#All],[Colunas2]],0))</f>
        <v>Pêssego Em Calda</v>
      </c>
      <c r="C109" s="193"/>
      <c r="D109" s="193"/>
      <c r="E109" s="193"/>
      <c r="F109" s="193">
        <v>2</v>
      </c>
      <c r="G109" s="193"/>
      <c r="H109" s="193"/>
      <c r="I109" s="193"/>
      <c r="J109" s="193"/>
      <c r="K109" s="193"/>
      <c r="L109" s="193"/>
      <c r="M109" s="193">
        <v>2</v>
      </c>
      <c r="N109" s="193"/>
      <c r="O109" s="193"/>
      <c r="P109" s="193"/>
      <c r="Q109" s="193"/>
      <c r="R109" s="193"/>
      <c r="S109" s="193"/>
      <c r="T109" s="193"/>
      <c r="U109" s="193"/>
      <c r="V109" s="193"/>
      <c r="W109" s="193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  <c r="AI109" s="111">
        <f ca="1">IF(Configurações!$G$10="Ligado",SUMIFS(C109:AH109,$C$4:$AH$4,"&lt;="&amp;Configurações!$C$5,$C$4:$AH$4,"&lt;="&amp;$AI$3),"")</f>
        <v>4</v>
      </c>
      <c r="AJ109" s="112">
        <f ca="1">IF(Configurações!$G$12="Ligado",IF(AI109&lt;=0,"Vazio",IF(Configurações!$G$11="Dia",IF(C109="",BAIXAS!AI109/(Configurações!$C$5),BAIXAS!AI109/(Configurações!$C$5+1)),BAIXAS!AI109/BAIXAS!A109)),"")</f>
        <v>0.16666666666666666</v>
      </c>
    </row>
    <row r="110" spans="1:36" ht="21">
      <c r="A110" s="91">
        <f ca="1">COUNT(INDEX($C:$AH,ROW(),1):INDEX($C:$AH,ROW(),$AI$3+1))</f>
        <v>0</v>
      </c>
      <c r="B110" s="106" t="str">
        <f>INDEX(Cadastro_Mantimentos[[#All],[Colunas4]],MATCH(ROW()-5,Cadastro_Mantimentos[[#All],[Colunas2]],0))</f>
        <v>Pó Pudim Baunilha</v>
      </c>
      <c r="C110" s="193"/>
      <c r="D110" s="193"/>
      <c r="E110" s="193"/>
      <c r="F110" s="193"/>
      <c r="G110" s="193"/>
      <c r="H110" s="193"/>
      <c r="I110" s="193"/>
      <c r="J110" s="193"/>
      <c r="K110" s="193"/>
      <c r="L110" s="193"/>
      <c r="M110" s="193"/>
      <c r="N110" s="193"/>
      <c r="O110" s="193"/>
      <c r="P110" s="193"/>
      <c r="Q110" s="193"/>
      <c r="R110" s="193"/>
      <c r="S110" s="193"/>
      <c r="T110" s="193"/>
      <c r="U110" s="193"/>
      <c r="V110" s="193"/>
      <c r="W110" s="193"/>
      <c r="X110" s="193"/>
      <c r="Y110" s="193"/>
      <c r="Z110" s="193"/>
      <c r="AA110" s="193"/>
      <c r="AB110" s="193"/>
      <c r="AC110" s="193"/>
      <c r="AD110" s="193"/>
      <c r="AE110" s="193"/>
      <c r="AF110" s="193"/>
      <c r="AG110" s="193"/>
      <c r="AH110" s="193"/>
      <c r="AI110" s="111">
        <f ca="1">IF(Configurações!$G$10="Ligado",SUMIFS(C110:AH110,$C$4:$AH$4,"&lt;="&amp;Configurações!$C$5,$C$4:$AH$4,"&lt;="&amp;$AI$3),"")</f>
        <v>0</v>
      </c>
      <c r="AJ110" s="112" t="str">
        <f ca="1">IF(Configurações!$G$12="Ligado",IF(AI110&lt;=0,"Vazio",IF(Configurações!$G$11="Dia",IF(C110="",BAIXAS!AI110/(Configurações!$C$5),BAIXAS!AI110/(Configurações!$C$5+1)),BAIXAS!AI110/BAIXAS!A110)),"")</f>
        <v>Vazio</v>
      </c>
    </row>
    <row r="111" spans="1:36" ht="21">
      <c r="A111" s="91">
        <f ca="1">COUNT(INDEX($C:$AH,ROW(),1):INDEX($C:$AH,ROW(),$AI$3+1))</f>
        <v>0</v>
      </c>
      <c r="B111" s="106" t="str">
        <f>INDEX(Cadastro_Mantimentos[[#All],[Colunas4]],MATCH(ROW()-5,Cadastro_Mantimentos[[#All],[Colunas2]],0))</f>
        <v>Pó Pudim Caramelo</v>
      </c>
      <c r="C111" s="193"/>
      <c r="D111" s="193"/>
      <c r="E111" s="193"/>
      <c r="F111" s="193"/>
      <c r="G111" s="193"/>
      <c r="H111" s="193"/>
      <c r="I111" s="193"/>
      <c r="J111" s="193"/>
      <c r="K111" s="193"/>
      <c r="L111" s="193"/>
      <c r="M111" s="193"/>
      <c r="N111" s="193"/>
      <c r="O111" s="193"/>
      <c r="P111" s="193"/>
      <c r="Q111" s="193"/>
      <c r="R111" s="193"/>
      <c r="S111" s="193"/>
      <c r="T111" s="193"/>
      <c r="U111" s="193"/>
      <c r="V111" s="193"/>
      <c r="W111" s="193"/>
      <c r="X111" s="193"/>
      <c r="Y111" s="193"/>
      <c r="Z111" s="193"/>
      <c r="AA111" s="193"/>
      <c r="AB111" s="193"/>
      <c r="AC111" s="193"/>
      <c r="AD111" s="193"/>
      <c r="AE111" s="193"/>
      <c r="AF111" s="193"/>
      <c r="AG111" s="193"/>
      <c r="AH111" s="193"/>
      <c r="AI111" s="111">
        <f ca="1">IF(Configurações!$G$10="Ligado",SUMIFS(C111:AH111,$C$4:$AH$4,"&lt;="&amp;Configurações!$C$5,$C$4:$AH$4,"&lt;="&amp;$AI$3),"")</f>
        <v>0</v>
      </c>
      <c r="AJ111" s="112" t="str">
        <f ca="1">IF(Configurações!$G$12="Ligado",IF(AI111&lt;=0,"Vazio",IF(Configurações!$G$11="Dia",IF(C111="",BAIXAS!AI111/(Configurações!$C$5),BAIXAS!AI111/(Configurações!$C$5+1)),BAIXAS!AI111/BAIXAS!A111)),"")</f>
        <v>Vazio</v>
      </c>
    </row>
    <row r="112" spans="1:36" ht="21">
      <c r="A112" s="91">
        <f ca="1">COUNT(INDEX($C:$AH,ROW(),1):INDEX($C:$AH,ROW(),$AI$3+1))</f>
        <v>0</v>
      </c>
      <c r="B112" s="106" t="str">
        <f>INDEX(Cadastro_Mantimentos[[#All],[Colunas4]],MATCH(ROW()-5,Cadastro_Mantimentos[[#All],[Colunas2]],0))</f>
        <v>Pó Pudim Chocolate</v>
      </c>
      <c r="C112" s="193"/>
      <c r="D112" s="193"/>
      <c r="E112" s="193"/>
      <c r="F112" s="193"/>
      <c r="G112" s="193"/>
      <c r="H112" s="193"/>
      <c r="I112" s="193"/>
      <c r="J112" s="193"/>
      <c r="K112" s="193"/>
      <c r="L112" s="193"/>
      <c r="M112" s="193"/>
      <c r="N112" s="193"/>
      <c r="O112" s="193"/>
      <c r="P112" s="193"/>
      <c r="Q112" s="193"/>
      <c r="R112" s="193"/>
      <c r="S112" s="193"/>
      <c r="T112" s="193"/>
      <c r="U112" s="193"/>
      <c r="V112" s="193"/>
      <c r="W112" s="193"/>
      <c r="X112" s="193"/>
      <c r="Y112" s="193"/>
      <c r="Z112" s="193"/>
      <c r="AA112" s="193"/>
      <c r="AB112" s="193"/>
      <c r="AC112" s="193"/>
      <c r="AD112" s="193"/>
      <c r="AE112" s="193"/>
      <c r="AF112" s="193"/>
      <c r="AG112" s="193"/>
      <c r="AH112" s="193"/>
      <c r="AI112" s="111">
        <f ca="1">IF(Configurações!$G$10="Ligado",SUMIFS(C112:AH112,$C$4:$AH$4,"&lt;="&amp;Configurações!$C$5,$C$4:$AH$4,"&lt;="&amp;$AI$3),"")</f>
        <v>0</v>
      </c>
      <c r="AJ112" s="112" t="str">
        <f ca="1">IF(Configurações!$G$12="Ligado",IF(AI112&lt;=0,"Vazio",IF(Configurações!$G$11="Dia",IF(C112="",BAIXAS!AI112/(Configurações!$C$5),BAIXAS!AI112/(Configurações!$C$5+1)),BAIXAS!AI112/BAIXAS!A112)),"")</f>
        <v>Vazio</v>
      </c>
    </row>
    <row r="113" spans="1:36" ht="21">
      <c r="A113" s="91">
        <f ca="1">COUNT(INDEX($C:$AH,ROW(),1):INDEX($C:$AH,ROW(),$AI$3+1))</f>
        <v>4</v>
      </c>
      <c r="B113" s="106" t="str">
        <f>INDEX(Cadastro_Mantimentos[[#All],[Colunas4]],MATCH(ROW()-5,Cadastro_Mantimentos[[#All],[Colunas2]],0))</f>
        <v>Pó Pudim Coco</v>
      </c>
      <c r="C113" s="193"/>
      <c r="D113" s="193"/>
      <c r="E113" s="193"/>
      <c r="F113" s="193">
        <v>1</v>
      </c>
      <c r="G113" s="193"/>
      <c r="H113" s="193"/>
      <c r="I113" s="193"/>
      <c r="J113" s="193"/>
      <c r="K113" s="193"/>
      <c r="L113" s="193">
        <v>1</v>
      </c>
      <c r="M113" s="193"/>
      <c r="N113" s="193"/>
      <c r="O113" s="193">
        <v>2</v>
      </c>
      <c r="P113" s="193"/>
      <c r="Q113" s="193"/>
      <c r="R113" s="193"/>
      <c r="S113" s="193"/>
      <c r="T113" s="193"/>
      <c r="U113" s="193">
        <v>1</v>
      </c>
      <c r="V113" s="193"/>
      <c r="W113" s="193"/>
      <c r="X113" s="193"/>
      <c r="Y113" s="193"/>
      <c r="Z113" s="193"/>
      <c r="AA113" s="193"/>
      <c r="AB113" s="193"/>
      <c r="AC113" s="193"/>
      <c r="AD113" s="193"/>
      <c r="AE113" s="193"/>
      <c r="AF113" s="193"/>
      <c r="AG113" s="193"/>
      <c r="AH113" s="193"/>
      <c r="AI113" s="111">
        <f ca="1">IF(Configurações!$G$10="Ligado",SUMIFS(C113:AH113,$C$4:$AH$4,"&lt;="&amp;Configurações!$C$5,$C$4:$AH$4,"&lt;="&amp;$AI$3),"")</f>
        <v>5</v>
      </c>
      <c r="AJ113" s="112">
        <f ca="1">IF(Configurações!$G$12="Ligado",IF(AI113&lt;=0,"Vazio",IF(Configurações!$G$11="Dia",IF(C113="",BAIXAS!AI113/(Configurações!$C$5),BAIXAS!AI113/(Configurações!$C$5+1)),BAIXAS!AI113/BAIXAS!A113)),"")</f>
        <v>0.20833333333333334</v>
      </c>
    </row>
    <row r="114" spans="1:36" ht="21">
      <c r="A114" s="91">
        <f ca="1">COUNT(INDEX($C:$AH,ROW(),1):INDEX($C:$AH,ROW(),$AI$3+1))</f>
        <v>1</v>
      </c>
      <c r="B114" s="106" t="str">
        <f>INDEX(Cadastro_Mantimentos[[#All],[Colunas4]],MATCH(ROW()-5,Cadastro_Mantimentos[[#All],[Colunas2]],0))</f>
        <v>Pó Pudim Morango</v>
      </c>
      <c r="C114" s="193"/>
      <c r="D114" s="193"/>
      <c r="E114" s="193"/>
      <c r="F114" s="193"/>
      <c r="G114" s="193"/>
      <c r="H114" s="193"/>
      <c r="I114" s="193"/>
      <c r="J114" s="193"/>
      <c r="K114" s="193"/>
      <c r="L114" s="193"/>
      <c r="M114" s="193">
        <v>1</v>
      </c>
      <c r="N114" s="193"/>
      <c r="O114" s="193"/>
      <c r="P114" s="193"/>
      <c r="Q114" s="193"/>
      <c r="R114" s="193"/>
      <c r="S114" s="193"/>
      <c r="T114" s="193"/>
      <c r="U114" s="193"/>
      <c r="V114" s="193"/>
      <c r="W114" s="193"/>
      <c r="X114" s="193"/>
      <c r="Y114" s="193"/>
      <c r="Z114" s="193"/>
      <c r="AA114" s="193"/>
      <c r="AB114" s="193"/>
      <c r="AC114" s="193"/>
      <c r="AD114" s="193"/>
      <c r="AE114" s="193"/>
      <c r="AF114" s="193"/>
      <c r="AG114" s="193"/>
      <c r="AH114" s="193"/>
      <c r="AI114" s="111">
        <f ca="1">IF(Configurações!$G$10="Ligado",SUMIFS(C114:AH114,$C$4:$AH$4,"&lt;="&amp;Configurações!$C$5,$C$4:$AH$4,"&lt;="&amp;$AI$3),"")</f>
        <v>1</v>
      </c>
      <c r="AJ114" s="112">
        <f ca="1">IF(Configurações!$G$12="Ligado",IF(AI114&lt;=0,"Vazio",IF(Configurações!$G$11="Dia",IF(C114="",BAIXAS!AI114/(Configurações!$C$5),BAIXAS!AI114/(Configurações!$C$5+1)),BAIXAS!AI114/BAIXAS!A114)),"")</f>
        <v>4.1666666666666664E-2</v>
      </c>
    </row>
    <row r="115" spans="1:36" ht="21">
      <c r="A115" s="91">
        <f ca="1">COUNT(INDEX($C:$AH,ROW(),1):INDEX($C:$AH,ROW(),$AI$3+1))</f>
        <v>2</v>
      </c>
      <c r="B115" s="106" t="str">
        <f>INDEX(Cadastro_Mantimentos[[#All],[Colunas4]],MATCH(ROW()-5,Cadastro_Mantimentos[[#All],[Colunas2]],0))</f>
        <v>Polenta</v>
      </c>
      <c r="C115" s="193"/>
      <c r="D115" s="193"/>
      <c r="E115" s="193"/>
      <c r="F115" s="193"/>
      <c r="G115" s="193"/>
      <c r="H115" s="193"/>
      <c r="I115" s="193"/>
      <c r="J115" s="193"/>
      <c r="K115" s="193"/>
      <c r="L115" s="193"/>
      <c r="M115" s="193"/>
      <c r="N115" s="193"/>
      <c r="O115" s="193"/>
      <c r="P115" s="193">
        <v>6</v>
      </c>
      <c r="Q115" s="193"/>
      <c r="R115" s="193"/>
      <c r="S115" s="193"/>
      <c r="T115" s="193"/>
      <c r="U115" s="193"/>
      <c r="V115" s="193"/>
      <c r="W115" s="193">
        <v>2.5</v>
      </c>
      <c r="X115" s="193"/>
      <c r="Y115" s="193"/>
      <c r="Z115" s="193"/>
      <c r="AA115" s="193"/>
      <c r="AB115" s="193"/>
      <c r="AC115" s="193"/>
      <c r="AD115" s="193"/>
      <c r="AE115" s="193"/>
      <c r="AF115" s="193"/>
      <c r="AG115" s="193"/>
      <c r="AH115" s="193"/>
      <c r="AI115" s="111">
        <f ca="1">IF(Configurações!$G$10="Ligado",SUMIFS(C115:AH115,$C$4:$AH$4,"&lt;="&amp;Configurações!$C$5,$C$4:$AH$4,"&lt;="&amp;$AI$3),"")</f>
        <v>8.5</v>
      </c>
      <c r="AJ115" s="112">
        <f ca="1">IF(Configurações!$G$12="Ligado",IF(AI115&lt;=0,"Vazio",IF(Configurações!$G$11="Dia",IF(C115="",BAIXAS!AI115/(Configurações!$C$5),BAIXAS!AI115/(Configurações!$C$5+1)),BAIXAS!AI115/BAIXAS!A115)),"")</f>
        <v>0.35416666666666669</v>
      </c>
    </row>
    <row r="116" spans="1:36" ht="21">
      <c r="A116" s="91">
        <f ca="1">COUNT(INDEX($C:$AH,ROW(),1):INDEX($C:$AH,ROW(),$AI$3+1))</f>
        <v>2</v>
      </c>
      <c r="B116" s="106" t="str">
        <f>INDEX(Cadastro_Mantimentos[[#All],[Colunas4]],MATCH(ROW()-5,Cadastro_Mantimentos[[#All],[Colunas2]],0))</f>
        <v>Pure</v>
      </c>
      <c r="C116" s="193"/>
      <c r="D116" s="193"/>
      <c r="E116" s="193"/>
      <c r="F116" s="193"/>
      <c r="G116" s="193"/>
      <c r="H116" s="193">
        <v>1</v>
      </c>
      <c r="I116" s="193"/>
      <c r="J116" s="193"/>
      <c r="K116" s="193"/>
      <c r="L116" s="193"/>
      <c r="M116" s="193"/>
      <c r="N116" s="193">
        <v>1</v>
      </c>
      <c r="O116" s="193"/>
      <c r="P116" s="193"/>
      <c r="Q116" s="193"/>
      <c r="R116" s="193"/>
      <c r="S116" s="193"/>
      <c r="T116" s="193"/>
      <c r="U116" s="193"/>
      <c r="V116" s="193"/>
      <c r="W116" s="193"/>
      <c r="X116" s="193"/>
      <c r="Y116" s="193"/>
      <c r="Z116" s="193"/>
      <c r="AA116" s="193"/>
      <c r="AB116" s="193"/>
      <c r="AC116" s="193"/>
      <c r="AD116" s="193"/>
      <c r="AE116" s="193"/>
      <c r="AF116" s="193"/>
      <c r="AG116" s="193"/>
      <c r="AH116" s="193"/>
      <c r="AI116" s="111">
        <f ca="1">IF(Configurações!$G$10="Ligado",SUMIFS(C116:AH116,$C$4:$AH$4,"&lt;="&amp;Configurações!$C$5,$C$4:$AH$4,"&lt;="&amp;$AI$3),"")</f>
        <v>2</v>
      </c>
      <c r="AJ116" s="112">
        <f ca="1">IF(Configurações!$G$12="Ligado",IF(AI116&lt;=0,"Vazio",IF(Configurações!$G$11="Dia",IF(C116="",BAIXAS!AI116/(Configurações!$C$5),BAIXAS!AI116/(Configurações!$C$5+1)),BAIXAS!AI116/BAIXAS!A116)),"")</f>
        <v>8.3333333333333329E-2</v>
      </c>
    </row>
    <row r="117" spans="1:36" ht="21">
      <c r="A117" s="91">
        <f ca="1">COUNT(INDEX($C:$AH,ROW(),1):INDEX($C:$AH,ROW(),$AI$3+1))</f>
        <v>1</v>
      </c>
      <c r="B117" s="106" t="str">
        <f>INDEX(Cadastro_Mantimentos[[#All],[Colunas4]],MATCH(ROW()-5,Cadastro_Mantimentos[[#All],[Colunas2]],0))</f>
        <v>Sagu</v>
      </c>
      <c r="C117" s="193"/>
      <c r="D117" s="193"/>
      <c r="E117" s="193"/>
      <c r="F117" s="193"/>
      <c r="G117" s="193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193"/>
      <c r="W117" s="193"/>
      <c r="X117" s="193"/>
      <c r="Y117" s="193"/>
      <c r="Z117" s="193">
        <v>1</v>
      </c>
      <c r="AA117" s="193"/>
      <c r="AB117" s="193"/>
      <c r="AC117" s="193"/>
      <c r="AD117" s="193"/>
      <c r="AE117" s="193"/>
      <c r="AF117" s="193"/>
      <c r="AG117" s="193"/>
      <c r="AH117" s="193"/>
      <c r="AI117" s="111">
        <f ca="1">IF(Configurações!$G$10="Ligado",SUMIFS(C117:AH117,$C$4:$AH$4,"&lt;="&amp;Configurações!$C$5,$C$4:$AH$4,"&lt;="&amp;$AI$3),"")</f>
        <v>1</v>
      </c>
      <c r="AJ117" s="112">
        <f ca="1">IF(Configurações!$G$12="Ligado",IF(AI117&lt;=0,"Vazio",IF(Configurações!$G$11="Dia",IF(C117="",BAIXAS!AI117/(Configurações!$C$5),BAIXAS!AI117/(Configurações!$C$5+1)),BAIXAS!AI117/BAIXAS!A117)),"")</f>
        <v>4.1666666666666664E-2</v>
      </c>
    </row>
    <row r="118" spans="1:36" ht="21">
      <c r="A118" s="91">
        <f ca="1">COUNT(INDEX($C:$AH,ROW(),1):INDEX($C:$AH,ROW(),$AI$3+1))</f>
        <v>11</v>
      </c>
      <c r="B118" s="106" t="str">
        <f>INDEX(Cadastro_Mantimentos[[#All],[Colunas4]],MATCH(ROW()-5,Cadastro_Mantimentos[[#All],[Colunas2]],0))</f>
        <v xml:space="preserve">Sal </v>
      </c>
      <c r="C118" s="193"/>
      <c r="D118" s="193"/>
      <c r="E118" s="193">
        <v>1</v>
      </c>
      <c r="F118" s="193">
        <v>1</v>
      </c>
      <c r="G118" s="193"/>
      <c r="H118" s="193">
        <v>1</v>
      </c>
      <c r="I118" s="193"/>
      <c r="J118" s="193">
        <v>1</v>
      </c>
      <c r="K118" s="193"/>
      <c r="L118" s="193"/>
      <c r="M118" s="193">
        <v>1</v>
      </c>
      <c r="N118" s="193">
        <v>1</v>
      </c>
      <c r="O118" s="193">
        <v>1</v>
      </c>
      <c r="P118" s="193"/>
      <c r="Q118" s="193"/>
      <c r="R118" s="193">
        <v>1</v>
      </c>
      <c r="S118" s="193"/>
      <c r="T118" s="193">
        <v>1</v>
      </c>
      <c r="U118" s="193"/>
      <c r="V118" s="193">
        <v>1</v>
      </c>
      <c r="W118" s="193"/>
      <c r="X118" s="193"/>
      <c r="Y118" s="193"/>
      <c r="Z118" s="193">
        <v>1</v>
      </c>
      <c r="AA118" s="193"/>
      <c r="AB118" s="193"/>
      <c r="AC118" s="193"/>
      <c r="AD118" s="193"/>
      <c r="AE118" s="193"/>
      <c r="AF118" s="193"/>
      <c r="AG118" s="193"/>
      <c r="AH118" s="193"/>
      <c r="AI118" s="111">
        <f ca="1">IF(Configurações!$G$10="Ligado",SUMIFS(C118:AH118,$C$4:$AH$4,"&lt;="&amp;Configurações!$C$5,$C$4:$AH$4,"&lt;="&amp;$AI$3),"")</f>
        <v>11</v>
      </c>
      <c r="AJ118" s="112">
        <f ca="1">IF(Configurações!$G$12="Ligado",IF(AI118&lt;=0,"Vazio",IF(Configurações!$G$11="Dia",IF(C118="",BAIXAS!AI118/(Configurações!$C$5),BAIXAS!AI118/(Configurações!$C$5+1)),BAIXAS!AI118/BAIXAS!A118)),"")</f>
        <v>0.45833333333333331</v>
      </c>
    </row>
    <row r="119" spans="1:36" ht="21">
      <c r="A119" s="91">
        <f ca="1">COUNT(INDEX($C:$AH,ROW(),1):INDEX($C:$AH,ROW(),$AI$3+1))</f>
        <v>0</v>
      </c>
      <c r="B119" s="106" t="str">
        <f>INDEX(Cadastro_Mantimentos[[#All],[Colunas4]],MATCH(ROW()-5,Cadastro_Mantimentos[[#All],[Colunas2]],0))</f>
        <v>Sal Sache</v>
      </c>
      <c r="C119" s="193"/>
      <c r="D119" s="193"/>
      <c r="E119" s="193"/>
      <c r="F119" s="193"/>
      <c r="G119" s="193"/>
      <c r="H119" s="193"/>
      <c r="I119" s="193"/>
      <c r="J119" s="193"/>
      <c r="K119" s="193"/>
      <c r="L119" s="193"/>
      <c r="M119" s="193"/>
      <c r="N119" s="193"/>
      <c r="O119" s="193"/>
      <c r="P119" s="193"/>
      <c r="Q119" s="193"/>
      <c r="R119" s="193"/>
      <c r="S119" s="193"/>
      <c r="T119" s="193"/>
      <c r="U119" s="193"/>
      <c r="V119" s="193"/>
      <c r="W119" s="193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11">
        <f ca="1">IF(Configurações!$G$10="Ligado",SUMIFS(C119:AH119,$C$4:$AH$4,"&lt;="&amp;Configurações!$C$5,$C$4:$AH$4,"&lt;="&amp;$AI$3),"")</f>
        <v>0</v>
      </c>
      <c r="AJ119" s="112" t="str">
        <f ca="1">IF(Configurações!$G$12="Ligado",IF(AI119&lt;=0,"Vazio",IF(Configurações!$G$11="Dia",IF(C119="",BAIXAS!AI119/(Configurações!$C$5),BAIXAS!AI119/(Configurações!$C$5+1)),BAIXAS!AI119/BAIXAS!A119)),"")</f>
        <v>Vazio</v>
      </c>
    </row>
    <row r="120" spans="1:36" ht="21">
      <c r="A120" s="91">
        <f ca="1">COUNT(INDEX($C:$AH,ROW(),1):INDEX($C:$AH,ROW(),$AI$3+1))</f>
        <v>0</v>
      </c>
      <c r="B120" s="106" t="str">
        <f>INDEX(Cadastro_Mantimentos[[#All],[Colunas4]],MATCH(ROW()-5,Cadastro_Mantimentos[[#All],[Colunas2]],0))</f>
        <v>Sardinha</v>
      </c>
      <c r="C120" s="193"/>
      <c r="D120" s="193"/>
      <c r="E120" s="193"/>
      <c r="F120" s="193"/>
      <c r="G120" s="193"/>
      <c r="H120" s="193"/>
      <c r="I120" s="193"/>
      <c r="J120" s="193"/>
      <c r="K120" s="193"/>
      <c r="L120" s="193"/>
      <c r="M120" s="193"/>
      <c r="N120" s="193"/>
      <c r="O120" s="193"/>
      <c r="P120" s="193"/>
      <c r="Q120" s="193"/>
      <c r="R120" s="193"/>
      <c r="S120" s="193"/>
      <c r="T120" s="193"/>
      <c r="U120" s="193"/>
      <c r="V120" s="193"/>
      <c r="W120" s="193"/>
      <c r="X120" s="193"/>
      <c r="Y120" s="193"/>
      <c r="Z120" s="193"/>
      <c r="AA120" s="193"/>
      <c r="AB120" s="193"/>
      <c r="AC120" s="193"/>
      <c r="AD120" s="193"/>
      <c r="AE120" s="193"/>
      <c r="AF120" s="193"/>
      <c r="AG120" s="193"/>
      <c r="AH120" s="193"/>
      <c r="AI120" s="111">
        <f ca="1">IF(Configurações!$G$10="Ligado",SUMIFS(C120:AH120,$C$4:$AH$4,"&lt;="&amp;Configurações!$C$5,$C$4:$AH$4,"&lt;="&amp;$AI$3),"")</f>
        <v>0</v>
      </c>
      <c r="AJ120" s="112" t="str">
        <f ca="1">IF(Configurações!$G$12="Ligado",IF(AI120&lt;=0,"Vazio",IF(Configurações!$G$11="Dia",IF(C120="",BAIXAS!AI120/(Configurações!$C$5),BAIXAS!AI120/(Configurações!$C$5+1)),BAIXAS!AI120/BAIXAS!A120)),"")</f>
        <v>Vazio</v>
      </c>
    </row>
    <row r="121" spans="1:36" ht="21">
      <c r="A121" s="91">
        <f ca="1">COUNT(INDEX($C:$AH,ROW(),1):INDEX($C:$AH,ROW(),$AI$3+1))</f>
        <v>0</v>
      </c>
      <c r="B121" s="106" t="str">
        <f>INDEX(Cadastro_Mantimentos[[#All],[Colunas4]],MATCH(ROW()-5,Cadastro_Mantimentos[[#All],[Colunas2]],0))</f>
        <v>Shoyo</v>
      </c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3"/>
      <c r="P121" s="193"/>
      <c r="Q121" s="193"/>
      <c r="R121" s="193"/>
      <c r="S121" s="193"/>
      <c r="T121" s="193"/>
      <c r="U121" s="193"/>
      <c r="V121" s="193"/>
      <c r="W121" s="193"/>
      <c r="X121" s="193"/>
      <c r="Y121" s="193"/>
      <c r="Z121" s="193"/>
      <c r="AA121" s="193"/>
      <c r="AB121" s="193"/>
      <c r="AC121" s="193"/>
      <c r="AD121" s="193"/>
      <c r="AE121" s="193"/>
      <c r="AF121" s="193"/>
      <c r="AG121" s="193"/>
      <c r="AH121" s="193"/>
      <c r="AI121" s="111">
        <f ca="1">IF(Configurações!$G$10="Ligado",SUMIFS(C121:AH121,$C$4:$AH$4,"&lt;="&amp;Configurações!$C$5,$C$4:$AH$4,"&lt;="&amp;$AI$3),"")</f>
        <v>0</v>
      </c>
      <c r="AJ121" s="112" t="str">
        <f ca="1">IF(Configurações!$G$12="Ligado",IF(AI121&lt;=0,"Vazio",IF(Configurações!$G$11="Dia",IF(C121="",BAIXAS!AI121/(Configurações!$C$5),BAIXAS!AI121/(Configurações!$C$5+1)),BAIXAS!AI121/BAIXAS!A121)),"")</f>
        <v>Vazio</v>
      </c>
    </row>
    <row r="122" spans="1:36" ht="21">
      <c r="A122" s="91">
        <f ca="1">COUNT(INDEX($C:$AH,ROW(),1):INDEX($C:$AH,ROW(),$AI$3+1))</f>
        <v>0</v>
      </c>
      <c r="B122" s="106" t="str">
        <f>INDEX(Cadastro_Mantimentos[[#All],[Colunas4]],MATCH(ROW()-5,Cadastro_Mantimentos[[#All],[Colunas2]],0))</f>
        <v>Soja em Grãos</v>
      </c>
      <c r="C122" s="193"/>
      <c r="D122" s="193"/>
      <c r="E122" s="193"/>
      <c r="F122" s="193"/>
      <c r="G122" s="193"/>
      <c r="H122" s="193"/>
      <c r="I122" s="193"/>
      <c r="J122" s="193"/>
      <c r="K122" s="193"/>
      <c r="L122" s="193"/>
      <c r="M122" s="193"/>
      <c r="N122" s="193"/>
      <c r="O122" s="193"/>
      <c r="P122" s="193"/>
      <c r="Q122" s="193"/>
      <c r="R122" s="193"/>
      <c r="S122" s="193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11">
        <f ca="1">IF(Configurações!$G$10="Ligado",SUMIFS(C122:AH122,$C$4:$AH$4,"&lt;="&amp;Configurações!$C$5,$C$4:$AH$4,"&lt;="&amp;$AI$3),"")</f>
        <v>0</v>
      </c>
      <c r="AJ122" s="112" t="str">
        <f ca="1">IF(Configurações!$G$12="Ligado",IF(AI122&lt;=0,"Vazio",IF(Configurações!$G$11="Dia",IF(C122="",BAIXAS!AI122/(Configurações!$C$5),BAIXAS!AI122/(Configurações!$C$5+1)),BAIXAS!AI122/BAIXAS!A122)),"")</f>
        <v>Vazio</v>
      </c>
    </row>
    <row r="123" spans="1:36" ht="21">
      <c r="A123" s="91">
        <f ca="1">COUNT(INDEX($C:$AH,ROW(),1):INDEX($C:$AH,ROW(),$AI$3+1))</f>
        <v>1</v>
      </c>
      <c r="B123" s="106" t="str">
        <f>INDEX(Cadastro_Mantimentos[[#All],[Colunas4]],MATCH(ROW()-5,Cadastro_Mantimentos[[#All],[Colunas2]],0))</f>
        <v xml:space="preserve">Suco De Abacaxi </v>
      </c>
      <c r="C123" s="193"/>
      <c r="D123" s="193"/>
      <c r="E123" s="193"/>
      <c r="F123" s="193"/>
      <c r="G123" s="193"/>
      <c r="H123" s="193"/>
      <c r="I123" s="193"/>
      <c r="J123" s="193"/>
      <c r="K123" s="193"/>
      <c r="L123" s="193"/>
      <c r="M123" s="193">
        <v>1</v>
      </c>
      <c r="N123" s="193"/>
      <c r="O123" s="193"/>
      <c r="P123" s="193"/>
      <c r="Q123" s="193"/>
      <c r="R123" s="193"/>
      <c r="S123" s="193"/>
      <c r="T123" s="193"/>
      <c r="U123" s="193"/>
      <c r="V123" s="193"/>
      <c r="W123" s="193"/>
      <c r="X123" s="193"/>
      <c r="Y123" s="193"/>
      <c r="Z123" s="193"/>
      <c r="AA123" s="193"/>
      <c r="AB123" s="193"/>
      <c r="AC123" s="193"/>
      <c r="AD123" s="193"/>
      <c r="AE123" s="193"/>
      <c r="AF123" s="193"/>
      <c r="AG123" s="193"/>
      <c r="AH123" s="193"/>
      <c r="AI123" s="111">
        <f ca="1">IF(Configurações!$G$10="Ligado",SUMIFS(C123:AH123,$C$4:$AH$4,"&lt;="&amp;Configurações!$C$5,$C$4:$AH$4,"&lt;="&amp;$AI$3),"")</f>
        <v>1</v>
      </c>
      <c r="AJ123" s="112">
        <f ca="1">IF(Configurações!$G$12="Ligado",IF(AI123&lt;=0,"Vazio",IF(Configurações!$G$11="Dia",IF(C123="",BAIXAS!AI123/(Configurações!$C$5),BAIXAS!AI123/(Configurações!$C$5+1)),BAIXAS!AI123/BAIXAS!A123)),"")</f>
        <v>4.1666666666666664E-2</v>
      </c>
    </row>
    <row r="124" spans="1:36" ht="21">
      <c r="A124" s="91">
        <f ca="1">COUNT(INDEX($C:$AH,ROW(),1):INDEX($C:$AH,ROW(),$AI$3+1))</f>
        <v>0</v>
      </c>
      <c r="B124" s="106" t="str">
        <f>INDEX(Cadastro_Mantimentos[[#All],[Colunas4]],MATCH(ROW()-5,Cadastro_Mantimentos[[#All],[Colunas2]],0))</f>
        <v>Suco de Acerola</v>
      </c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  <c r="M124" s="193"/>
      <c r="N124" s="193"/>
      <c r="O124" s="193"/>
      <c r="P124" s="193"/>
      <c r="Q124" s="193"/>
      <c r="R124" s="193"/>
      <c r="S124" s="193"/>
      <c r="T124" s="193"/>
      <c r="U124" s="193"/>
      <c r="V124" s="193"/>
      <c r="W124" s="193"/>
      <c r="X124" s="193"/>
      <c r="Y124" s="193"/>
      <c r="Z124" s="193"/>
      <c r="AA124" s="193"/>
      <c r="AB124" s="193"/>
      <c r="AC124" s="193"/>
      <c r="AD124" s="193"/>
      <c r="AE124" s="193"/>
      <c r="AF124" s="193"/>
      <c r="AG124" s="193"/>
      <c r="AH124" s="193"/>
      <c r="AI124" s="111">
        <f ca="1">IF(Configurações!$G$10="Ligado",SUMIFS(C124:AH124,$C$4:$AH$4,"&lt;="&amp;Configurações!$C$5,$C$4:$AH$4,"&lt;="&amp;$AI$3),"")</f>
        <v>0</v>
      </c>
      <c r="AJ124" s="112" t="str">
        <f ca="1">IF(Configurações!$G$12="Ligado",IF(AI124&lt;=0,"Vazio",IF(Configurações!$G$11="Dia",IF(C124="",BAIXAS!AI124/(Configurações!$C$5),BAIXAS!AI124/(Configurações!$C$5+1)),BAIXAS!AI124/BAIXAS!A124)),"")</f>
        <v>Vazio</v>
      </c>
    </row>
    <row r="125" spans="1:36" ht="21">
      <c r="A125" s="91">
        <f ca="1">COUNT(INDEX($C:$AH,ROW(),1):INDEX($C:$AH,ROW(),$AI$3+1))</f>
        <v>0</v>
      </c>
      <c r="B125" s="106" t="str">
        <f>INDEX(Cadastro_Mantimentos[[#All],[Colunas4]],MATCH(ROW()-5,Cadastro_Mantimentos[[#All],[Colunas2]],0))</f>
        <v>Suco De Cajú</v>
      </c>
      <c r="C125" s="193"/>
      <c r="D125" s="193"/>
      <c r="E125" s="193"/>
      <c r="F125" s="193"/>
      <c r="G125" s="193"/>
      <c r="H125" s="193"/>
      <c r="I125" s="193"/>
      <c r="J125" s="193"/>
      <c r="K125" s="193"/>
      <c r="L125" s="193"/>
      <c r="M125" s="193"/>
      <c r="N125" s="193"/>
      <c r="O125" s="193"/>
      <c r="P125" s="193"/>
      <c r="Q125" s="193"/>
      <c r="R125" s="193"/>
      <c r="S125" s="193"/>
      <c r="T125" s="193"/>
      <c r="U125" s="193"/>
      <c r="V125" s="193"/>
      <c r="W125" s="193"/>
      <c r="X125" s="193"/>
      <c r="Y125" s="193"/>
      <c r="Z125" s="193"/>
      <c r="AA125" s="193"/>
      <c r="AB125" s="193"/>
      <c r="AC125" s="193"/>
      <c r="AD125" s="193"/>
      <c r="AE125" s="193"/>
      <c r="AF125" s="193"/>
      <c r="AG125" s="193"/>
      <c r="AH125" s="193"/>
      <c r="AI125" s="111">
        <f ca="1">IF(Configurações!$G$10="Ligado",SUMIFS(C125:AH125,$C$4:$AH$4,"&lt;="&amp;Configurações!$C$5,$C$4:$AH$4,"&lt;="&amp;$AI$3),"")</f>
        <v>0</v>
      </c>
      <c r="AJ125" s="112" t="str">
        <f ca="1">IF(Configurações!$G$12="Ligado",IF(AI125&lt;=0,"Vazio",IF(Configurações!$G$11="Dia",IF(C125="",BAIXAS!AI125/(Configurações!$C$5),BAIXAS!AI125/(Configurações!$C$5+1)),BAIXAS!AI125/BAIXAS!A125)),"")</f>
        <v>Vazio</v>
      </c>
    </row>
    <row r="126" spans="1:36" ht="21">
      <c r="A126" s="91">
        <f ca="1">COUNT(INDEX($C:$AH,ROW(),1):INDEX($C:$AH,ROW(),$AI$3+1))</f>
        <v>1</v>
      </c>
      <c r="B126" s="106" t="str">
        <f>INDEX(Cadastro_Mantimentos[[#All],[Colunas4]],MATCH(ROW()-5,Cadastro_Mantimentos[[#All],[Colunas2]],0))</f>
        <v>Suco De Goiaba</v>
      </c>
      <c r="C126" s="193"/>
      <c r="D126" s="193"/>
      <c r="E126" s="193"/>
      <c r="F126" s="193"/>
      <c r="G126" s="193"/>
      <c r="H126" s="193"/>
      <c r="I126" s="193"/>
      <c r="J126" s="193"/>
      <c r="K126" s="193"/>
      <c r="L126" s="193"/>
      <c r="M126" s="193"/>
      <c r="N126" s="193"/>
      <c r="O126" s="193"/>
      <c r="P126" s="193">
        <v>1</v>
      </c>
      <c r="Q126" s="193"/>
      <c r="R126" s="193"/>
      <c r="S126" s="193"/>
      <c r="T126" s="193"/>
      <c r="U126" s="193"/>
      <c r="V126" s="193"/>
      <c r="W126" s="193"/>
      <c r="X126" s="193"/>
      <c r="Y126" s="193"/>
      <c r="Z126" s="193"/>
      <c r="AA126" s="193"/>
      <c r="AB126" s="193"/>
      <c r="AC126" s="193"/>
      <c r="AD126" s="193"/>
      <c r="AE126" s="193"/>
      <c r="AF126" s="193"/>
      <c r="AG126" s="193"/>
      <c r="AH126" s="193"/>
      <c r="AI126" s="111">
        <f ca="1">IF(Configurações!$G$10="Ligado",SUMIFS(C126:AH126,$C$4:$AH$4,"&lt;="&amp;Configurações!$C$5,$C$4:$AH$4,"&lt;="&amp;$AI$3),"")</f>
        <v>1</v>
      </c>
      <c r="AJ126" s="112">
        <f ca="1">IF(Configurações!$G$12="Ligado",IF(AI126&lt;=0,"Vazio",IF(Configurações!$G$11="Dia",IF(C126="",BAIXAS!AI126/(Configurações!$C$5),BAIXAS!AI126/(Configurações!$C$5+1)),BAIXAS!AI126/BAIXAS!A126)),"")</f>
        <v>4.1666666666666664E-2</v>
      </c>
    </row>
    <row r="127" spans="1:36" ht="21">
      <c r="A127" s="91">
        <f ca="1">COUNT(INDEX($C:$AH,ROW(),1):INDEX($C:$AH,ROW(),$AI$3+1))</f>
        <v>0</v>
      </c>
      <c r="B127" s="106" t="str">
        <f>INDEX(Cadastro_Mantimentos[[#All],[Colunas4]],MATCH(ROW()-5,Cadastro_Mantimentos[[#All],[Colunas2]],0))</f>
        <v>Suco De Laranja</v>
      </c>
      <c r="C127" s="193"/>
      <c r="D127" s="193"/>
      <c r="E127" s="193"/>
      <c r="F127" s="193"/>
      <c r="G127" s="193"/>
      <c r="H127" s="193"/>
      <c r="I127" s="193"/>
      <c r="J127" s="193"/>
      <c r="K127" s="193"/>
      <c r="L127" s="193"/>
      <c r="M127" s="193"/>
      <c r="N127" s="193"/>
      <c r="O127" s="193"/>
      <c r="P127" s="193"/>
      <c r="Q127" s="193"/>
      <c r="R127" s="193"/>
      <c r="S127" s="193"/>
      <c r="T127" s="193"/>
      <c r="U127" s="193"/>
      <c r="V127" s="193"/>
      <c r="W127" s="193"/>
      <c r="X127" s="193"/>
      <c r="Y127" s="193"/>
      <c r="Z127" s="193"/>
      <c r="AA127" s="193"/>
      <c r="AB127" s="193"/>
      <c r="AC127" s="193"/>
      <c r="AD127" s="193"/>
      <c r="AE127" s="193"/>
      <c r="AF127" s="193"/>
      <c r="AG127" s="193"/>
      <c r="AH127" s="193"/>
      <c r="AI127" s="111">
        <f ca="1">IF(Configurações!$G$10="Ligado",SUMIFS(C127:AH127,$C$4:$AH$4,"&lt;="&amp;Configurações!$C$5,$C$4:$AH$4,"&lt;="&amp;$AI$3),"")</f>
        <v>0</v>
      </c>
      <c r="AJ127" s="112" t="str">
        <f ca="1">IF(Configurações!$G$12="Ligado",IF(AI127&lt;=0,"Vazio",IF(Configurações!$G$11="Dia",IF(C127="",BAIXAS!AI127/(Configurações!$C$5),BAIXAS!AI127/(Configurações!$C$5+1)),BAIXAS!AI127/BAIXAS!A127)),"")</f>
        <v>Vazio</v>
      </c>
    </row>
    <row r="128" spans="1:36" ht="21">
      <c r="A128" s="91">
        <f ca="1">COUNT(INDEX($C:$AH,ROW(),1):INDEX($C:$AH,ROW(),$AI$3+1))</f>
        <v>0</v>
      </c>
      <c r="B128" s="106" t="str">
        <f>INDEX(Cadastro_Mantimentos[[#All],[Colunas4]],MATCH(ROW()-5,Cadastro_Mantimentos[[#All],[Colunas2]],0))</f>
        <v>Suco de Manga</v>
      </c>
      <c r="C128" s="193"/>
      <c r="D128" s="193"/>
      <c r="E128" s="193"/>
      <c r="F128" s="193"/>
      <c r="G128" s="193"/>
      <c r="H128" s="193"/>
      <c r="I128" s="193"/>
      <c r="J128" s="193"/>
      <c r="K128" s="193"/>
      <c r="L128" s="193"/>
      <c r="M128" s="193"/>
      <c r="N128" s="193"/>
      <c r="O128" s="193"/>
      <c r="P128" s="193"/>
      <c r="Q128" s="193"/>
      <c r="R128" s="193"/>
      <c r="S128" s="193"/>
      <c r="T128" s="193"/>
      <c r="U128" s="193"/>
      <c r="V128" s="193"/>
      <c r="W128" s="193"/>
      <c r="X128" s="193"/>
      <c r="Y128" s="193"/>
      <c r="Z128" s="193"/>
      <c r="AA128" s="193"/>
      <c r="AB128" s="193"/>
      <c r="AC128" s="193"/>
      <c r="AD128" s="193"/>
      <c r="AE128" s="193"/>
      <c r="AF128" s="193"/>
      <c r="AG128" s="193"/>
      <c r="AH128" s="193"/>
      <c r="AI128" s="111">
        <f ca="1">IF(Configurações!$G$10="Ligado",SUMIFS(C128:AH128,$C$4:$AH$4,"&lt;="&amp;Configurações!$C$5,$C$4:$AH$4,"&lt;="&amp;$AI$3),"")</f>
        <v>0</v>
      </c>
      <c r="AJ128" s="112" t="str">
        <f ca="1">IF(Configurações!$G$12="Ligado",IF(AI128&lt;=0,"Vazio",IF(Configurações!$G$11="Dia",IF(C128="",BAIXAS!AI128/(Configurações!$C$5),BAIXAS!AI128/(Configurações!$C$5+1)),BAIXAS!AI128/BAIXAS!A128)),"")</f>
        <v>Vazio</v>
      </c>
    </row>
    <row r="129" spans="1:41" ht="21">
      <c r="A129" s="125">
        <f ca="1">COUNT(INDEX($C:$AH,ROW(),1):INDEX($C:$AH,ROW(),$AI$3+1))</f>
        <v>0</v>
      </c>
      <c r="B129" s="126" t="str">
        <f>INDEX(Cadastro_Mantimentos[[#All],[Colunas4]],MATCH(ROW()-5,Cadastro_Mantimentos[[#All],[Colunas2]],0))</f>
        <v>Suco De Maracujá</v>
      </c>
      <c r="C129" s="193"/>
      <c r="D129" s="193"/>
      <c r="E129" s="193"/>
      <c r="F129" s="193"/>
      <c r="G129" s="193"/>
      <c r="H129" s="193"/>
      <c r="I129" s="193"/>
      <c r="J129" s="193"/>
      <c r="K129" s="193"/>
      <c r="L129" s="193"/>
      <c r="M129" s="193"/>
      <c r="N129" s="193"/>
      <c r="O129" s="193"/>
      <c r="P129" s="193"/>
      <c r="Q129" s="193"/>
      <c r="R129" s="193"/>
      <c r="S129" s="193"/>
      <c r="T129" s="193"/>
      <c r="U129" s="193"/>
      <c r="V129" s="193"/>
      <c r="W129" s="193"/>
      <c r="X129" s="193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  <c r="AI129" s="111">
        <f ca="1">IF(Configurações!$G$10="Ligado",SUMIFS(C129:AH129,$C$4:$AH$4,"&lt;="&amp;Configurações!$C$5,$C$4:$AH$4,"&lt;="&amp;$AI$3),"")</f>
        <v>0</v>
      </c>
      <c r="AJ129" s="127" t="str">
        <f ca="1">IF(Configurações!$G$12="Ligado",IF(AI129&lt;=0,"Vazio",IF(Configurações!$G$11="Dia",IF(C129="",BAIXAS!AI129/(Configurações!$C$5),BAIXAS!AI129/(Configurações!$C$5+1)),BAIXAS!AI129/BAIXAS!A129)),"")</f>
        <v>Vazio</v>
      </c>
    </row>
    <row r="130" spans="1:41" ht="21">
      <c r="A130" s="91">
        <f ca="1">COUNT(INDEX($C:$AH,ROW(),1):INDEX($C:$AH,ROW(),$AI$3+1))</f>
        <v>0</v>
      </c>
      <c r="B130" s="106" t="str">
        <f>INDEX(Cadastro_Mantimentos[[#All],[Colunas4]],MATCH(ROW()-5,Cadastro_Mantimentos[[#All],[Colunas2]],0))</f>
        <v>Suco De Tangerina</v>
      </c>
      <c r="C130" s="193"/>
      <c r="D130" s="193"/>
      <c r="E130" s="193"/>
      <c r="F130" s="193"/>
      <c r="G130" s="193"/>
      <c r="H130" s="193"/>
      <c r="I130" s="193"/>
      <c r="J130" s="193"/>
      <c r="K130" s="193"/>
      <c r="L130" s="193"/>
      <c r="M130" s="193"/>
      <c r="N130" s="193"/>
      <c r="O130" s="193"/>
      <c r="P130" s="193"/>
      <c r="Q130" s="193"/>
      <c r="R130" s="193"/>
      <c r="S130" s="193"/>
      <c r="T130" s="193"/>
      <c r="U130" s="193"/>
      <c r="V130" s="193"/>
      <c r="W130" s="193"/>
      <c r="X130" s="193"/>
      <c r="Y130" s="193"/>
      <c r="Z130" s="193"/>
      <c r="AA130" s="193"/>
      <c r="AB130" s="193"/>
      <c r="AC130" s="193"/>
      <c r="AD130" s="193"/>
      <c r="AE130" s="193"/>
      <c r="AF130" s="193"/>
      <c r="AG130" s="193"/>
      <c r="AH130" s="193"/>
      <c r="AI130" s="111">
        <f ca="1">IF(Configurações!$G$10="Ligado",SUMIFS(C130:AH130,$C$4:$AH$4,"&lt;="&amp;Configurações!$C$5,$C$4:$AH$4,"&lt;="&amp;$AI$3),"")</f>
        <v>0</v>
      </c>
      <c r="AJ130" s="112" t="str">
        <f ca="1">IF(Configurações!$G$12="Ligado",IF(AI130&lt;=0,"Vazio",IF(Configurações!$G$11="Dia",IF(C130="",BAIXAS!AI130/(Configurações!$C$5),BAIXAS!AI130/(Configurações!$C$5+1)),BAIXAS!AI130/BAIXAS!A130)),"")</f>
        <v>Vazio</v>
      </c>
    </row>
    <row r="131" spans="1:41" ht="21">
      <c r="A131" s="125">
        <f ca="1">COUNT(INDEX($C:$AH,ROW(),1):INDEX($C:$AH,ROW(),$AI$3+1))</f>
        <v>0</v>
      </c>
      <c r="B131" s="126" t="str">
        <f>INDEX(Cadastro_Mantimentos[[#All],[Colunas4]],MATCH(ROW()-5,Cadastro_Mantimentos[[#All],[Colunas2]],0))</f>
        <v>Suco de Uva</v>
      </c>
      <c r="C131" s="193"/>
      <c r="D131" s="193"/>
      <c r="E131" s="193"/>
      <c r="F131" s="193"/>
      <c r="G131" s="193"/>
      <c r="H131" s="193"/>
      <c r="I131" s="193"/>
      <c r="J131" s="193"/>
      <c r="K131" s="193"/>
      <c r="L131" s="193"/>
      <c r="M131" s="193"/>
      <c r="N131" s="193"/>
      <c r="O131" s="193"/>
      <c r="P131" s="193"/>
      <c r="Q131" s="193"/>
      <c r="R131" s="193"/>
      <c r="S131" s="193"/>
      <c r="T131" s="193"/>
      <c r="U131" s="193"/>
      <c r="V131" s="193"/>
      <c r="W131" s="193"/>
      <c r="X131" s="193"/>
      <c r="Y131" s="193"/>
      <c r="Z131" s="193"/>
      <c r="AA131" s="193"/>
      <c r="AB131" s="193"/>
      <c r="AC131" s="193"/>
      <c r="AD131" s="193"/>
      <c r="AE131" s="193"/>
      <c r="AF131" s="193"/>
      <c r="AG131" s="193"/>
      <c r="AH131" s="193"/>
      <c r="AI131" s="111">
        <f ca="1">IF(Configurações!$G$10="Ligado",SUMIFS(C131:AH131,$C$4:$AH$4,"&lt;="&amp;Configurações!$C$5,$C$4:$AH$4,"&lt;="&amp;$AI$3),"")</f>
        <v>0</v>
      </c>
      <c r="AJ131" s="127" t="str">
        <f ca="1">IF(Configurações!$G$12="Ligado",IF(AI131&lt;=0,"Vazio",IF(Configurações!$G$11="Dia",IF(C131="",BAIXAS!AI131/(Configurações!$C$5),BAIXAS!AI131/(Configurações!$C$5+1)),BAIXAS!AI131/BAIXAS!A131)),"")</f>
        <v>Vazio</v>
      </c>
    </row>
    <row r="132" spans="1:41" ht="21">
      <c r="A132" s="125">
        <f ca="1">COUNT(INDEX($C:$AH,ROW(),1):INDEX($C:$AH,ROW(),$AI$3+1))</f>
        <v>0</v>
      </c>
      <c r="B132" s="140" t="str">
        <f>INDEX(Cadastro_Mantimentos[[#All],[Colunas4]],MATCH(ROW()-5,Cadastro_Mantimentos[[#All],[Colunas2]],0))</f>
        <v>Tempero Fondor</v>
      </c>
      <c r="C132" s="193"/>
      <c r="D132" s="193"/>
      <c r="E132" s="193"/>
      <c r="F132" s="193"/>
      <c r="G132" s="193"/>
      <c r="H132" s="193"/>
      <c r="I132" s="193"/>
      <c r="J132" s="193"/>
      <c r="K132" s="193"/>
      <c r="L132" s="193"/>
      <c r="M132" s="193"/>
      <c r="N132" s="193"/>
      <c r="O132" s="193"/>
      <c r="P132" s="193"/>
      <c r="Q132" s="193"/>
      <c r="R132" s="193"/>
      <c r="S132" s="193"/>
      <c r="T132" s="193"/>
      <c r="U132" s="193"/>
      <c r="V132" s="193"/>
      <c r="W132" s="193"/>
      <c r="X132" s="193"/>
      <c r="Y132" s="193"/>
      <c r="Z132" s="193"/>
      <c r="AA132" s="193"/>
      <c r="AB132" s="193"/>
      <c r="AC132" s="193"/>
      <c r="AD132" s="193"/>
      <c r="AE132" s="193"/>
      <c r="AF132" s="193"/>
      <c r="AG132" s="193"/>
      <c r="AH132" s="193"/>
      <c r="AI132" s="111">
        <f ca="1">IF(Configurações!$G$10="Ligado",SUMIFS(C132:AH132,$C$4:$AH$4,"&lt;="&amp;Configurações!$C$5,$C$4:$AH$4,"&lt;="&amp;$AI$3),"")</f>
        <v>0</v>
      </c>
      <c r="AJ132" s="141" t="str">
        <f ca="1">IF(Configurações!$G$12="Ligado",IF(AI132&lt;=0,"Vazio",IF(Configurações!$G$11="Dia",IF(C132="",BAIXAS!AI132/(Configurações!$C$5),BAIXAS!AI132/(Configurações!$C$5+1)),BAIXAS!AI132/BAIXAS!A132)),"")</f>
        <v>Vazio</v>
      </c>
    </row>
    <row r="133" spans="1:41" ht="21">
      <c r="A133" s="91">
        <f ca="1">COUNT(INDEX($C:$AH,ROW(),1):INDEX($C:$AH,ROW(),$AI$3+1))</f>
        <v>1</v>
      </c>
      <c r="B133" s="106" t="str">
        <f>INDEX(Cadastro_Mantimentos[[#All],[Colunas4]],MATCH(ROW()-5,Cadastro_Mantimentos[[#All],[Colunas2]],0))</f>
        <v xml:space="preserve">Trigo Para Kibe </v>
      </c>
      <c r="C133" s="193"/>
      <c r="D133" s="193"/>
      <c r="E133" s="193"/>
      <c r="F133" s="193"/>
      <c r="G133" s="193"/>
      <c r="H133" s="193"/>
      <c r="I133" s="193"/>
      <c r="J133" s="193"/>
      <c r="K133" s="193"/>
      <c r="L133" s="193"/>
      <c r="M133" s="193">
        <v>1</v>
      </c>
      <c r="N133" s="193"/>
      <c r="O133" s="193"/>
      <c r="P133" s="193"/>
      <c r="Q133" s="193"/>
      <c r="R133" s="193"/>
      <c r="S133" s="193"/>
      <c r="T133" s="193"/>
      <c r="U133" s="193"/>
      <c r="V133" s="193"/>
      <c r="W133" s="193"/>
      <c r="X133" s="193"/>
      <c r="Y133" s="193"/>
      <c r="Z133" s="193"/>
      <c r="AA133" s="193"/>
      <c r="AB133" s="193"/>
      <c r="AC133" s="193"/>
      <c r="AD133" s="193"/>
      <c r="AE133" s="193"/>
      <c r="AF133" s="193"/>
      <c r="AG133" s="193"/>
      <c r="AH133" s="193"/>
      <c r="AI133" s="111">
        <f ca="1">IF(Configurações!$G$10="Ligado",SUMIFS(C133:AH133,$C$4:$AH$4,"&lt;="&amp;Configurações!$C$5,$C$4:$AH$4,"&lt;="&amp;$AI$3),"")</f>
        <v>1</v>
      </c>
      <c r="AJ133" s="112">
        <f ca="1">IF(Configurações!$G$12="Ligado",IF(AI133&lt;=0,"Vazio",IF(Configurações!$G$11="Dia",IF(C133="",BAIXAS!AI133/(Configurações!$C$5),BAIXAS!AI133/(Configurações!$C$5+1)),BAIXAS!AI133/BAIXAS!A133)),"")</f>
        <v>4.1666666666666664E-2</v>
      </c>
    </row>
    <row r="134" spans="1:41" ht="21">
      <c r="A134" s="125">
        <f ca="1">COUNT(INDEX($C:$AH,ROW(),1):INDEX($C:$AH,ROW(),$AI$3+1))</f>
        <v>0</v>
      </c>
      <c r="B134" s="140" t="str">
        <f>INDEX(Cadastro_Mantimentos[[#All],[Colunas4]],MATCH(ROW()-5,Cadastro_Mantimentos[[#All],[Colunas2]],0))</f>
        <v>Uva Passa Preta</v>
      </c>
      <c r="C134" s="193"/>
      <c r="D134" s="193"/>
      <c r="E134" s="193"/>
      <c r="F134" s="193"/>
      <c r="G134" s="193"/>
      <c r="H134" s="193"/>
      <c r="I134" s="193"/>
      <c r="J134" s="193"/>
      <c r="K134" s="193"/>
      <c r="L134" s="193"/>
      <c r="M134" s="193"/>
      <c r="N134" s="193"/>
      <c r="O134" s="193"/>
      <c r="P134" s="193"/>
      <c r="Q134" s="193"/>
      <c r="R134" s="193"/>
      <c r="S134" s="193"/>
      <c r="T134" s="193"/>
      <c r="U134" s="193"/>
      <c r="V134" s="193"/>
      <c r="W134" s="193"/>
      <c r="X134" s="193"/>
      <c r="Y134" s="193"/>
      <c r="Z134" s="193"/>
      <c r="AA134" s="193"/>
      <c r="AB134" s="193"/>
      <c r="AC134" s="193"/>
      <c r="AD134" s="193"/>
      <c r="AE134" s="193"/>
      <c r="AF134" s="193"/>
      <c r="AG134" s="193"/>
      <c r="AH134" s="193"/>
      <c r="AI134" s="111">
        <f ca="1">IF(Configurações!$G$10="Ligado",SUMIFS(C134:AH134,$C$4:$AH$4,"&lt;="&amp;Configurações!$C$5,$C$4:$AH$4,"&lt;="&amp;$AI$3),"")</f>
        <v>0</v>
      </c>
      <c r="AJ134" s="141" t="str">
        <f ca="1">IF(Configurações!$G$12="Ligado",IF(AI134&lt;=0,"Vazio",IF(Configurações!$G$11="Dia",IF(C134="",BAIXAS!AI134/(Configurações!$C$5),BAIXAS!AI134/(Configurações!$C$5+1)),BAIXAS!AI134/BAIXAS!A134)),"")</f>
        <v>Vazio</v>
      </c>
    </row>
    <row r="135" spans="1:41" ht="21">
      <c r="A135" s="125">
        <f ca="1">COUNT(INDEX($C:$AH,ROW(),1):INDEX($C:$AH,ROW(),$AI$3+1))</f>
        <v>16</v>
      </c>
      <c r="B135" s="140" t="str">
        <f>INDEX(Cadastro_Mantimentos[[#All],[Colunas4]],MATCH(ROW()-5,Cadastro_Mantimentos[[#All],[Colunas2]],0))</f>
        <v xml:space="preserve">Vinagre </v>
      </c>
      <c r="C135" s="193"/>
      <c r="D135" s="193"/>
      <c r="E135" s="193">
        <v>2</v>
      </c>
      <c r="F135" s="193">
        <v>1</v>
      </c>
      <c r="G135" s="193">
        <v>2</v>
      </c>
      <c r="H135" s="193">
        <v>2</v>
      </c>
      <c r="I135" s="193">
        <v>1</v>
      </c>
      <c r="J135" s="193"/>
      <c r="K135" s="193"/>
      <c r="L135" s="193">
        <v>1</v>
      </c>
      <c r="M135" s="193">
        <v>1</v>
      </c>
      <c r="N135" s="193">
        <v>1</v>
      </c>
      <c r="O135" s="193">
        <v>1</v>
      </c>
      <c r="P135" s="193">
        <v>2</v>
      </c>
      <c r="Q135" s="193"/>
      <c r="R135" s="193">
        <v>2</v>
      </c>
      <c r="S135" s="193"/>
      <c r="T135" s="193">
        <v>2</v>
      </c>
      <c r="U135" s="193"/>
      <c r="V135" s="193">
        <v>1</v>
      </c>
      <c r="W135" s="193"/>
      <c r="X135" s="193">
        <v>1</v>
      </c>
      <c r="Y135" s="193"/>
      <c r="Z135" s="193">
        <v>2</v>
      </c>
      <c r="AA135" s="193">
        <v>2</v>
      </c>
      <c r="AB135" s="193"/>
      <c r="AC135" s="193"/>
      <c r="AD135" s="193"/>
      <c r="AE135" s="193"/>
      <c r="AF135" s="193"/>
      <c r="AG135" s="193"/>
      <c r="AH135" s="193"/>
      <c r="AI135" s="111">
        <f ca="1">IF(Configurações!$G$10="Ligado",SUMIFS(C135:AH135,$C$4:$AH$4,"&lt;="&amp;Configurações!$C$5,$C$4:$AH$4,"&lt;="&amp;$AI$3),"")</f>
        <v>24</v>
      </c>
      <c r="AJ135" s="141">
        <f ca="1">IF(Configurações!$G$12="Ligado",IF(AI135&lt;=0,"Vazio",IF(Configurações!$G$11="Dia",IF(C135="",BAIXAS!AI135/(Configurações!$C$5),BAIXAS!AI135/(Configurações!$C$5+1)),BAIXAS!AI135/BAIXAS!A135)),"")</f>
        <v>1</v>
      </c>
    </row>
    <row r="136" spans="1:41" ht="21">
      <c r="A136" s="125">
        <f ca="1">COUNT(INDEX($C:$AH,ROW(),1):INDEX($C:$AH,ROW(),$AI$3+1))</f>
        <v>2</v>
      </c>
      <c r="B136" s="140" t="str">
        <f>INDEX(Cadastro_Mantimentos[[#All],[Colunas4]],MATCH(ROW()-5,Cadastro_Mantimentos[[#All],[Colunas2]],0))</f>
        <v>Vinagre Sachê</v>
      </c>
      <c r="C136" s="193"/>
      <c r="D136" s="193"/>
      <c r="E136" s="193"/>
      <c r="F136" s="193"/>
      <c r="G136" s="193"/>
      <c r="H136" s="193"/>
      <c r="I136" s="193"/>
      <c r="J136" s="193"/>
      <c r="K136" s="193"/>
      <c r="L136" s="193">
        <v>1</v>
      </c>
      <c r="M136" s="193"/>
      <c r="N136" s="193"/>
      <c r="O136" s="193"/>
      <c r="P136" s="193"/>
      <c r="Q136" s="193"/>
      <c r="R136" s="193"/>
      <c r="S136" s="193"/>
      <c r="T136" s="193"/>
      <c r="U136" s="193"/>
      <c r="V136" s="193"/>
      <c r="W136" s="193"/>
      <c r="X136" s="193"/>
      <c r="Y136" s="193"/>
      <c r="Z136" s="193"/>
      <c r="AA136" s="193">
        <v>1</v>
      </c>
      <c r="AB136" s="193"/>
      <c r="AC136" s="193"/>
      <c r="AD136" s="193"/>
      <c r="AE136" s="193"/>
      <c r="AF136" s="193"/>
      <c r="AG136" s="193"/>
      <c r="AH136" s="193"/>
      <c r="AI136" s="111">
        <f ca="1">IF(Configurações!$G$10="Ligado",SUMIFS(C136:AH136,$C$4:$AH$4,"&lt;="&amp;Configurações!$C$5,$C$4:$AH$4,"&lt;="&amp;$AI$3),"")</f>
        <v>2</v>
      </c>
      <c r="AJ136" s="141">
        <f ca="1">IF(Configurações!$G$12="Ligado",IF(AI136&lt;=0,"Vazio",IF(Configurações!$G$11="Dia",IF(C136="",BAIXAS!AI136/(Configurações!$C$5),BAIXAS!AI136/(Configurações!$C$5+1)),BAIXAS!AI136/BAIXAS!A136)),"")</f>
        <v>8.3333333333333329E-2</v>
      </c>
    </row>
    <row r="137" spans="1:41" ht="21">
      <c r="A137" s="91">
        <f ca="1">COUNT(INDEX($C:$AH,ROW(),1):INDEX($C:$AH,ROW(),$AI$3+1))</f>
        <v>0</v>
      </c>
      <c r="B137" s="106" t="str">
        <f>INDEX(Cadastro_Mantimentos[[#All],[Colunas4]],MATCH(ROW()-5,Cadastro_Mantimentos[[#All],[Colunas2]],0))</f>
        <v>Vinho</v>
      </c>
      <c r="C137" s="193"/>
      <c r="D137" s="193"/>
      <c r="E137" s="193"/>
      <c r="F137" s="193"/>
      <c r="G137" s="193"/>
      <c r="H137" s="193"/>
      <c r="I137" s="193"/>
      <c r="J137" s="193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  <c r="AI137" s="111">
        <f ca="1">IF(Configurações!$G$10="Ligado",SUMIFS(C137:AH137,$C$4:$AH$4,"&lt;="&amp;Configurações!$C$5,$C$4:$AH$4,"&lt;="&amp;$AI$3),"")</f>
        <v>0</v>
      </c>
      <c r="AJ137" s="112" t="str">
        <f ca="1">IF(Configurações!$G$12="Ligado",IF(AI137&lt;=0,"Vazio",IF(Configurações!$G$11="Dia",IF(C137="",BAIXAS!AI137/(Configurações!$C$5),BAIXAS!AI137/(Configurações!$C$5+1)),BAIXAS!AI137/BAIXAS!A137)),"")</f>
        <v>Vazio</v>
      </c>
      <c r="AO137" s="13"/>
    </row>
    <row r="138" spans="1:41" ht="16.5" thickBot="1">
      <c r="C138" s="194"/>
      <c r="D138" s="194"/>
      <c r="E138" s="194"/>
      <c r="F138" s="194"/>
      <c r="G138" s="194"/>
      <c r="H138" s="194"/>
      <c r="I138" s="194"/>
      <c r="J138" s="194"/>
      <c r="K138" s="194"/>
      <c r="L138" s="194"/>
      <c r="M138" s="194"/>
      <c r="N138" s="194"/>
      <c r="O138" s="194"/>
      <c r="P138" s="194"/>
      <c r="Q138" s="194"/>
      <c r="R138" s="194"/>
      <c r="S138" s="194"/>
      <c r="T138" s="194"/>
      <c r="U138" s="194"/>
      <c r="V138" s="194"/>
      <c r="W138" s="194"/>
      <c r="X138" s="194"/>
      <c r="Y138" s="194"/>
      <c r="Z138" s="194"/>
      <c r="AA138" s="194"/>
      <c r="AB138" s="194"/>
      <c r="AC138" s="194"/>
      <c r="AD138" s="194"/>
      <c r="AE138" s="194"/>
      <c r="AF138" s="194"/>
      <c r="AG138" s="194"/>
      <c r="AH138" s="194"/>
      <c r="AJ138" s="11"/>
    </row>
    <row r="139" spans="1:41" ht="24" thickBot="1">
      <c r="B139" s="461" t="s">
        <v>115</v>
      </c>
      <c r="C139" s="462"/>
      <c r="D139" s="462"/>
      <c r="E139" s="462"/>
      <c r="F139" s="462"/>
      <c r="G139" s="462"/>
      <c r="H139" s="462"/>
      <c r="I139" s="462"/>
      <c r="J139" s="462"/>
      <c r="K139" s="462"/>
      <c r="L139" s="462"/>
      <c r="M139" s="462"/>
      <c r="N139" s="462"/>
      <c r="O139" s="462"/>
      <c r="P139" s="462"/>
      <c r="Q139" s="462"/>
      <c r="R139" s="462"/>
      <c r="S139" s="462"/>
      <c r="T139" s="462"/>
      <c r="U139" s="462"/>
      <c r="V139" s="462"/>
      <c r="W139" s="462"/>
      <c r="X139" s="462"/>
      <c r="Y139" s="462"/>
      <c r="Z139" s="462"/>
      <c r="AA139" s="462"/>
      <c r="AB139" s="462"/>
      <c r="AC139" s="462"/>
      <c r="AD139" s="462"/>
      <c r="AE139" s="462"/>
      <c r="AF139" s="462"/>
      <c r="AG139" s="462"/>
      <c r="AH139" s="462"/>
      <c r="AI139" s="463"/>
      <c r="AJ139" s="464"/>
    </row>
    <row r="140" spans="1:41" ht="21">
      <c r="A140" s="91">
        <f ca="1">COUNT(INDEX($C:$AH,ROW(),1):INDEX($C:$AH,ROW(),$AI$3+1))</f>
        <v>3</v>
      </c>
      <c r="B140" s="106" t="str">
        <f>INDEX(Cadastro_Carnes[[#All],[Colunas4]],MATCH(ROW()-5,Cadastro_Carnes[[#All],[Colunas2]],0))</f>
        <v>Almondega</v>
      </c>
      <c r="C140" s="193"/>
      <c r="D140" s="193"/>
      <c r="E140" s="193"/>
      <c r="F140" s="193">
        <v>3.0550000000000002</v>
      </c>
      <c r="G140" s="193"/>
      <c r="H140" s="193"/>
      <c r="I140" s="193"/>
      <c r="J140" s="193"/>
      <c r="K140" s="193"/>
      <c r="L140" s="193"/>
      <c r="M140" s="193">
        <v>1.9750000000000001</v>
      </c>
      <c r="N140" s="193"/>
      <c r="O140" s="193"/>
      <c r="P140" s="193"/>
      <c r="Q140" s="193"/>
      <c r="R140" s="193"/>
      <c r="S140" s="193">
        <v>1.4850000000000001</v>
      </c>
      <c r="T140" s="193"/>
      <c r="U140" s="193"/>
      <c r="V140" s="193"/>
      <c r="W140" s="193"/>
      <c r="X140" s="193"/>
      <c r="Y140" s="193"/>
      <c r="Z140" s="193"/>
      <c r="AA140" s="193"/>
      <c r="AB140" s="193"/>
      <c r="AC140" s="193"/>
      <c r="AD140" s="193"/>
      <c r="AE140" s="193"/>
      <c r="AF140" s="193"/>
      <c r="AG140" s="193"/>
      <c r="AH140" s="193"/>
      <c r="AI140" s="110">
        <f ca="1">IF(Configurações!$G$10="Ligado",SUMIFS(C140:AH140,$C$4:$AH$4,"&lt;="&amp;Configurações!$C$5,$C$4:$AH$4,"&lt;="&amp;$AI$3),"")</f>
        <v>6.5150000000000006</v>
      </c>
      <c r="AJ140" s="112">
        <f ca="1">IF(Configurações!$G$12="Ligado",IF(AI140&lt;=0,"Vazio",IF(Configurações!$G$11="Dia",IF(C140="",BAIXAS!AI140/(Configurações!$C$5),BAIXAS!AI140/(Configurações!$C$5+1)),BAIXAS!AI140/BAIXAS!A140)),"")</f>
        <v>0.27145833333333336</v>
      </c>
    </row>
    <row r="141" spans="1:41" ht="21">
      <c r="A141" s="91">
        <f ca="1">COUNT(INDEX($C:$AH,ROW(),1):INDEX($C:$AH,ROW(),$AI$3+1))</f>
        <v>2</v>
      </c>
      <c r="B141" s="106" t="str">
        <f>INDEX(Cadastro_Carnes[[#All],[Colunas4]],MATCH(ROW()-5,Cadastro_Carnes[[#All],[Colunas2]],0))</f>
        <v xml:space="preserve">Bacon </v>
      </c>
      <c r="C141" s="193"/>
      <c r="D141" s="193"/>
      <c r="E141" s="193"/>
      <c r="F141" s="193"/>
      <c r="G141" s="193"/>
      <c r="H141" s="193">
        <v>4.6399999999999997</v>
      </c>
      <c r="I141" s="193"/>
      <c r="J141" s="193"/>
      <c r="K141" s="193"/>
      <c r="L141" s="193"/>
      <c r="M141" s="193"/>
      <c r="N141" s="193"/>
      <c r="O141" s="193"/>
      <c r="P141" s="193"/>
      <c r="Q141" s="193"/>
      <c r="R141" s="193"/>
      <c r="S141" s="193"/>
      <c r="T141" s="193"/>
      <c r="U141" s="193"/>
      <c r="V141" s="193"/>
      <c r="W141" s="193"/>
      <c r="X141" s="193">
        <v>6.375</v>
      </c>
      <c r="Y141" s="193"/>
      <c r="Z141" s="193"/>
      <c r="AA141" s="193"/>
      <c r="AB141" s="193"/>
      <c r="AC141" s="193"/>
      <c r="AD141" s="193"/>
      <c r="AE141" s="193"/>
      <c r="AF141" s="193"/>
      <c r="AG141" s="193"/>
      <c r="AH141" s="193"/>
      <c r="AI141" s="110">
        <f ca="1">IF(Configurações!$G$10="Ligado",SUMIFS(C141:AH141,$C$4:$AH$4,"&lt;="&amp;Configurações!$C$5,$C$4:$AH$4,"&lt;="&amp;$AI$3),"")</f>
        <v>11.015000000000001</v>
      </c>
      <c r="AJ141" s="112">
        <f ca="1">IF(Configurações!$G$12="Ligado",IF(AI141&lt;=0,"Vazio",IF(Configurações!$G$11="Dia",IF(C141="",BAIXAS!AI141/(Configurações!$C$5),BAIXAS!AI141/(Configurações!$C$5+1)),BAIXAS!AI141/BAIXAS!A141)),"")</f>
        <v>0.45895833333333336</v>
      </c>
    </row>
    <row r="142" spans="1:41" ht="21">
      <c r="A142" s="91">
        <f ca="1">COUNT(INDEX($C:$AH,ROW(),1):INDEX($C:$AH,ROW(),$AI$3+1))</f>
        <v>2</v>
      </c>
      <c r="B142" s="106" t="str">
        <f>INDEX(Cadastro_Carnes[[#All],[Colunas4]],MATCH(ROW()-5,Cadastro_Carnes[[#All],[Colunas2]],0))</f>
        <v>Barriga</v>
      </c>
      <c r="C142" s="193"/>
      <c r="D142" s="193"/>
      <c r="E142" s="193"/>
      <c r="F142" s="193"/>
      <c r="G142" s="193"/>
      <c r="H142" s="193">
        <v>16.98</v>
      </c>
      <c r="I142" s="193"/>
      <c r="J142" s="193"/>
      <c r="K142" s="193"/>
      <c r="L142" s="193"/>
      <c r="M142" s="193"/>
      <c r="N142" s="193"/>
      <c r="O142" s="193">
        <v>16.149999999999999</v>
      </c>
      <c r="P142" s="193"/>
      <c r="Q142" s="193"/>
      <c r="R142" s="193"/>
      <c r="S142" s="193"/>
      <c r="T142" s="193"/>
      <c r="U142" s="193"/>
      <c r="V142" s="193"/>
      <c r="W142" s="193"/>
      <c r="X142" s="193"/>
      <c r="Y142" s="193"/>
      <c r="Z142" s="193"/>
      <c r="AA142" s="193"/>
      <c r="AB142" s="193"/>
      <c r="AC142" s="193"/>
      <c r="AD142" s="193"/>
      <c r="AE142" s="193"/>
      <c r="AF142" s="193"/>
      <c r="AG142" s="193"/>
      <c r="AH142" s="193"/>
      <c r="AI142" s="110">
        <f ca="1">IF(Configurações!$G$10="Ligado",SUMIFS(C142:AH142,$C$4:$AH$4,"&lt;="&amp;Configurações!$C$5,$C$4:$AH$4,"&lt;="&amp;$AI$3),"")</f>
        <v>33.129999999999995</v>
      </c>
      <c r="AJ142" s="112">
        <f ca="1">IF(Configurações!$G$12="Ligado",IF(AI142&lt;=0,"Vazio",IF(Configurações!$G$11="Dia",IF(C142="",BAIXAS!AI142/(Configurações!$C$5),BAIXAS!AI142/(Configurações!$C$5+1)),BAIXAS!AI142/BAIXAS!A142)),"")</f>
        <v>1.3804166666666664</v>
      </c>
    </row>
    <row r="143" spans="1:41" ht="21">
      <c r="A143" s="91">
        <f ca="1">COUNT(INDEX($C:$AH,ROW(),1):INDEX($C:$AH,ROW(),$AI$3+1))</f>
        <v>2</v>
      </c>
      <c r="B143" s="106" t="str">
        <f>INDEX(Cadastro_Carnes[[#All],[Colunas4]],MATCH(ROW()-5,Cadastro_Carnes[[#All],[Colunas2]],0))</f>
        <v>Bisteca Porco</v>
      </c>
      <c r="C143" s="193"/>
      <c r="D143" s="193"/>
      <c r="E143" s="193"/>
      <c r="F143" s="193"/>
      <c r="G143" s="193"/>
      <c r="H143" s="193"/>
      <c r="I143" s="193"/>
      <c r="J143" s="193"/>
      <c r="K143" s="193"/>
      <c r="L143" s="193"/>
      <c r="M143" s="193"/>
      <c r="N143" s="193"/>
      <c r="O143" s="193"/>
      <c r="P143" s="193"/>
      <c r="Q143" s="193"/>
      <c r="R143" s="193"/>
      <c r="S143" s="193">
        <v>7.24</v>
      </c>
      <c r="T143" s="193"/>
      <c r="U143" s="193"/>
      <c r="V143" s="193"/>
      <c r="W143" s="193"/>
      <c r="X143" s="193"/>
      <c r="Y143" s="193"/>
      <c r="Z143" s="193">
        <v>8.65</v>
      </c>
      <c r="AA143" s="193"/>
      <c r="AB143" s="193"/>
      <c r="AC143" s="193"/>
      <c r="AD143" s="193"/>
      <c r="AE143" s="193"/>
      <c r="AF143" s="193"/>
      <c r="AG143" s="193"/>
      <c r="AH143" s="193"/>
      <c r="AI143" s="110">
        <f ca="1">IF(Configurações!$G$10="Ligado",SUMIFS(C143:AH143,$C$4:$AH$4,"&lt;="&amp;Configurações!$C$5,$C$4:$AH$4,"&lt;="&amp;$AI$3),"")</f>
        <v>15.89</v>
      </c>
      <c r="AJ143" s="112">
        <f ca="1">IF(Configurações!$G$12="Ligado",IF(AI143&lt;=0,"Vazio",IF(Configurações!$G$11="Dia",IF(C143="",BAIXAS!AI143/(Configurações!$C$5),BAIXAS!AI143/(Configurações!$C$5+1)),BAIXAS!AI143/BAIXAS!A143)),"")</f>
        <v>0.66208333333333336</v>
      </c>
    </row>
    <row r="144" spans="1:41" ht="21">
      <c r="A144" s="91">
        <f ca="1">COUNT(INDEX($C:$AH,ROW(),1):INDEX($C:$AH,ROW(),$AI$3+1))</f>
        <v>1</v>
      </c>
      <c r="B144" s="106" t="str">
        <f>INDEX(Cadastro_Carnes[[#All],[Colunas4]],MATCH(ROW()-5,Cadastro_Carnes[[#All],[Colunas2]],0))</f>
        <v>Carne Moida Patinho</v>
      </c>
      <c r="C144" s="193"/>
      <c r="D144" s="193"/>
      <c r="E144" s="193"/>
      <c r="F144" s="193"/>
      <c r="G144" s="193"/>
      <c r="H144" s="193"/>
      <c r="I144" s="193"/>
      <c r="J144" s="193"/>
      <c r="K144" s="193"/>
      <c r="L144" s="193"/>
      <c r="M144" s="193"/>
      <c r="N144" s="193"/>
      <c r="O144" s="193">
        <v>9</v>
      </c>
      <c r="P144" s="193"/>
      <c r="Q144" s="193"/>
      <c r="R144" s="193"/>
      <c r="S144" s="193"/>
      <c r="T144" s="193"/>
      <c r="U144" s="193"/>
      <c r="V144" s="193"/>
      <c r="W144" s="193"/>
      <c r="X144" s="193"/>
      <c r="Y144" s="193"/>
      <c r="Z144" s="193"/>
      <c r="AA144" s="193"/>
      <c r="AB144" s="193"/>
      <c r="AC144" s="193"/>
      <c r="AD144" s="193"/>
      <c r="AE144" s="193"/>
      <c r="AF144" s="193"/>
      <c r="AG144" s="193"/>
      <c r="AH144" s="193"/>
      <c r="AI144" s="110">
        <f ca="1">IF(Configurações!$G$10="Ligado",SUMIFS(C144:AH144,$C$4:$AH$4,"&lt;="&amp;Configurações!$C$5,$C$4:$AH$4,"&lt;="&amp;$AI$3),"")</f>
        <v>9</v>
      </c>
      <c r="AJ144" s="112">
        <f ca="1">IF(Configurações!$G$12="Ligado",IF(AI144&lt;=0,"Vazio",IF(Configurações!$G$11="Dia",IF(C144="",BAIXAS!AI144/(Configurações!$C$5),BAIXAS!AI144/(Configurações!$C$5+1)),BAIXAS!AI144/BAIXAS!A144)),"")</f>
        <v>0.375</v>
      </c>
    </row>
    <row r="145" spans="1:36" ht="21">
      <c r="A145" s="91">
        <f ca="1">COUNT(INDEX($C:$AH,ROW(),1):INDEX($C:$AH,ROW(),$AI$3+1))</f>
        <v>3</v>
      </c>
      <c r="B145" s="106" t="str">
        <f>INDEX(Cadastro_Carnes[[#All],[Colunas4]],MATCH(ROW()-5,Cadastro_Carnes[[#All],[Colunas2]],0))</f>
        <v>Carne Seca</v>
      </c>
      <c r="C145" s="193"/>
      <c r="D145" s="193"/>
      <c r="E145" s="193"/>
      <c r="F145" s="193"/>
      <c r="G145" s="193"/>
      <c r="H145" s="193">
        <v>10</v>
      </c>
      <c r="I145" s="193"/>
      <c r="J145" s="193"/>
      <c r="K145" s="193"/>
      <c r="L145" s="193"/>
      <c r="M145" s="193"/>
      <c r="N145" s="193"/>
      <c r="O145" s="193">
        <v>10</v>
      </c>
      <c r="P145" s="193"/>
      <c r="Q145" s="193"/>
      <c r="R145" s="193"/>
      <c r="S145" s="193"/>
      <c r="T145" s="193"/>
      <c r="U145" s="193"/>
      <c r="V145" s="193">
        <v>10</v>
      </c>
      <c r="W145" s="193"/>
      <c r="X145" s="193"/>
      <c r="Y145" s="193"/>
      <c r="Z145" s="193"/>
      <c r="AA145" s="193"/>
      <c r="AB145" s="193"/>
      <c r="AC145" s="193"/>
      <c r="AD145" s="193"/>
      <c r="AE145" s="193"/>
      <c r="AF145" s="193"/>
      <c r="AG145" s="193"/>
      <c r="AH145" s="193"/>
      <c r="AI145" s="110">
        <f ca="1">IF(Configurações!$G$10="Ligado",SUMIFS(C145:AH145,$C$4:$AH$4,"&lt;="&amp;Configurações!$C$5,$C$4:$AH$4,"&lt;="&amp;$AI$3),"")</f>
        <v>30</v>
      </c>
      <c r="AJ145" s="112">
        <f ca="1">IF(Configurações!$G$12="Ligado",IF(AI145&lt;=0,"Vazio",IF(Configurações!$G$11="Dia",IF(C145="",BAIXAS!AI145/(Configurações!$C$5),BAIXAS!AI145/(Configurações!$C$5+1)),BAIXAS!AI145/BAIXAS!A145)),"")</f>
        <v>1.25</v>
      </c>
    </row>
    <row r="146" spans="1:36" ht="21">
      <c r="A146" s="91">
        <f ca="1">COUNT(INDEX($C:$AH,ROW(),1):INDEX($C:$AH,ROW(),$AI$3+1))</f>
        <v>0</v>
      </c>
      <c r="B146" s="106" t="str">
        <f>INDEX(Cadastro_Carnes[[#All],[Colunas4]],MATCH(ROW()-5,Cadastro_Carnes[[#All],[Colunas2]],0))</f>
        <v>Cheester</v>
      </c>
      <c r="C146" s="193"/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3"/>
      <c r="P146" s="193"/>
      <c r="Q146" s="193"/>
      <c r="R146" s="193"/>
      <c r="S146" s="193"/>
      <c r="T146" s="193"/>
      <c r="U146" s="193"/>
      <c r="V146" s="193"/>
      <c r="W146" s="193"/>
      <c r="X146" s="193"/>
      <c r="Y146" s="193"/>
      <c r="Z146" s="193"/>
      <c r="AA146" s="193"/>
      <c r="AB146" s="193"/>
      <c r="AC146" s="193"/>
      <c r="AD146" s="193"/>
      <c r="AE146" s="193"/>
      <c r="AF146" s="193"/>
      <c r="AG146" s="193"/>
      <c r="AH146" s="193"/>
      <c r="AI146" s="110">
        <f ca="1">IF(Configurações!$G$10="Ligado",SUMIFS(C146:AH146,$C$4:$AH$4,"&lt;="&amp;Configurações!$C$5,$C$4:$AH$4,"&lt;="&amp;$AI$3),"")</f>
        <v>0</v>
      </c>
      <c r="AJ146" s="112" t="str">
        <f ca="1">IF(Configurações!$G$12="Ligado",IF(AI146&lt;=0,"Vazio",IF(Configurações!$G$11="Dia",IF(C146="",BAIXAS!AI146/(Configurações!$C$5),BAIXAS!AI146/(Configurações!$C$5+1)),BAIXAS!AI146/BAIXAS!A146)),"")</f>
        <v>Vazio</v>
      </c>
    </row>
    <row r="147" spans="1:36" ht="21">
      <c r="A147" s="91">
        <f ca="1">COUNT(INDEX($C:$AH,ROW(),1):INDEX($C:$AH,ROW(),$AI$3+1))</f>
        <v>7</v>
      </c>
      <c r="B147" s="106" t="str">
        <f>INDEX(Cadastro_Carnes[[#All],[Colunas4]],MATCH(ROW()-5,Cadastro_Carnes[[#All],[Colunas2]],0))</f>
        <v>Contra Filé</v>
      </c>
      <c r="C147" s="193"/>
      <c r="D147" s="193"/>
      <c r="E147" s="193"/>
      <c r="F147" s="193">
        <f>9.32+5.35</f>
        <v>14.67</v>
      </c>
      <c r="G147" s="193"/>
      <c r="H147" s="193"/>
      <c r="I147" s="193">
        <v>9.0399999999999991</v>
      </c>
      <c r="J147" s="193"/>
      <c r="K147" s="193"/>
      <c r="L147" s="193"/>
      <c r="M147" s="193"/>
      <c r="N147" s="193">
        <v>9.1</v>
      </c>
      <c r="O147" s="193"/>
      <c r="P147" s="193">
        <v>9.6300000000000008</v>
      </c>
      <c r="Q147" s="193"/>
      <c r="R147" s="193"/>
      <c r="S147" s="193"/>
      <c r="T147" s="193">
        <v>8.5</v>
      </c>
      <c r="U147" s="193"/>
      <c r="V147" s="193">
        <f>4.01+3.5</f>
        <v>7.51</v>
      </c>
      <c r="W147" s="193"/>
      <c r="X147" s="193"/>
      <c r="Y147" s="193"/>
      <c r="Z147" s="193"/>
      <c r="AA147" s="193">
        <v>12.07</v>
      </c>
      <c r="AB147" s="193"/>
      <c r="AC147" s="193"/>
      <c r="AD147" s="193"/>
      <c r="AE147" s="193"/>
      <c r="AF147" s="193"/>
      <c r="AG147" s="193"/>
      <c r="AH147" s="193"/>
      <c r="AI147" s="110">
        <f ca="1">IF(Configurações!$G$10="Ligado",SUMIFS(C147:AH147,$C$4:$AH$4,"&lt;="&amp;Configurações!$C$5,$C$4:$AH$4,"&lt;="&amp;$AI$3),"")</f>
        <v>70.52000000000001</v>
      </c>
      <c r="AJ147" s="112">
        <f ca="1">IF(Configurações!$G$12="Ligado",IF(AI147&lt;=0,"Vazio",IF(Configurações!$G$11="Dia",IF(C147="",BAIXAS!AI147/(Configurações!$C$5),BAIXAS!AI147/(Configurações!$C$5+1)),BAIXAS!AI147/BAIXAS!A147)),"")</f>
        <v>2.9383333333333339</v>
      </c>
    </row>
    <row r="148" spans="1:36" ht="21">
      <c r="A148" s="91">
        <f ca="1">COUNT(INDEX($C:$AH,ROW(),1):INDEX($C:$AH,ROW(),$AI$3+1))</f>
        <v>2</v>
      </c>
      <c r="B148" s="106" t="str">
        <f>INDEX(Cadastro_Carnes[[#All],[Colunas4]],MATCH(ROW()-5,Cadastro_Carnes[[#All],[Colunas2]],0))</f>
        <v>Costela Fresca</v>
      </c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>
        <v>6.75</v>
      </c>
      <c r="N148" s="193"/>
      <c r="O148" s="193"/>
      <c r="P148" s="193"/>
      <c r="Q148" s="193"/>
      <c r="R148" s="193"/>
      <c r="S148" s="193"/>
      <c r="T148" s="193"/>
      <c r="U148" s="193">
        <f>3.71+2.43</f>
        <v>6.1400000000000006</v>
      </c>
      <c r="V148" s="193"/>
      <c r="W148" s="193"/>
      <c r="X148" s="193"/>
      <c r="Y148" s="193"/>
      <c r="Z148" s="193"/>
      <c r="AA148" s="193"/>
      <c r="AB148" s="193"/>
      <c r="AC148" s="193"/>
      <c r="AD148" s="193"/>
      <c r="AE148" s="193"/>
      <c r="AF148" s="193"/>
      <c r="AG148" s="193"/>
      <c r="AH148" s="193"/>
      <c r="AI148" s="110">
        <f ca="1">IF(Configurações!$G$10="Ligado",SUMIFS(C148:AH148,$C$4:$AH$4,"&lt;="&amp;Configurações!$C$5,$C$4:$AH$4,"&lt;="&amp;$AI$3),"")</f>
        <v>12.89</v>
      </c>
      <c r="AJ148" s="112">
        <f ca="1">IF(Configurações!$G$12="Ligado",IF(AI148&lt;=0,"Vazio",IF(Configurações!$G$11="Dia",IF(C148="",BAIXAS!AI148/(Configurações!$C$5),BAIXAS!AI148/(Configurações!$C$5+1)),BAIXAS!AI148/BAIXAS!A148)),"")</f>
        <v>0.53708333333333336</v>
      </c>
    </row>
    <row r="149" spans="1:36" ht="21">
      <c r="A149" s="91">
        <f ca="1">COUNT(INDEX($C:$AH,ROW(),1):INDEX($C:$AH,ROW(),$AI$3+1))</f>
        <v>3</v>
      </c>
      <c r="B149" s="106" t="str">
        <f>INDEX(Cadastro_Carnes[[#All],[Colunas4]],MATCH(ROW()-5,Cadastro_Carnes[[#All],[Colunas2]],0))</f>
        <v>Costela Salgada</v>
      </c>
      <c r="C149" s="193"/>
      <c r="D149" s="193"/>
      <c r="E149" s="193"/>
      <c r="F149" s="193"/>
      <c r="G149" s="193"/>
      <c r="H149" s="193">
        <v>10.14</v>
      </c>
      <c r="I149" s="193"/>
      <c r="J149" s="193"/>
      <c r="K149" s="193"/>
      <c r="L149" s="193"/>
      <c r="M149" s="193"/>
      <c r="N149" s="193"/>
      <c r="O149" s="193">
        <v>4.95</v>
      </c>
      <c r="P149" s="193"/>
      <c r="Q149" s="193"/>
      <c r="R149" s="193"/>
      <c r="S149" s="193"/>
      <c r="T149" s="193"/>
      <c r="U149" s="193"/>
      <c r="V149" s="193">
        <v>7.12</v>
      </c>
      <c r="W149" s="193"/>
      <c r="X149" s="193"/>
      <c r="Y149" s="193"/>
      <c r="Z149" s="193"/>
      <c r="AA149" s="193"/>
      <c r="AB149" s="193"/>
      <c r="AC149" s="193"/>
      <c r="AD149" s="193"/>
      <c r="AE149" s="193"/>
      <c r="AF149" s="193"/>
      <c r="AG149" s="193"/>
      <c r="AH149" s="193"/>
      <c r="AI149" s="110">
        <f ca="1">IF(Configurações!$G$10="Ligado",SUMIFS(C149:AH149,$C$4:$AH$4,"&lt;="&amp;Configurações!$C$5,$C$4:$AH$4,"&lt;="&amp;$AI$3),"")</f>
        <v>22.21</v>
      </c>
      <c r="AJ149" s="112">
        <f ca="1">IF(Configurações!$G$12="Ligado",IF(AI149&lt;=0,"Vazio",IF(Configurações!$G$11="Dia",IF(C149="",BAIXAS!AI149/(Configurações!$C$5),BAIXAS!AI149/(Configurações!$C$5+1)),BAIXAS!AI149/BAIXAS!A149)),"")</f>
        <v>0.92541666666666667</v>
      </c>
    </row>
    <row r="150" spans="1:36" ht="21">
      <c r="A150" s="91">
        <f ca="1">COUNT(INDEX($C:$AH,ROW(),1):INDEX($C:$AH,ROW(),$AI$3+1))</f>
        <v>8</v>
      </c>
      <c r="B150" s="106" t="str">
        <f>INDEX(Cadastro_Carnes[[#All],[Colunas4]],MATCH(ROW()-5,Cadastro_Carnes[[#All],[Colunas2]],0))</f>
        <v>Coxa Com Sobrecoxa</v>
      </c>
      <c r="C150" s="193"/>
      <c r="D150" s="193"/>
      <c r="E150" s="193"/>
      <c r="F150" s="193"/>
      <c r="G150" s="193">
        <v>21.99</v>
      </c>
      <c r="H150" s="193"/>
      <c r="I150" s="193">
        <v>17.91</v>
      </c>
      <c r="J150" s="193"/>
      <c r="K150" s="193"/>
      <c r="L150" s="193">
        <v>15.3</v>
      </c>
      <c r="M150" s="193">
        <v>11.89</v>
      </c>
      <c r="N150" s="193"/>
      <c r="O150" s="193"/>
      <c r="P150" s="193">
        <v>23.03</v>
      </c>
      <c r="Q150" s="193"/>
      <c r="R150" s="193"/>
      <c r="S150" s="193">
        <v>9.8699999999999992</v>
      </c>
      <c r="T150" s="193"/>
      <c r="U150" s="193"/>
      <c r="V150" s="193"/>
      <c r="W150" s="193">
        <v>25.64</v>
      </c>
      <c r="X150" s="193"/>
      <c r="Y150" s="193"/>
      <c r="Z150" s="193"/>
      <c r="AA150" s="193">
        <v>13.1</v>
      </c>
      <c r="AB150" s="193"/>
      <c r="AC150" s="193"/>
      <c r="AD150" s="193"/>
      <c r="AE150" s="193"/>
      <c r="AF150" s="193"/>
      <c r="AG150" s="193"/>
      <c r="AH150" s="193"/>
      <c r="AI150" s="110">
        <f ca="1">IF(Configurações!$G$10="Ligado",SUMIFS(C150:AH150,$C$4:$AH$4,"&lt;="&amp;Configurações!$C$5,$C$4:$AH$4,"&lt;="&amp;$AI$3),"")</f>
        <v>138.73000000000002</v>
      </c>
      <c r="AJ150" s="112">
        <f ca="1">IF(Configurações!$G$12="Ligado",IF(AI150&lt;=0,"Vazio",IF(Configurações!$G$11="Dia",IF(C150="",BAIXAS!AI150/(Configurações!$C$5),BAIXAS!AI150/(Configurações!$C$5+1)),BAIXAS!AI150/BAIXAS!A150)),"")</f>
        <v>5.7804166666666674</v>
      </c>
    </row>
    <row r="151" spans="1:36" ht="21">
      <c r="A151" s="91">
        <f ca="1">COUNT(INDEX($C:$AH,ROW(),1):INDEX($C:$AH,ROW(),$AI$3+1))</f>
        <v>2</v>
      </c>
      <c r="B151" s="106" t="str">
        <f>INDEX(Cadastro_Carnes[[#All],[Colunas4]],MATCH(ROW()-5,Cadastro_Carnes[[#All],[Colunas2]],0))</f>
        <v>Coxão Duro</v>
      </c>
      <c r="C151" s="193"/>
      <c r="D151" s="193"/>
      <c r="E151" s="193"/>
      <c r="F151" s="193"/>
      <c r="G151" s="193">
        <v>12.85</v>
      </c>
      <c r="H151" s="193">
        <v>11.94</v>
      </c>
      <c r="I151" s="193"/>
      <c r="J151" s="193"/>
      <c r="K151" s="193"/>
      <c r="L151" s="193"/>
      <c r="M151" s="193"/>
      <c r="N151" s="193"/>
      <c r="O151" s="193"/>
      <c r="P151" s="193"/>
      <c r="Q151" s="193"/>
      <c r="R151" s="193"/>
      <c r="S151" s="193"/>
      <c r="T151" s="193"/>
      <c r="U151" s="193"/>
      <c r="V151" s="193"/>
      <c r="W151" s="193"/>
      <c r="X151" s="193"/>
      <c r="Y151" s="193"/>
      <c r="Z151" s="193"/>
      <c r="AA151" s="193"/>
      <c r="AB151" s="193"/>
      <c r="AC151" s="193"/>
      <c r="AD151" s="193"/>
      <c r="AE151" s="193"/>
      <c r="AF151" s="193"/>
      <c r="AG151" s="193"/>
      <c r="AH151" s="193"/>
      <c r="AI151" s="110">
        <f ca="1">IF(Configurações!$G$10="Ligado",SUMIFS(C151:AH151,$C$4:$AH$4,"&lt;="&amp;Configurações!$C$5,$C$4:$AH$4,"&lt;="&amp;$AI$3),"")</f>
        <v>24.79</v>
      </c>
      <c r="AJ151" s="112">
        <f ca="1">IF(Configurações!$G$12="Ligado",IF(AI151&lt;=0,"Vazio",IF(Configurações!$G$11="Dia",IF(C151="",BAIXAS!AI151/(Configurações!$C$5),BAIXAS!AI151/(Configurações!$C$5+1)),BAIXAS!AI151/BAIXAS!A151)),"")</f>
        <v>1.0329166666666667</v>
      </c>
    </row>
    <row r="152" spans="1:36" ht="21">
      <c r="A152" s="91">
        <f ca="1">COUNT(INDEX($C:$AH,ROW(),1):INDEX($C:$AH,ROW(),$AI$3+1))</f>
        <v>4</v>
      </c>
      <c r="B152" s="106" t="str">
        <f>INDEX(Cadastro_Carnes[[#All],[Colunas4]],MATCH(ROW()-5,Cadastro_Carnes[[#All],[Colunas2]],0))</f>
        <v xml:space="preserve">Coxão Mole </v>
      </c>
      <c r="C152" s="193"/>
      <c r="D152" s="193"/>
      <c r="E152" s="193">
        <v>11.51</v>
      </c>
      <c r="F152" s="193"/>
      <c r="G152" s="193"/>
      <c r="H152" s="193"/>
      <c r="I152" s="193"/>
      <c r="J152" s="193"/>
      <c r="K152" s="193"/>
      <c r="L152" s="193">
        <v>11.84</v>
      </c>
      <c r="M152" s="193"/>
      <c r="N152" s="193"/>
      <c r="O152" s="193"/>
      <c r="P152" s="193"/>
      <c r="Q152" s="193"/>
      <c r="R152" s="193"/>
      <c r="S152" s="193"/>
      <c r="T152" s="193"/>
      <c r="U152" s="193">
        <v>10.5</v>
      </c>
      <c r="V152" s="193"/>
      <c r="W152" s="193"/>
      <c r="X152" s="193"/>
      <c r="Y152" s="193"/>
      <c r="Z152" s="193">
        <v>7.27</v>
      </c>
      <c r="AA152" s="193"/>
      <c r="AB152" s="193"/>
      <c r="AC152" s="193"/>
      <c r="AD152" s="193"/>
      <c r="AE152" s="193"/>
      <c r="AF152" s="193"/>
      <c r="AG152" s="193"/>
      <c r="AH152" s="193"/>
      <c r="AI152" s="110">
        <f ca="1">IF(Configurações!$G$10="Ligado",SUMIFS(C152:AH152,$C$4:$AH$4,"&lt;="&amp;Configurações!$C$5,$C$4:$AH$4,"&lt;="&amp;$AI$3),"")</f>
        <v>41.120000000000005</v>
      </c>
      <c r="AJ152" s="112">
        <f ca="1">IF(Configurações!$G$12="Ligado",IF(AI152&lt;=0,"Vazio",IF(Configurações!$G$11="Dia",IF(C152="",BAIXAS!AI152/(Configurações!$C$5),BAIXAS!AI152/(Configurações!$C$5+1)),BAIXAS!AI152/BAIXAS!A152)),"")</f>
        <v>1.7133333333333336</v>
      </c>
    </row>
    <row r="153" spans="1:36" ht="21">
      <c r="A153" s="91">
        <f ca="1">COUNT(INDEX($C:$AH,ROW(),1):INDEX($C:$AH,ROW(),$AI$3+1))</f>
        <v>2</v>
      </c>
      <c r="B153" s="106" t="str">
        <f>INDEX(Cadastro_Carnes[[#All],[Colunas4]],MATCH(ROW()-5,Cadastro_Carnes[[#All],[Colunas2]],0))</f>
        <v>Cupim</v>
      </c>
      <c r="C153" s="193"/>
      <c r="D153" s="193"/>
      <c r="E153" s="193"/>
      <c r="F153" s="193"/>
      <c r="G153" s="193"/>
      <c r="H153" s="193"/>
      <c r="I153" s="193"/>
      <c r="J153" s="193"/>
      <c r="K153" s="193"/>
      <c r="L153" s="193"/>
      <c r="M153" s="193"/>
      <c r="N153" s="193"/>
      <c r="O153" s="193"/>
      <c r="P153" s="193">
        <v>17.43</v>
      </c>
      <c r="Q153" s="193"/>
      <c r="R153" s="193"/>
      <c r="S153" s="193"/>
      <c r="T153" s="193"/>
      <c r="U153" s="193"/>
      <c r="V153" s="193">
        <v>13.87</v>
      </c>
      <c r="W153" s="193"/>
      <c r="X153" s="193"/>
      <c r="Y153" s="193"/>
      <c r="Z153" s="193"/>
      <c r="AA153" s="193"/>
      <c r="AB153" s="193"/>
      <c r="AC153" s="193"/>
      <c r="AD153" s="193"/>
      <c r="AE153" s="193"/>
      <c r="AF153" s="193"/>
      <c r="AG153" s="193"/>
      <c r="AH153" s="193"/>
      <c r="AI153" s="110">
        <f ca="1">IF(Configurações!$G$10="Ligado",SUMIFS(C153:AH153,$C$4:$AH$4,"&lt;="&amp;Configurações!$C$5,$C$4:$AH$4,"&lt;="&amp;$AI$3),"")</f>
        <v>31.299999999999997</v>
      </c>
      <c r="AJ153" s="112">
        <f ca="1">IF(Configurações!$G$12="Ligado",IF(AI153&lt;=0,"Vazio",IF(Configurações!$G$11="Dia",IF(C153="",BAIXAS!AI153/(Configurações!$C$5),BAIXAS!AI153/(Configurações!$C$5+1)),BAIXAS!AI153/BAIXAS!A153)),"")</f>
        <v>1.3041666666666665</v>
      </c>
    </row>
    <row r="154" spans="1:36" ht="21">
      <c r="A154" s="91">
        <f ca="1">COUNT(INDEX($C:$AH,ROW(),1):INDEX($C:$AH,ROW(),$AI$3+1))</f>
        <v>15</v>
      </c>
      <c r="B154" s="106" t="str">
        <f>INDEX(Cadastro_Carnes[[#All],[Colunas4]],MATCH(ROW()-5,Cadastro_Carnes[[#All],[Colunas2]],0))</f>
        <v>Filé Frango</v>
      </c>
      <c r="C154" s="193"/>
      <c r="D154" s="193"/>
      <c r="E154" s="193">
        <v>11.19</v>
      </c>
      <c r="F154" s="193">
        <v>8.9700000000000006</v>
      </c>
      <c r="G154" s="193">
        <v>5.12</v>
      </c>
      <c r="H154" s="193">
        <v>8.6300000000000008</v>
      </c>
      <c r="I154" s="193"/>
      <c r="J154" s="193"/>
      <c r="K154" s="193"/>
      <c r="L154" s="193">
        <v>8.67</v>
      </c>
      <c r="M154" s="193"/>
      <c r="N154" s="193">
        <f>6.105+4.29</f>
        <v>10.395</v>
      </c>
      <c r="O154" s="193">
        <v>7.43</v>
      </c>
      <c r="P154" s="193">
        <v>6.1550000000000002</v>
      </c>
      <c r="Q154" s="193"/>
      <c r="R154" s="193"/>
      <c r="S154" s="193">
        <v>4.8899999999999997</v>
      </c>
      <c r="T154" s="193">
        <v>4.6900000000000004</v>
      </c>
      <c r="U154" s="193">
        <v>8.59</v>
      </c>
      <c r="V154" s="193">
        <v>6.4649999999999999</v>
      </c>
      <c r="W154" s="193">
        <v>2.875</v>
      </c>
      <c r="X154" s="193"/>
      <c r="Y154" s="193"/>
      <c r="Z154" s="193">
        <v>11.27</v>
      </c>
      <c r="AA154" s="193">
        <v>3.71</v>
      </c>
      <c r="AB154" s="193"/>
      <c r="AC154" s="193"/>
      <c r="AD154" s="193"/>
      <c r="AE154" s="193"/>
      <c r="AF154" s="193"/>
      <c r="AG154" s="193"/>
      <c r="AH154" s="193"/>
      <c r="AI154" s="110">
        <f ca="1">IF(Configurações!$G$10="Ligado",SUMIFS(C154:AH154,$C$4:$AH$4,"&lt;="&amp;Configurações!$C$5,$C$4:$AH$4,"&lt;="&amp;$AI$3),"")</f>
        <v>109.05</v>
      </c>
      <c r="AJ154" s="112">
        <f ca="1">IF(Configurações!$G$12="Ligado",IF(AI154&lt;=0,"Vazio",IF(Configurações!$G$11="Dia",IF(C154="",BAIXAS!AI154/(Configurações!$C$5),BAIXAS!AI154/(Configurações!$C$5+1)),BAIXAS!AI154/BAIXAS!A154)),"")</f>
        <v>4.5437500000000002</v>
      </c>
    </row>
    <row r="155" spans="1:36" ht="21">
      <c r="A155" s="91">
        <f ca="1">COUNT(INDEX($C:$AH,ROW(),1):INDEX($C:$AH,ROW(),$AI$3+1))</f>
        <v>0</v>
      </c>
      <c r="B155" s="106" t="str">
        <f>INDEX(Cadastro_Carnes[[#All],[Colunas4]],MATCH(ROW()-5,Cadastro_Carnes[[#All],[Colunas2]],0))</f>
        <v>Fraldinha</v>
      </c>
      <c r="C155" s="193"/>
      <c r="D155" s="193"/>
      <c r="E155" s="193"/>
      <c r="F155" s="193"/>
      <c r="G155" s="193"/>
      <c r="H155" s="193"/>
      <c r="I155" s="193"/>
      <c r="J155" s="193"/>
      <c r="K155" s="193"/>
      <c r="L155" s="193"/>
      <c r="M155" s="193"/>
      <c r="N155" s="193"/>
      <c r="O155" s="193"/>
      <c r="P155" s="193"/>
      <c r="Q155" s="193"/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193"/>
      <c r="AD155" s="193"/>
      <c r="AE155" s="193"/>
      <c r="AF155" s="193"/>
      <c r="AG155" s="193"/>
      <c r="AH155" s="193"/>
      <c r="AI155" s="110">
        <f ca="1">IF(Configurações!$G$10="Ligado",SUMIFS(C155:AH155,$C$4:$AH$4,"&lt;="&amp;Configurações!$C$5,$C$4:$AH$4,"&lt;="&amp;$AI$3),"")</f>
        <v>0</v>
      </c>
      <c r="AJ155" s="112" t="str">
        <f ca="1">IF(Configurações!$G$12="Ligado",IF(AI155&lt;=0,"Vazio",IF(Configurações!$G$11="Dia",IF(C155="",BAIXAS!AI155/(Configurações!$C$5),BAIXAS!AI155/(Configurações!$C$5+1)),BAIXAS!AI155/BAIXAS!A155)),"")</f>
        <v>Vazio</v>
      </c>
    </row>
    <row r="156" spans="1:36" ht="21">
      <c r="A156" s="91">
        <f ca="1">COUNT(INDEX($C:$AH,ROW(),1):INDEX($C:$AH,ROW(),$AI$3+1))</f>
        <v>0</v>
      </c>
      <c r="B156" s="106" t="str">
        <f>INDEX(Cadastro_Carnes[[#All],[Colunas4]],MATCH(ROW()-5,Cadastro_Carnes[[#All],[Colunas2]],0))</f>
        <v>Hambúrguer</v>
      </c>
      <c r="C156" s="193"/>
      <c r="D156" s="193"/>
      <c r="E156" s="193"/>
      <c r="F156" s="193"/>
      <c r="G156" s="193"/>
      <c r="H156" s="193"/>
      <c r="I156" s="193"/>
      <c r="J156" s="193"/>
      <c r="K156" s="193"/>
      <c r="L156" s="193"/>
      <c r="M156" s="193"/>
      <c r="N156" s="193"/>
      <c r="O156" s="193"/>
      <c r="P156" s="193"/>
      <c r="Q156" s="193"/>
      <c r="R156" s="193"/>
      <c r="S156" s="193"/>
      <c r="T156" s="193"/>
      <c r="U156" s="193"/>
      <c r="V156" s="193"/>
      <c r="W156" s="193"/>
      <c r="X156" s="193"/>
      <c r="Y156" s="193"/>
      <c r="Z156" s="193"/>
      <c r="AA156" s="193"/>
      <c r="AB156" s="193"/>
      <c r="AC156" s="193"/>
      <c r="AD156" s="193"/>
      <c r="AE156" s="193"/>
      <c r="AF156" s="193"/>
      <c r="AG156" s="193"/>
      <c r="AH156" s="193"/>
      <c r="AI156" s="110">
        <f ca="1">IF(Configurações!$G$10="Ligado",SUMIFS(C156:AH156,$C$4:$AH$4,"&lt;="&amp;Configurações!$C$5,$C$4:$AH$4,"&lt;="&amp;$AI$3),"")</f>
        <v>0</v>
      </c>
      <c r="AJ156" s="112" t="str">
        <f ca="1">IF(Configurações!$G$12="Ligado",IF(AI156&lt;=0,"Vazio",IF(Configurações!$G$11="Dia",IF(C156="",BAIXAS!AI156/(Configurações!$C$5),BAIXAS!AI156/(Configurações!$C$5+1)),BAIXAS!AI156/BAIXAS!A156)),"")</f>
        <v>Vazio</v>
      </c>
    </row>
    <row r="157" spans="1:36" ht="21">
      <c r="A157" s="91">
        <f ca="1">COUNT(INDEX($C:$AH,ROW(),1):INDEX($C:$AH,ROW(),$AI$3+1))</f>
        <v>2</v>
      </c>
      <c r="B157" s="106" t="str">
        <f>INDEX(Cadastro_Carnes[[#All],[Colunas4]],MATCH(ROW()-5,Cadastro_Carnes[[#All],[Colunas2]],0))</f>
        <v>Lagarto</v>
      </c>
      <c r="C157" s="193"/>
      <c r="D157" s="193"/>
      <c r="E157" s="193"/>
      <c r="F157" s="193"/>
      <c r="G157" s="193">
        <v>15.61</v>
      </c>
      <c r="H157" s="193"/>
      <c r="I157" s="193"/>
      <c r="J157" s="193"/>
      <c r="K157" s="193"/>
      <c r="L157" s="193"/>
      <c r="M157" s="193"/>
      <c r="N157" s="193"/>
      <c r="O157" s="193"/>
      <c r="P157" s="193"/>
      <c r="Q157" s="193"/>
      <c r="R157" s="193"/>
      <c r="S157" s="193"/>
      <c r="T157" s="193">
        <v>6.1</v>
      </c>
      <c r="U157" s="193"/>
      <c r="V157" s="193"/>
      <c r="W157" s="193"/>
      <c r="X157" s="193"/>
      <c r="Y157" s="193"/>
      <c r="Z157" s="193"/>
      <c r="AA157" s="193"/>
      <c r="AB157" s="193"/>
      <c r="AC157" s="193"/>
      <c r="AD157" s="193"/>
      <c r="AE157" s="193"/>
      <c r="AF157" s="193"/>
      <c r="AG157" s="193"/>
      <c r="AH157" s="193"/>
      <c r="AI157" s="110">
        <f ca="1">IF(Configurações!$G$10="Ligado",SUMIFS(C157:AH157,$C$4:$AH$4,"&lt;="&amp;Configurações!$C$5,$C$4:$AH$4,"&lt;="&amp;$AI$3),"")</f>
        <v>21.71</v>
      </c>
      <c r="AJ157" s="112">
        <f ca="1">IF(Configurações!$G$12="Ligado",IF(AI157&lt;=0,"Vazio",IF(Configurações!$G$11="Dia",IF(C157="",BAIXAS!AI157/(Configurações!$C$5),BAIXAS!AI157/(Configurações!$C$5+1)),BAIXAS!AI157/BAIXAS!A157)),"")</f>
        <v>0.90458333333333341</v>
      </c>
    </row>
    <row r="158" spans="1:36" ht="21">
      <c r="A158" s="91">
        <f ca="1">COUNT(INDEX($C:$AH,ROW(),1):INDEX($C:$AH,ROW(),$AI$3+1))</f>
        <v>5</v>
      </c>
      <c r="B158" s="106" t="str">
        <f>INDEX(Cadastro_Carnes[[#All],[Colunas4]],MATCH(ROW()-5,Cadastro_Carnes[[#All],[Colunas2]],0))</f>
        <v xml:space="preserve">Linguiça Calabresa </v>
      </c>
      <c r="C158" s="193"/>
      <c r="D158" s="193"/>
      <c r="E158" s="193"/>
      <c r="F158" s="193"/>
      <c r="G158" s="193">
        <v>5</v>
      </c>
      <c r="H158" s="193">
        <v>5</v>
      </c>
      <c r="I158" s="193"/>
      <c r="J158" s="193"/>
      <c r="K158" s="193"/>
      <c r="L158" s="193"/>
      <c r="M158" s="193"/>
      <c r="N158" s="193">
        <v>5</v>
      </c>
      <c r="O158" s="193">
        <v>5</v>
      </c>
      <c r="P158" s="193"/>
      <c r="Q158" s="193"/>
      <c r="R158" s="193"/>
      <c r="S158" s="193"/>
      <c r="T158" s="193"/>
      <c r="U158" s="193"/>
      <c r="V158" s="193">
        <v>7.5</v>
      </c>
      <c r="W158" s="193"/>
      <c r="X158" s="193"/>
      <c r="Y158" s="193"/>
      <c r="Z158" s="193"/>
      <c r="AA158" s="193"/>
      <c r="AB158" s="193"/>
      <c r="AC158" s="193"/>
      <c r="AD158" s="193"/>
      <c r="AE158" s="193"/>
      <c r="AF158" s="193"/>
      <c r="AG158" s="193"/>
      <c r="AH158" s="193"/>
      <c r="AI158" s="110">
        <f ca="1">IF(Configurações!$G$10="Ligado",SUMIFS(C158:AH158,$C$4:$AH$4,"&lt;="&amp;Configurações!$C$5,$C$4:$AH$4,"&lt;="&amp;$AI$3),"")</f>
        <v>27.5</v>
      </c>
      <c r="AJ158" s="112">
        <f ca="1">IF(Configurações!$G$12="Ligado",IF(AI158&lt;=0,"Vazio",IF(Configurações!$G$11="Dia",IF(C158="",BAIXAS!AI158/(Configurações!$C$5),BAIXAS!AI158/(Configurações!$C$5+1)),BAIXAS!AI158/BAIXAS!A158)),"")</f>
        <v>1.1458333333333333</v>
      </c>
    </row>
    <row r="159" spans="1:36" ht="21">
      <c r="A159" s="91">
        <f ca="1">COUNT(INDEX($C:$AH,ROW(),1):INDEX($C:$AH,ROW(),$AI$3+1))</f>
        <v>4</v>
      </c>
      <c r="B159" s="106" t="str">
        <f>INDEX(Cadastro_Carnes[[#All],[Colunas4]],MATCH(ROW()-5,Cadastro_Carnes[[#All],[Colunas2]],0))</f>
        <v xml:space="preserve">Linguiça Fresca </v>
      </c>
      <c r="C159" s="193"/>
      <c r="D159" s="193"/>
      <c r="E159" s="193">
        <v>20</v>
      </c>
      <c r="F159" s="193"/>
      <c r="G159" s="193"/>
      <c r="H159" s="193"/>
      <c r="I159" s="193"/>
      <c r="J159" s="193"/>
      <c r="K159" s="193"/>
      <c r="L159" s="193">
        <v>5</v>
      </c>
      <c r="M159" s="193"/>
      <c r="N159" s="193"/>
      <c r="O159" s="193"/>
      <c r="P159" s="193"/>
      <c r="Q159" s="193"/>
      <c r="R159" s="193"/>
      <c r="S159" s="193"/>
      <c r="T159" s="193">
        <v>5</v>
      </c>
      <c r="U159" s="193"/>
      <c r="V159" s="193"/>
      <c r="W159" s="193"/>
      <c r="X159" s="193"/>
      <c r="Y159" s="193"/>
      <c r="Z159" s="193">
        <v>10</v>
      </c>
      <c r="AA159" s="193"/>
      <c r="AB159" s="193"/>
      <c r="AC159" s="193"/>
      <c r="AD159" s="193"/>
      <c r="AE159" s="193"/>
      <c r="AF159" s="193"/>
      <c r="AG159" s="193"/>
      <c r="AH159" s="193"/>
      <c r="AI159" s="110">
        <f ca="1">IF(Configurações!$G$10="Ligado",SUMIFS(C159:AH159,$C$4:$AH$4,"&lt;="&amp;Configurações!$C$5,$C$4:$AH$4,"&lt;="&amp;$AI$3),"")</f>
        <v>40</v>
      </c>
      <c r="AJ159" s="112">
        <f ca="1">IF(Configurações!$G$12="Ligado",IF(AI159&lt;=0,"Vazio",IF(Configurações!$G$11="Dia",IF(C159="",BAIXAS!AI159/(Configurações!$C$5),BAIXAS!AI159/(Configurações!$C$5+1)),BAIXAS!AI159/BAIXAS!A159)),"")</f>
        <v>1.6666666666666667</v>
      </c>
    </row>
    <row r="160" spans="1:36" ht="21">
      <c r="A160" s="91">
        <f ca="1">COUNT(INDEX($C:$AH,ROW(),1):INDEX($C:$AH,ROW(),$AI$3+1))</f>
        <v>3</v>
      </c>
      <c r="B160" s="106" t="str">
        <f>INDEX(Cadastro_Carnes[[#All],[Colunas4]],MATCH(ROW()-5,Cadastro_Carnes[[#All],[Colunas2]],0))</f>
        <v>Lingüiça Paio</v>
      </c>
      <c r="C160" s="193"/>
      <c r="D160" s="193"/>
      <c r="E160" s="193"/>
      <c r="F160" s="193"/>
      <c r="G160" s="193"/>
      <c r="H160" s="193">
        <v>2.5</v>
      </c>
      <c r="I160" s="193"/>
      <c r="J160" s="193"/>
      <c r="K160" s="193"/>
      <c r="L160" s="193"/>
      <c r="M160" s="193"/>
      <c r="N160" s="193"/>
      <c r="O160" s="193">
        <v>2.5</v>
      </c>
      <c r="P160" s="193"/>
      <c r="Q160" s="193"/>
      <c r="R160" s="193"/>
      <c r="S160" s="193"/>
      <c r="T160" s="193"/>
      <c r="U160" s="193"/>
      <c r="V160" s="193">
        <v>2.5</v>
      </c>
      <c r="W160" s="193"/>
      <c r="X160" s="193"/>
      <c r="Y160" s="193"/>
      <c r="Z160" s="193" t="s">
        <v>209</v>
      </c>
      <c r="AA160" s="193"/>
      <c r="AB160" s="193"/>
      <c r="AC160" s="193"/>
      <c r="AD160" s="193"/>
      <c r="AE160" s="193"/>
      <c r="AF160" s="193"/>
      <c r="AG160" s="193"/>
      <c r="AH160" s="193"/>
      <c r="AI160" s="110">
        <f ca="1">IF(Configurações!$G$10="Ligado",SUMIFS(C160:AH160,$C$4:$AH$4,"&lt;="&amp;Configurações!$C$5,$C$4:$AH$4,"&lt;="&amp;$AI$3),"")</f>
        <v>7.5</v>
      </c>
      <c r="AJ160" s="112">
        <f ca="1">IF(Configurações!$G$12="Ligado",IF(AI160&lt;=0,"Vazio",IF(Configurações!$G$11="Dia",IF(C160="",BAIXAS!AI160/(Configurações!$C$5),BAIXAS!AI160/(Configurações!$C$5+1)),BAIXAS!AI160/BAIXAS!A160)),"")</f>
        <v>0.3125</v>
      </c>
    </row>
    <row r="161" spans="1:36" ht="21">
      <c r="A161" s="91">
        <f ca="1">COUNT(INDEX($C:$AH,ROW(),1):INDEX($C:$AH,ROW(),$AI$3+1))</f>
        <v>3</v>
      </c>
      <c r="B161" s="106" t="str">
        <f>INDEX(Cadastro_Carnes[[#All],[Colunas4]],MATCH(ROW()-5,Cadastro_Carnes[[#All],[Colunas2]],0))</f>
        <v>Lombo De Porco</v>
      </c>
      <c r="C161" s="193"/>
      <c r="D161" s="193"/>
      <c r="E161" s="193"/>
      <c r="F161" s="193"/>
      <c r="G161" s="193"/>
      <c r="H161" s="193"/>
      <c r="I161" s="193">
        <v>8.35</v>
      </c>
      <c r="J161" s="193"/>
      <c r="K161" s="193"/>
      <c r="L161" s="193"/>
      <c r="M161" s="193">
        <v>27.199000000000002</v>
      </c>
      <c r="N161" s="193"/>
      <c r="O161" s="193"/>
      <c r="P161" s="193"/>
      <c r="Q161" s="193"/>
      <c r="R161" s="193"/>
      <c r="S161" s="193"/>
      <c r="T161" s="193"/>
      <c r="U161" s="193"/>
      <c r="V161" s="193"/>
      <c r="W161" s="193"/>
      <c r="X161" s="193"/>
      <c r="Y161" s="193"/>
      <c r="Z161" s="193"/>
      <c r="AA161" s="193">
        <v>9.8699999999999992</v>
      </c>
      <c r="AB161" s="193"/>
      <c r="AC161" s="193"/>
      <c r="AD161" s="193"/>
      <c r="AE161" s="193"/>
      <c r="AF161" s="193"/>
      <c r="AG161" s="193"/>
      <c r="AH161" s="193"/>
      <c r="AI161" s="110">
        <f ca="1">IF(Configurações!$G$10="Ligado",SUMIFS(C161:AH161,$C$4:$AH$4,"&lt;="&amp;Configurações!$C$5,$C$4:$AH$4,"&lt;="&amp;$AI$3),"")</f>
        <v>45.418999999999997</v>
      </c>
      <c r="AJ161" s="112">
        <f ca="1">IF(Configurações!$G$12="Ligado",IF(AI161&lt;=0,"Vazio",IF(Configurações!$G$11="Dia",IF(C161="",BAIXAS!AI161/(Configurações!$C$5),BAIXAS!AI161/(Configurações!$C$5+1)),BAIXAS!AI161/BAIXAS!A161)),"")</f>
        <v>1.8924583333333331</v>
      </c>
    </row>
    <row r="162" spans="1:36" ht="21">
      <c r="A162" s="91">
        <f ca="1">COUNT(INDEX($C:$AH,ROW(),1):INDEX($C:$AH,ROW(),$AI$3+1))</f>
        <v>0</v>
      </c>
      <c r="B162" s="106" t="str">
        <f>INDEX(Cadastro_Carnes[[#All],[Colunas4]],MATCH(ROW()-5,Cadastro_Carnes[[#All],[Colunas2]],0))</f>
        <v>Maminha</v>
      </c>
      <c r="C162" s="193"/>
      <c r="D162" s="193"/>
      <c r="E162" s="193"/>
      <c r="F162" s="193"/>
      <c r="G162" s="193"/>
      <c r="H162" s="193"/>
      <c r="I162" s="193"/>
      <c r="J162" s="193"/>
      <c r="K162" s="193"/>
      <c r="L162" s="193"/>
      <c r="M162" s="193"/>
      <c r="N162" s="193"/>
      <c r="O162" s="193"/>
      <c r="P162" s="193"/>
      <c r="Q162" s="193"/>
      <c r="R162" s="193"/>
      <c r="S162" s="193"/>
      <c r="T162" s="193"/>
      <c r="U162" s="193"/>
      <c r="V162" s="193"/>
      <c r="W162" s="193"/>
      <c r="X162" s="193"/>
      <c r="Y162" s="193"/>
      <c r="Z162" s="193"/>
      <c r="AA162" s="193"/>
      <c r="AB162" s="193"/>
      <c r="AC162" s="193"/>
      <c r="AD162" s="193"/>
      <c r="AE162" s="193"/>
      <c r="AF162" s="193"/>
      <c r="AG162" s="193"/>
      <c r="AH162" s="193"/>
      <c r="AI162" s="110">
        <f ca="1">IF(Configurações!$G$10="Ligado",SUMIFS(C162:AH162,$C$4:$AH$4,"&lt;="&amp;Configurações!$C$5,$C$4:$AH$4,"&lt;="&amp;$AI$3),"")</f>
        <v>0</v>
      </c>
      <c r="AJ162" s="112" t="str">
        <f ca="1">IF(Configurações!$G$12="Ligado",IF(AI162&lt;=0,"Vazio",IF(Configurações!$G$11="Dia",IF(C162="",BAIXAS!AI162/(Configurações!$C$5),BAIXAS!AI162/(Configurações!$C$5+1)),BAIXAS!AI162/BAIXAS!A162)),"")</f>
        <v>Vazio</v>
      </c>
    </row>
    <row r="163" spans="1:36" ht="21">
      <c r="A163" s="91">
        <f ca="1">COUNT(INDEX($C:$AH,ROW(),1):INDEX($C:$AH,ROW(),$AI$3+1))</f>
        <v>0</v>
      </c>
      <c r="B163" s="106" t="str">
        <f>INDEX(Cadastro_Carnes[[#All],[Colunas4]],MATCH(ROW()-5,Cadastro_Carnes[[#All],[Colunas2]],0))</f>
        <v>Paleta</v>
      </c>
      <c r="C163" s="193"/>
      <c r="D163" s="193"/>
      <c r="E163" s="193"/>
      <c r="F163" s="193"/>
      <c r="G163" s="193"/>
      <c r="H163" s="193"/>
      <c r="I163" s="193"/>
      <c r="J163" s="193"/>
      <c r="K163" s="193"/>
      <c r="L163" s="193"/>
      <c r="M163" s="193"/>
      <c r="N163" s="193"/>
      <c r="O163" s="193"/>
      <c r="P163" s="193"/>
      <c r="Q163" s="193"/>
      <c r="R163" s="193"/>
      <c r="S163" s="193"/>
      <c r="T163" s="193"/>
      <c r="U163" s="193"/>
      <c r="V163" s="193"/>
      <c r="W163" s="193"/>
      <c r="X163" s="193"/>
      <c r="Y163" s="193"/>
      <c r="Z163" s="193"/>
      <c r="AA163" s="193"/>
      <c r="AB163" s="193"/>
      <c r="AC163" s="193"/>
      <c r="AD163" s="193"/>
      <c r="AE163" s="193"/>
      <c r="AF163" s="193"/>
      <c r="AG163" s="193"/>
      <c r="AH163" s="193"/>
      <c r="AI163" s="110">
        <f ca="1">IF(Configurações!$G$10="Ligado",SUMIFS(C163:AH163,$C$4:$AH$4,"&lt;="&amp;Configurações!$C$5,$C$4:$AH$4,"&lt;="&amp;$AI$3),"")</f>
        <v>0</v>
      </c>
      <c r="AJ163" s="112" t="str">
        <f ca="1">IF(Configurações!$G$12="Ligado",IF(AI163&lt;=0,"Vazio",IF(Configurações!$G$11="Dia",IF(C163="",BAIXAS!AI163/(Configurações!$C$5),BAIXAS!AI163/(Configurações!$C$5+1)),BAIXAS!AI163/BAIXAS!A163)),"")</f>
        <v>Vazio</v>
      </c>
    </row>
    <row r="164" spans="1:36" ht="21">
      <c r="A164" s="91">
        <f ca="1">COUNT(INDEX($C:$AH,ROW(),1):INDEX($C:$AH,ROW(),$AI$3+1))</f>
        <v>0</v>
      </c>
      <c r="B164" s="106" t="str">
        <f>INDEX(Cadastro_Carnes[[#All],[Colunas4]],MATCH(ROW()-5,Cadastro_Carnes[[#All],[Colunas2]],0))</f>
        <v>Pernil</v>
      </c>
      <c r="C164" s="193"/>
      <c r="D164" s="193"/>
      <c r="E164" s="193"/>
      <c r="F164" s="193"/>
      <c r="G164" s="193"/>
      <c r="H164" s="193"/>
      <c r="I164" s="193"/>
      <c r="J164" s="193"/>
      <c r="K164" s="193"/>
      <c r="L164" s="193"/>
      <c r="M164" s="193"/>
      <c r="N164" s="193"/>
      <c r="O164" s="193"/>
      <c r="P164" s="193"/>
      <c r="Q164" s="193"/>
      <c r="R164" s="193"/>
      <c r="S164" s="193"/>
      <c r="T164" s="193"/>
      <c r="U164" s="193"/>
      <c r="V164" s="193"/>
      <c r="W164" s="193"/>
      <c r="X164" s="193"/>
      <c r="Y164" s="193"/>
      <c r="Z164" s="193"/>
      <c r="AA164" s="193"/>
      <c r="AB164" s="193"/>
      <c r="AC164" s="193"/>
      <c r="AD164" s="193"/>
      <c r="AE164" s="193"/>
      <c r="AF164" s="193"/>
      <c r="AG164" s="193"/>
      <c r="AH164" s="193"/>
      <c r="AI164" s="110">
        <f ca="1">IF(Configurações!$G$10="Ligado",SUMIFS(C164:AH164,$C$4:$AH$4,"&lt;="&amp;Configurações!$C$5,$C$4:$AH$4,"&lt;="&amp;$AI$3),"")</f>
        <v>0</v>
      </c>
      <c r="AJ164" s="112" t="str">
        <f ca="1">IF(Configurações!$G$12="Ligado",IF(AI164&lt;=0,"Vazio",IF(Configurações!$G$11="Dia",IF(C164="",BAIXAS!AI164/(Configurações!$C$5),BAIXAS!AI164/(Configurações!$C$5+1)),BAIXAS!AI164/BAIXAS!A164)),"")</f>
        <v>Vazio</v>
      </c>
    </row>
    <row r="165" spans="1:36" ht="21">
      <c r="A165" s="91">
        <f ca="1">COUNT(INDEX($C:$AH,ROW(),1):INDEX($C:$AH,ROW(),$AI$3+1))</f>
        <v>1</v>
      </c>
      <c r="B165" s="106" t="str">
        <f>INDEX(Cadastro_Carnes[[#All],[Colunas4]],MATCH(ROW()-5,Cadastro_Carnes[[#All],[Colunas2]],0))</f>
        <v>Peru</v>
      </c>
      <c r="C165" s="193"/>
      <c r="D165" s="193"/>
      <c r="E165" s="193"/>
      <c r="F165" s="193"/>
      <c r="G165" s="193"/>
      <c r="H165" s="193"/>
      <c r="I165" s="193"/>
      <c r="J165" s="193"/>
      <c r="K165" s="193"/>
      <c r="L165" s="193"/>
      <c r="M165" s="193"/>
      <c r="N165" s="193"/>
      <c r="O165" s="193"/>
      <c r="P165" s="193"/>
      <c r="Q165" s="193"/>
      <c r="R165" s="193"/>
      <c r="S165" s="193"/>
      <c r="T165" s="193"/>
      <c r="U165" s="193"/>
      <c r="V165" s="193"/>
      <c r="W165" s="193"/>
      <c r="X165" s="193"/>
      <c r="Y165" s="193"/>
      <c r="Z165" s="193"/>
      <c r="AA165" s="193">
        <v>37.75</v>
      </c>
      <c r="AB165" s="193"/>
      <c r="AC165" s="193"/>
      <c r="AD165" s="193"/>
      <c r="AE165" s="193"/>
      <c r="AF165" s="193"/>
      <c r="AG165" s="193"/>
      <c r="AH165" s="193"/>
      <c r="AI165" s="110">
        <f ca="1">IF(Configurações!$G$10="Ligado",SUMIFS(C165:AH165,$C$4:$AH$4,"&lt;="&amp;Configurações!$C$5,$C$4:$AH$4,"&lt;="&amp;$AI$3),"")</f>
        <v>37.75</v>
      </c>
      <c r="AJ165" s="112">
        <f ca="1">IF(Configurações!$G$12="Ligado",IF(AI165&lt;=0,"Vazio",IF(Configurações!$G$11="Dia",IF(C165="",BAIXAS!AI165/(Configurações!$C$5),BAIXAS!AI165/(Configurações!$C$5+1)),BAIXAS!AI165/BAIXAS!A165)),"")</f>
        <v>1.5729166666666667</v>
      </c>
    </row>
    <row r="166" spans="1:36" ht="21">
      <c r="A166" s="91">
        <f ca="1">COUNT(INDEX($C:$AH,ROW(),1):INDEX($C:$AH,ROW(),$AI$3+1))</f>
        <v>3</v>
      </c>
      <c r="B166" s="106" t="str">
        <f>INDEX(Cadastro_Carnes[[#All],[Colunas4]],MATCH(ROW()-5,Cadastro_Carnes[[#All],[Colunas2]],0))</f>
        <v>Presunto</v>
      </c>
      <c r="C166" s="193"/>
      <c r="D166" s="193"/>
      <c r="E166" s="193"/>
      <c r="F166" s="193">
        <v>3.45</v>
      </c>
      <c r="G166" s="193"/>
      <c r="H166" s="193"/>
      <c r="I166" s="193"/>
      <c r="J166" s="193"/>
      <c r="K166" s="193"/>
      <c r="L166" s="193"/>
      <c r="M166" s="193"/>
      <c r="N166" s="193">
        <v>3.4</v>
      </c>
      <c r="O166" s="193"/>
      <c r="P166" s="193"/>
      <c r="Q166" s="193"/>
      <c r="R166" s="193"/>
      <c r="S166" s="193"/>
      <c r="T166" s="193"/>
      <c r="U166" s="193">
        <v>3.4249999999999998</v>
      </c>
      <c r="V166" s="193"/>
      <c r="W166" s="193"/>
      <c r="X166" s="193"/>
      <c r="Y166" s="193"/>
      <c r="Z166" s="193"/>
      <c r="AA166" s="193"/>
      <c r="AB166" s="193"/>
      <c r="AC166" s="193"/>
      <c r="AD166" s="193"/>
      <c r="AE166" s="193"/>
      <c r="AF166" s="193"/>
      <c r="AG166" s="193"/>
      <c r="AH166" s="193"/>
      <c r="AI166" s="110">
        <f ca="1">IF(Configurações!$G$10="Ligado",SUMIFS(C166:AH166,$C$4:$AH$4,"&lt;="&amp;Configurações!$C$5,$C$4:$AH$4,"&lt;="&amp;$AI$3),"")</f>
        <v>10.274999999999999</v>
      </c>
      <c r="AJ166" s="112">
        <f ca="1">IF(Configurações!$G$12="Ligado",IF(AI166&lt;=0,"Vazio",IF(Configurações!$G$11="Dia",IF(C166="",BAIXAS!AI166/(Configurações!$C$5),BAIXAS!AI166/(Configurações!$C$5+1)),BAIXAS!AI166/BAIXAS!A166)),"")</f>
        <v>0.42812499999999992</v>
      </c>
    </row>
    <row r="167" spans="1:36" ht="21">
      <c r="A167" s="91">
        <f ca="1">COUNT(INDEX($C:$AH,ROW(),1):INDEX($C:$AH,ROW(),$AI$3+1))</f>
        <v>3</v>
      </c>
      <c r="B167" s="106" t="str">
        <f>INDEX(Cadastro_Carnes[[#All],[Colunas4]],MATCH(ROW()-5,Cadastro_Carnes[[#All],[Colunas2]],0))</f>
        <v>Salsicha</v>
      </c>
      <c r="C167" s="193"/>
      <c r="D167" s="193"/>
      <c r="E167" s="193"/>
      <c r="F167" s="193"/>
      <c r="G167" s="193"/>
      <c r="H167" s="193"/>
      <c r="I167" s="193"/>
      <c r="J167" s="193"/>
      <c r="K167" s="193"/>
      <c r="L167" s="193"/>
      <c r="M167" s="193">
        <v>5</v>
      </c>
      <c r="N167" s="193"/>
      <c r="O167" s="193"/>
      <c r="P167" s="193">
        <v>5</v>
      </c>
      <c r="Q167" s="193"/>
      <c r="R167" s="193"/>
      <c r="S167" s="193"/>
      <c r="T167" s="193"/>
      <c r="U167" s="193"/>
      <c r="V167" s="193"/>
      <c r="W167" s="193">
        <v>5</v>
      </c>
      <c r="X167" s="193"/>
      <c r="Y167" s="193"/>
      <c r="Z167" s="193"/>
      <c r="AA167" s="193"/>
      <c r="AB167" s="193"/>
      <c r="AC167" s="193"/>
      <c r="AD167" s="193"/>
      <c r="AE167" s="193"/>
      <c r="AF167" s="193"/>
      <c r="AG167" s="193"/>
      <c r="AH167" s="193"/>
      <c r="AI167" s="110">
        <f ca="1">IF(Configurações!$G$10="Ligado",SUMIFS(C167:AH167,$C$4:$AH$4,"&lt;="&amp;Configurações!$C$5,$C$4:$AH$4,"&lt;="&amp;$AI$3),"")</f>
        <v>15</v>
      </c>
      <c r="AJ167" s="112">
        <f ca="1">IF(Configurações!$G$12="Ligado",IF(AI167&lt;=0,"Vazio",IF(Configurações!$G$11="Dia",IF(C167="",BAIXAS!AI167/(Configurações!$C$5),BAIXAS!AI167/(Configurações!$C$5+1)),BAIXAS!AI167/BAIXAS!A167)),"")</f>
        <v>0.625</v>
      </c>
    </row>
    <row r="168" spans="1:36" ht="21">
      <c r="A168" s="91">
        <f ca="1">COUNT(INDEX($C:$AH,ROW(),1):INDEX($C:$AH,ROW(),$AI$3+1))</f>
        <v>0</v>
      </c>
      <c r="B168" s="106" t="str">
        <f>INDEX(Cadastro_Carnes[[#All],[Colunas4]],MATCH(ROW()-5,Cadastro_Carnes[[#All],[Colunas2]],0))</f>
        <v>Tender</v>
      </c>
      <c r="C168" s="193"/>
      <c r="D168" s="193"/>
      <c r="E168" s="193"/>
      <c r="F168" s="193"/>
      <c r="G168" s="193"/>
      <c r="H168" s="193"/>
      <c r="I168" s="193"/>
      <c r="J168" s="193"/>
      <c r="K168" s="193"/>
      <c r="L168" s="193"/>
      <c r="M168" s="193"/>
      <c r="N168" s="193"/>
      <c r="O168" s="193"/>
      <c r="P168" s="193"/>
      <c r="Q168" s="193"/>
      <c r="R168" s="193"/>
      <c r="S168" s="193"/>
      <c r="T168" s="193"/>
      <c r="U168" s="193"/>
      <c r="V168" s="193"/>
      <c r="W168" s="193"/>
      <c r="X168" s="193"/>
      <c r="Y168" s="193"/>
      <c r="Z168" s="193"/>
      <c r="AA168" s="193"/>
      <c r="AB168" s="193"/>
      <c r="AC168" s="193"/>
      <c r="AD168" s="193"/>
      <c r="AE168" s="193"/>
      <c r="AF168" s="193"/>
      <c r="AG168" s="193"/>
      <c r="AH168" s="193"/>
      <c r="AI168" s="110">
        <f ca="1">IF(Configurações!$G$10="Ligado",SUMIFS(C168:AH168,$C$4:$AH$4,"&lt;="&amp;Configurações!$C$5,$C$4:$AH$4,"&lt;="&amp;$AI$3),"")</f>
        <v>0</v>
      </c>
      <c r="AJ168" s="112" t="str">
        <f ca="1">IF(Configurações!$G$12="Ligado",IF(AI168&lt;=0,"Vazio",IF(Configurações!$G$11="Dia",IF(C168="",BAIXAS!AI168/(Configurações!$C$5),BAIXAS!AI168/(Configurações!$C$5+1)),BAIXAS!AI168/BAIXAS!A168)),"")</f>
        <v>Vazio</v>
      </c>
    </row>
    <row r="169" spans="1:36" ht="15.75" thickBot="1"/>
    <row r="170" spans="1:36" ht="24" thickBot="1">
      <c r="B170" s="468" t="s">
        <v>116</v>
      </c>
      <c r="C170" s="469"/>
      <c r="D170" s="469"/>
      <c r="E170" s="469"/>
      <c r="F170" s="469"/>
      <c r="G170" s="469"/>
      <c r="H170" s="469"/>
      <c r="I170" s="469"/>
      <c r="J170" s="469"/>
      <c r="K170" s="469"/>
      <c r="L170" s="469"/>
      <c r="M170" s="469"/>
      <c r="N170" s="469"/>
      <c r="O170" s="469"/>
      <c r="P170" s="469"/>
      <c r="Q170" s="469"/>
      <c r="R170" s="469"/>
      <c r="S170" s="469"/>
      <c r="T170" s="469"/>
      <c r="U170" s="469"/>
      <c r="V170" s="469"/>
      <c r="W170" s="469"/>
      <c r="X170" s="469"/>
      <c r="Y170" s="469"/>
      <c r="Z170" s="469"/>
      <c r="AA170" s="469"/>
      <c r="AB170" s="469"/>
      <c r="AC170" s="469"/>
      <c r="AD170" s="469"/>
      <c r="AE170" s="469"/>
      <c r="AF170" s="469"/>
      <c r="AG170" s="469"/>
      <c r="AH170" s="469"/>
      <c r="AI170" s="469"/>
      <c r="AJ170" s="470"/>
    </row>
    <row r="171" spans="1:36" ht="21">
      <c r="A171" s="67">
        <f ca="1">COUNT(INDEX($C:$AH,ROW(),1):INDEX($C:$AH,ROW(),$AI$3+1))</f>
        <v>18</v>
      </c>
      <c r="B171" s="106" t="str">
        <f>INDEX(Cadastro_Queijo[[#All],[Colunas4]],MATCH(ROW()-5,Cadastro_Queijo[[#All],[Colunas2]],0))</f>
        <v>Queijo Branco/Fresco</v>
      </c>
      <c r="C171" s="193"/>
      <c r="D171" s="193"/>
      <c r="E171" s="193"/>
      <c r="F171" s="193">
        <v>1.4650000000000001</v>
      </c>
      <c r="G171" s="193">
        <v>3.0049999999999999</v>
      </c>
      <c r="H171" s="193">
        <v>1.57</v>
      </c>
      <c r="I171" s="193">
        <v>1.5</v>
      </c>
      <c r="J171" s="193">
        <v>1.99</v>
      </c>
      <c r="K171" s="193"/>
      <c r="L171" s="193"/>
      <c r="M171" s="193">
        <v>1.9750000000000001</v>
      </c>
      <c r="N171" s="193">
        <v>1.615</v>
      </c>
      <c r="O171" s="193">
        <v>3.65</v>
      </c>
      <c r="P171" s="193">
        <v>4.13</v>
      </c>
      <c r="Q171" s="193">
        <v>1.0249999999999999</v>
      </c>
      <c r="R171" s="193"/>
      <c r="S171" s="193">
        <v>4.42</v>
      </c>
      <c r="T171" s="193">
        <v>1.58</v>
      </c>
      <c r="U171" s="193">
        <f>1.49+0.485</f>
        <v>1.9750000000000001</v>
      </c>
      <c r="V171" s="193">
        <v>2.4900000000000002</v>
      </c>
      <c r="W171" s="193">
        <v>3.53</v>
      </c>
      <c r="X171" s="193">
        <v>1.425</v>
      </c>
      <c r="Y171" s="193"/>
      <c r="Z171" s="193">
        <v>0.47499999999999998</v>
      </c>
      <c r="AA171" s="193">
        <v>3.0249999999999999</v>
      </c>
      <c r="AB171" s="193"/>
      <c r="AC171" s="193"/>
      <c r="AD171" s="193"/>
      <c r="AE171" s="193"/>
      <c r="AF171" s="193"/>
      <c r="AG171" s="193"/>
      <c r="AH171" s="193"/>
      <c r="AI171" s="109">
        <f ca="1">IF(Configurações!$G$10="Ligado",SUMIFS(C171:AH171,$C$4:$AH$4,"&lt;="&amp;Configurações!$C$5,$C$4:$AH$4,"&lt;="&amp;$AI$3),"")</f>
        <v>40.844999999999999</v>
      </c>
      <c r="AJ171" s="112">
        <f ca="1">IF(Configurações!$G$12="Ligado",IF(AI171&lt;=0,"Vazio",IF(Configurações!$G$11="Dia",IF(C171="",BAIXAS!AI171/(Configurações!$C$5),BAIXAS!AI171/(Configurações!$C$5+1)),BAIXAS!AI171/BAIXAS!A171)),"")</f>
        <v>1.701875</v>
      </c>
    </row>
    <row r="172" spans="1:36" ht="21">
      <c r="A172" s="67">
        <f ca="1">COUNT(INDEX($C:$AH,ROW(),1):INDEX($C:$AH,ROW(),$AI$3+1))</f>
        <v>4</v>
      </c>
      <c r="B172" s="106" t="str">
        <f>INDEX(Cadastro_Queijo[[#All],[Colunas4]],MATCH(ROW()-5,Cadastro_Queijo[[#All],[Colunas2]],0))</f>
        <v>Queijo Mussarela</v>
      </c>
      <c r="C172" s="193"/>
      <c r="D172" s="193"/>
      <c r="E172" s="193"/>
      <c r="F172" s="193">
        <v>3.95</v>
      </c>
      <c r="G172" s="193">
        <v>4.0549999999999997</v>
      </c>
      <c r="H172" s="193"/>
      <c r="I172" s="193"/>
      <c r="J172" s="193"/>
      <c r="K172" s="193"/>
      <c r="L172" s="193"/>
      <c r="M172" s="193"/>
      <c r="N172" s="193">
        <v>4.07</v>
      </c>
      <c r="O172" s="193"/>
      <c r="P172" s="193"/>
      <c r="Q172" s="193"/>
      <c r="R172" s="193"/>
      <c r="S172" s="193"/>
      <c r="T172" s="193"/>
      <c r="U172" s="193"/>
      <c r="V172" s="193">
        <v>4.2699999999999996</v>
      </c>
      <c r="W172" s="193"/>
      <c r="X172" s="193"/>
      <c r="Y172" s="193"/>
      <c r="Z172" s="193"/>
      <c r="AA172" s="193"/>
      <c r="AB172" s="193"/>
      <c r="AC172" s="193"/>
      <c r="AD172" s="193"/>
      <c r="AE172" s="193"/>
      <c r="AF172" s="193"/>
      <c r="AG172" s="193"/>
      <c r="AH172" s="193"/>
      <c r="AI172" s="109">
        <f ca="1">IF(Configurações!$G$10="Ligado",SUMIFS(C172:AH172,$C$4:$AH$4,"&lt;="&amp;Configurações!$C$5,$C$4:$AH$4,"&lt;="&amp;$AI$3),"")</f>
        <v>16.344999999999999</v>
      </c>
      <c r="AJ172" s="112">
        <f ca="1">IF(Configurações!$G$12="Ligado",IF(AI172&lt;=0,"Vazio",IF(Configurações!$G$11="Dia",IF(C172="",BAIXAS!AI172/(Configurações!$C$5),BAIXAS!AI172/(Configurações!$C$5+1)),BAIXAS!AI172/BAIXAS!A172)),"")</f>
        <v>0.68104166666666666</v>
      </c>
    </row>
    <row r="173" spans="1:36" ht="21">
      <c r="A173" s="67">
        <f ca="1">COUNT(INDEX($C:$AH,ROW(),1):INDEX($C:$AH,ROW(),$AI$3+1))</f>
        <v>7</v>
      </c>
      <c r="B173" s="106" t="str">
        <f>INDEX(Cadastro_Queijo[[#All],[Colunas4]],MATCH(ROW()-5,Cadastro_Queijo[[#All],[Colunas2]],0))</f>
        <v>Queijo Ralado</v>
      </c>
      <c r="C173" s="193"/>
      <c r="D173" s="193"/>
      <c r="E173" s="193">
        <v>1</v>
      </c>
      <c r="F173" s="193">
        <v>1</v>
      </c>
      <c r="G173" s="193"/>
      <c r="H173" s="193"/>
      <c r="I173" s="193">
        <v>1</v>
      </c>
      <c r="J173" s="193"/>
      <c r="K173" s="193"/>
      <c r="L173" s="193"/>
      <c r="M173" s="193"/>
      <c r="N173" s="193"/>
      <c r="O173" s="193"/>
      <c r="P173" s="193">
        <v>1</v>
      </c>
      <c r="Q173" s="193"/>
      <c r="R173" s="193"/>
      <c r="S173" s="193">
        <v>0.5</v>
      </c>
      <c r="T173" s="193"/>
      <c r="U173" s="193"/>
      <c r="V173" s="193">
        <v>1</v>
      </c>
      <c r="W173" s="193">
        <v>2</v>
      </c>
      <c r="X173" s="193"/>
      <c r="Y173" s="193"/>
      <c r="Z173" s="193"/>
      <c r="AA173" s="193"/>
      <c r="AB173" s="193"/>
      <c r="AC173" s="193"/>
      <c r="AD173" s="193"/>
      <c r="AE173" s="193"/>
      <c r="AF173" s="193"/>
      <c r="AG173" s="193"/>
      <c r="AH173" s="193"/>
      <c r="AI173" s="109">
        <f ca="1">IF(Configurações!$G$10="Ligado",SUMIFS(C173:AH173,$C$4:$AH$4,"&lt;="&amp;Configurações!$C$5,$C$4:$AH$4,"&lt;="&amp;$AI$3),"")</f>
        <v>7.5</v>
      </c>
      <c r="AJ173" s="112">
        <f ca="1">IF(Configurações!$G$12="Ligado",IF(AI173&lt;=0,"Vazio",IF(Configurações!$G$11="Dia",IF(C173="",BAIXAS!AI173/(Configurações!$C$5),BAIXAS!AI173/(Configurações!$C$5+1)),BAIXAS!AI173/BAIXAS!A173)),"")</f>
        <v>0.3125</v>
      </c>
    </row>
    <row r="174" spans="1:36" ht="16.5" thickBot="1">
      <c r="B174" s="2"/>
      <c r="C174" s="2"/>
      <c r="D174" s="2"/>
      <c r="E174" s="2"/>
      <c r="F174" s="2"/>
      <c r="AJ174" s="11"/>
    </row>
    <row r="175" spans="1:36" ht="24" thickBot="1">
      <c r="B175" s="465" t="s">
        <v>117</v>
      </c>
      <c r="C175" s="466"/>
      <c r="D175" s="466"/>
      <c r="E175" s="466"/>
      <c r="F175" s="466"/>
      <c r="G175" s="466"/>
      <c r="H175" s="466"/>
      <c r="I175" s="466"/>
      <c r="J175" s="466"/>
      <c r="K175" s="466"/>
      <c r="L175" s="466"/>
      <c r="M175" s="466"/>
      <c r="N175" s="466"/>
      <c r="O175" s="466"/>
      <c r="P175" s="466"/>
      <c r="Q175" s="466"/>
      <c r="R175" s="466"/>
      <c r="S175" s="466"/>
      <c r="T175" s="466"/>
      <c r="U175" s="466"/>
      <c r="V175" s="466"/>
      <c r="W175" s="466"/>
      <c r="X175" s="466"/>
      <c r="Y175" s="466"/>
      <c r="Z175" s="466"/>
      <c r="AA175" s="466"/>
      <c r="AB175" s="466"/>
      <c r="AC175" s="466"/>
      <c r="AD175" s="466"/>
      <c r="AE175" s="466"/>
      <c r="AF175" s="466"/>
      <c r="AG175" s="466"/>
      <c r="AH175" s="466"/>
      <c r="AI175" s="466"/>
      <c r="AJ175" s="467"/>
    </row>
    <row r="176" spans="1:36" ht="21">
      <c r="A176" s="67">
        <f ca="1">COUNT(INDEX($C:$AH,ROW(),1):INDEX($C:$AH,ROW(),$AI$3+1))</f>
        <v>0</v>
      </c>
      <c r="B176" s="106" t="str">
        <f>INDEX(Cadastro_Peixes[[#All],[Colunas4]],MATCH(ROW()-5,Cadastro_Peixes[[#All],[Colunas2]],0))</f>
        <v>Camarão</v>
      </c>
      <c r="C176" s="193"/>
      <c r="D176" s="193"/>
      <c r="E176" s="193"/>
      <c r="F176" s="193"/>
      <c r="G176" s="193"/>
      <c r="H176" s="193"/>
      <c r="I176" s="193"/>
      <c r="J176" s="193"/>
      <c r="K176" s="193"/>
      <c r="L176" s="193"/>
      <c r="M176" s="193"/>
      <c r="N176" s="193"/>
      <c r="O176" s="193"/>
      <c r="P176" s="193"/>
      <c r="Q176" s="193"/>
      <c r="R176" s="193"/>
      <c r="S176" s="193"/>
      <c r="T176" s="193"/>
      <c r="U176" s="193"/>
      <c r="V176" s="193"/>
      <c r="W176" s="193"/>
      <c r="X176" s="193"/>
      <c r="Y176" s="193"/>
      <c r="Z176" s="193"/>
      <c r="AA176" s="193"/>
      <c r="AB176" s="193"/>
      <c r="AC176" s="193"/>
      <c r="AD176" s="193"/>
      <c r="AE176" s="193"/>
      <c r="AF176" s="193"/>
      <c r="AG176" s="193"/>
      <c r="AH176" s="193"/>
      <c r="AI176" s="108">
        <f ca="1">IF(Configurações!$G$10="Ligado",SUMIFS(C176:AH176,$C$4:$AH$4,"&lt;="&amp;Configurações!$C$5,$C$4:$AH$4,"&lt;="&amp;$AI$3),"")</f>
        <v>0</v>
      </c>
      <c r="AJ176" s="112" t="str">
        <f ca="1">IF(Configurações!$G$12="Ligado",IF(AI176&lt;=0,"Vazio",IF(Configurações!$G$11="Dia",IF(C176="",BAIXAS!AI176/(Configurações!$C$5),BAIXAS!AI176/(Configurações!$C$5+1)),BAIXAS!AI176/BAIXAS!A176)),"")</f>
        <v>Vazio</v>
      </c>
    </row>
    <row r="177" spans="1:36" ht="21">
      <c r="A177" s="67">
        <f ca="1">COUNT(INDEX($C:$AH,ROW(),1):INDEX($C:$AH,ROW(),$AI$3+1))</f>
        <v>3</v>
      </c>
      <c r="B177" s="106" t="str">
        <f>INDEX(Cadastro_Peixes[[#All],[Colunas4]],MATCH(ROW()-5,Cadastro_Peixes[[#All],[Colunas2]],0))</f>
        <v>Filé de Merluza</v>
      </c>
      <c r="C177" s="193"/>
      <c r="D177" s="193"/>
      <c r="E177" s="193"/>
      <c r="F177" s="193"/>
      <c r="G177" s="193"/>
      <c r="H177" s="193">
        <v>14.58</v>
      </c>
      <c r="I177" s="193"/>
      <c r="J177" s="193"/>
      <c r="K177" s="193"/>
      <c r="L177" s="193"/>
      <c r="M177" s="193"/>
      <c r="N177" s="193"/>
      <c r="O177" s="193">
        <v>7.2649999999999997</v>
      </c>
      <c r="P177" s="193"/>
      <c r="Q177" s="193"/>
      <c r="R177" s="193"/>
      <c r="S177" s="193"/>
      <c r="T177" s="193"/>
      <c r="U177" s="193">
        <v>7.44</v>
      </c>
      <c r="V177" s="193"/>
      <c r="W177" s="193"/>
      <c r="X177" s="193"/>
      <c r="Y177" s="193"/>
      <c r="Z177" s="193"/>
      <c r="AA177" s="193"/>
      <c r="AB177" s="193"/>
      <c r="AC177" s="193"/>
      <c r="AD177" s="193"/>
      <c r="AE177" s="193"/>
      <c r="AF177" s="193"/>
      <c r="AG177" s="193"/>
      <c r="AH177" s="193"/>
      <c r="AI177" s="108">
        <f ca="1">IF(Configurações!$G$10="Ligado",SUMIFS(C177:AH177,$C$4:$AH$4,"&lt;="&amp;Configurações!$C$5,$C$4:$AH$4,"&lt;="&amp;$AI$3),"")</f>
        <v>29.285</v>
      </c>
      <c r="AJ177" s="112">
        <f ca="1">IF(Configurações!$G$12="Ligado",IF(AI177&lt;=0,"Vazio",IF(Configurações!$G$11="Dia",IF(C177="",BAIXAS!AI177/(Configurações!$C$5),BAIXAS!AI177/(Configurações!$C$5+1)),BAIXAS!AI177/BAIXAS!A177)),"")</f>
        <v>1.2202083333333333</v>
      </c>
    </row>
    <row r="178" spans="1:36" ht="21">
      <c r="A178" s="67">
        <f ca="1">COUNT(INDEX($C:$AH,ROW(),1):INDEX($C:$AH,ROW(),$AI$3+1))</f>
        <v>0</v>
      </c>
      <c r="B178" s="106" t="str">
        <f>INDEX(Cadastro_Peixes[[#All],[Colunas4]],MATCH(ROW()-5,Cadastro_Peixes[[#All],[Colunas2]],0))</f>
        <v>Kani</v>
      </c>
      <c r="C178" s="193"/>
      <c r="D178" s="193"/>
      <c r="E178" s="193"/>
      <c r="F178" s="193"/>
      <c r="G178" s="193"/>
      <c r="H178" s="193"/>
      <c r="I178" s="193"/>
      <c r="J178" s="193"/>
      <c r="K178" s="193"/>
      <c r="L178" s="193"/>
      <c r="M178" s="193"/>
      <c r="N178" s="193"/>
      <c r="O178" s="193"/>
      <c r="P178" s="193"/>
      <c r="Q178" s="193"/>
      <c r="R178" s="193"/>
      <c r="S178" s="193"/>
      <c r="T178" s="193"/>
      <c r="U178" s="193"/>
      <c r="V178" s="193"/>
      <c r="W178" s="193"/>
      <c r="X178" s="193"/>
      <c r="Y178" s="193"/>
      <c r="Z178" s="193"/>
      <c r="AA178" s="193"/>
      <c r="AB178" s="193"/>
      <c r="AC178" s="193"/>
      <c r="AD178" s="193"/>
      <c r="AE178" s="193"/>
      <c r="AF178" s="193"/>
      <c r="AG178" s="193"/>
      <c r="AH178" s="193"/>
      <c r="AI178" s="108">
        <f ca="1">IF(Configurações!$G$10="Ligado",SUMIFS(C178:AH178,$C$4:$AH$4,"&lt;="&amp;Configurações!$C$5,$C$4:$AH$4,"&lt;="&amp;$AI$3),"")</f>
        <v>0</v>
      </c>
      <c r="AJ178" s="112" t="str">
        <f ca="1">IF(Configurações!$G$12="Ligado",IF(AI178&lt;=0,"Vazio",IF(Configurações!$G$11="Dia",IF(C178="",BAIXAS!AI178/(Configurações!$C$5),BAIXAS!AI178/(Configurações!$C$5+1)),BAIXAS!AI178/BAIXAS!A178)),"")</f>
        <v>Vazio</v>
      </c>
    </row>
    <row r="179" spans="1:36" ht="21">
      <c r="A179" s="67">
        <f ca="1">COUNT(INDEX($C:$AH,ROW(),1):INDEX($C:$AH,ROW(),$AI$3+1))</f>
        <v>2</v>
      </c>
      <c r="B179" s="106" t="str">
        <f>INDEX(Cadastro_Peixes[[#All],[Colunas4]],MATCH(ROW()-5,Cadastro_Peixes[[#All],[Colunas2]],0))</f>
        <v>Pangasius</v>
      </c>
      <c r="C179" s="193"/>
      <c r="D179" s="193"/>
      <c r="E179" s="193"/>
      <c r="F179" s="193"/>
      <c r="G179" s="193"/>
      <c r="H179" s="193"/>
      <c r="I179" s="193"/>
      <c r="J179" s="193"/>
      <c r="K179" s="193"/>
      <c r="L179" s="193"/>
      <c r="M179" s="193">
        <v>10.119999999999999</v>
      </c>
      <c r="N179" s="193"/>
      <c r="O179" s="193"/>
      <c r="P179" s="193"/>
      <c r="Q179" s="193"/>
      <c r="R179" s="193"/>
      <c r="S179" s="193"/>
      <c r="T179" s="193">
        <v>10.15</v>
      </c>
      <c r="U179" s="193"/>
      <c r="V179" s="193"/>
      <c r="W179" s="193"/>
      <c r="X179" s="193"/>
      <c r="Y179" s="193"/>
      <c r="Z179" s="193"/>
      <c r="AA179" s="193"/>
      <c r="AB179" s="193"/>
      <c r="AC179" s="193"/>
      <c r="AD179" s="193"/>
      <c r="AE179" s="193"/>
      <c r="AF179" s="193"/>
      <c r="AG179" s="193"/>
      <c r="AH179" s="193"/>
      <c r="AI179" s="108">
        <f ca="1">IF(Configurações!$G$10="Ligado",SUMIFS(C179:AH179,$C$4:$AH$4,"&lt;="&amp;Configurações!$C$5,$C$4:$AH$4,"&lt;="&amp;$AI$3),"")</f>
        <v>20.27</v>
      </c>
      <c r="AJ179" s="112">
        <f ca="1">IF(Configurações!$G$12="Ligado",IF(AI179&lt;=0,"Vazio",IF(Configurações!$G$11="Dia",IF(C179="",BAIXAS!AI179/(Configurações!$C$5),BAIXAS!AI179/(Configurações!$C$5+1)),BAIXAS!AI179/BAIXAS!A179)),"")</f>
        <v>0.84458333333333335</v>
      </c>
    </row>
    <row r="180" spans="1:36" ht="21">
      <c r="A180" s="67">
        <f ca="1">COUNT(INDEX($C:$AH,ROW(),1):INDEX($C:$AH,ROW(),$AI$3+1))</f>
        <v>2</v>
      </c>
      <c r="B180" s="106" t="str">
        <f>INDEX(Cadastro_Peixes[[#All],[Colunas4]],MATCH(ROW()-5,Cadastro_Peixes[[#All],[Colunas2]],0))</f>
        <v>Peixe cação</v>
      </c>
      <c r="C180" s="193"/>
      <c r="D180" s="193"/>
      <c r="E180" s="193">
        <v>10.23</v>
      </c>
      <c r="F180" s="193"/>
      <c r="G180" s="193"/>
      <c r="H180" s="193"/>
      <c r="I180" s="193"/>
      <c r="J180" s="193"/>
      <c r="K180" s="193"/>
      <c r="L180" s="193"/>
      <c r="M180" s="193"/>
      <c r="N180" s="193"/>
      <c r="O180" s="193"/>
      <c r="P180" s="193"/>
      <c r="Q180" s="193"/>
      <c r="R180" s="193"/>
      <c r="S180" s="193"/>
      <c r="T180" s="193"/>
      <c r="U180" s="193"/>
      <c r="V180" s="193">
        <v>1.76</v>
      </c>
      <c r="W180" s="193"/>
      <c r="X180" s="193"/>
      <c r="Y180" s="193"/>
      <c r="Z180" s="193"/>
      <c r="AA180" s="193"/>
      <c r="AB180" s="193"/>
      <c r="AC180" s="193"/>
      <c r="AD180" s="193"/>
      <c r="AE180" s="193"/>
      <c r="AF180" s="193"/>
      <c r="AG180" s="193"/>
      <c r="AH180" s="193"/>
      <c r="AI180" s="108">
        <f ca="1">IF(Configurações!$G$10="Ligado",SUMIFS(C180:AH180,$C$4:$AH$4,"&lt;="&amp;Configurações!$C$5,$C$4:$AH$4,"&lt;="&amp;$AI$3),"")</f>
        <v>11.99</v>
      </c>
      <c r="AJ180" s="112">
        <f ca="1">IF(Configurações!$G$12="Ligado",IF(AI180&lt;=0,"Vazio",IF(Configurações!$G$11="Dia",IF(C180="",BAIXAS!AI180/(Configurações!$C$5),BAIXAS!AI180/(Configurações!$C$5+1)),BAIXAS!AI180/BAIXAS!A180)),"")</f>
        <v>0.49958333333333332</v>
      </c>
    </row>
    <row r="181" spans="1:36" ht="15.75" thickBot="1"/>
    <row r="182" spans="1:36" ht="24" thickBot="1">
      <c r="B182" s="455" t="s">
        <v>185</v>
      </c>
      <c r="C182" s="456"/>
      <c r="D182" s="456"/>
      <c r="E182" s="456"/>
      <c r="F182" s="456"/>
      <c r="G182" s="456"/>
      <c r="H182" s="456"/>
      <c r="I182" s="456"/>
      <c r="J182" s="456"/>
      <c r="K182" s="456"/>
      <c r="L182" s="456"/>
      <c r="M182" s="456"/>
      <c r="N182" s="456"/>
      <c r="O182" s="456"/>
      <c r="P182" s="456"/>
      <c r="Q182" s="456"/>
      <c r="R182" s="456"/>
      <c r="S182" s="456"/>
      <c r="T182" s="456"/>
      <c r="U182" s="456"/>
      <c r="V182" s="456"/>
      <c r="W182" s="456"/>
      <c r="X182" s="456"/>
      <c r="Y182" s="456"/>
      <c r="Z182" s="456"/>
      <c r="AA182" s="456"/>
      <c r="AB182" s="456"/>
      <c r="AC182" s="456"/>
      <c r="AD182" s="456"/>
      <c r="AE182" s="456"/>
      <c r="AF182" s="456"/>
      <c r="AG182" s="456"/>
      <c r="AH182" s="456"/>
      <c r="AI182" s="456"/>
      <c r="AJ182" s="457"/>
    </row>
    <row r="183" spans="1:36" ht="21">
      <c r="A183" s="67">
        <f ca="1">COUNT(INDEX($C:$AH,ROW(),1):INDEX($C:$AH,ROW(),$AI$3+1))</f>
        <v>8</v>
      </c>
      <c r="B183" s="106" t="str">
        <f>INDEX(Cadastro_Hortfrut[[#All],[Colunas4]],MATCH(ROW()-5,Cadastro_Hortfrut[[#All],[Colunas2]],0))</f>
        <v xml:space="preserve">Abacaxi </v>
      </c>
      <c r="C183" s="193"/>
      <c r="D183" s="193"/>
      <c r="E183" s="193"/>
      <c r="F183" s="193"/>
      <c r="G183" s="193">
        <v>9</v>
      </c>
      <c r="H183" s="193"/>
      <c r="I183" s="193"/>
      <c r="J183" s="193"/>
      <c r="K183" s="193"/>
      <c r="L183" s="193"/>
      <c r="M183" s="193">
        <v>4</v>
      </c>
      <c r="N183" s="193">
        <v>3</v>
      </c>
      <c r="O183" s="193">
        <v>10</v>
      </c>
      <c r="P183" s="193"/>
      <c r="Q183" s="193"/>
      <c r="R183" s="193"/>
      <c r="S183" s="193">
        <v>5</v>
      </c>
      <c r="T183" s="193"/>
      <c r="U183" s="193">
        <v>10</v>
      </c>
      <c r="V183" s="193"/>
      <c r="W183" s="193"/>
      <c r="X183" s="193"/>
      <c r="Y183" s="193"/>
      <c r="Z183" s="193">
        <v>6</v>
      </c>
      <c r="AA183" s="193">
        <v>4</v>
      </c>
      <c r="AB183" s="193"/>
      <c r="AC183" s="193"/>
      <c r="AD183" s="193"/>
      <c r="AE183" s="193"/>
      <c r="AF183" s="193"/>
      <c r="AG183" s="193"/>
      <c r="AH183" s="193"/>
      <c r="AI183" s="107">
        <f ca="1">IF(Configurações!$G$10="Ligado",SUMIFS(C183:AH183,$C$4:$AH$4,"&lt;="&amp;Configurações!$C$5,$C$4:$AH$4,"&lt;="&amp;$AI$3),"")</f>
        <v>51</v>
      </c>
      <c r="AJ183" s="112">
        <f ca="1">IF(Configurações!$G$12="Ligado",IF(AI183&lt;=0,"Vazio",IF(Configurações!$G$11="Dia",IF(C183="",BAIXAS!AI183/(Configurações!$C$5),BAIXAS!AI183/(Configurações!$C$5+1)),BAIXAS!AI183/BAIXAS!A183)),"")</f>
        <v>2.125</v>
      </c>
    </row>
    <row r="184" spans="1:36" ht="21">
      <c r="A184" s="67">
        <f ca="1">COUNT(INDEX($C:$AH,ROW(),1):INDEX($C:$AH,ROW(),$AI$3+1))</f>
        <v>0</v>
      </c>
      <c r="B184" s="106" t="str">
        <f>INDEX(Cadastro_Hortfrut[[#All],[Colunas4]],MATCH(ROW()-5,Cadastro_Hortfrut[[#All],[Colunas2]],0))</f>
        <v>Abobora</v>
      </c>
      <c r="C184" s="193"/>
      <c r="D184" s="193"/>
      <c r="E184" s="193"/>
      <c r="F184" s="193"/>
      <c r="G184" s="193"/>
      <c r="H184" s="193"/>
      <c r="I184" s="193"/>
      <c r="J184" s="193"/>
      <c r="K184" s="193"/>
      <c r="L184" s="193"/>
      <c r="M184" s="193"/>
      <c r="N184" s="193"/>
      <c r="O184" s="193"/>
      <c r="P184" s="193"/>
      <c r="Q184" s="193"/>
      <c r="R184" s="193"/>
      <c r="S184" s="193"/>
      <c r="T184" s="193"/>
      <c r="U184" s="193"/>
      <c r="V184" s="193"/>
      <c r="W184" s="193"/>
      <c r="X184" s="193"/>
      <c r="Y184" s="193"/>
      <c r="Z184" s="193"/>
      <c r="AA184" s="193"/>
      <c r="AB184" s="193"/>
      <c r="AC184" s="193"/>
      <c r="AD184" s="193"/>
      <c r="AE184" s="193"/>
      <c r="AF184" s="193"/>
      <c r="AG184" s="193"/>
      <c r="AH184" s="193"/>
      <c r="AI184" s="107">
        <f ca="1">IF(Configurações!$G$10="Ligado",SUMIFS(C184:AH184,$C$4:$AH$4,"&lt;="&amp;Configurações!$C$5,$C$4:$AH$4,"&lt;="&amp;$AI$3),"")</f>
        <v>0</v>
      </c>
      <c r="AJ184" s="113" t="str">
        <f ca="1">IF(Configurações!$G$12="Ligado",IF(AI184&lt;=0,"Vazio",IF(Configurações!$G$11="Dia",IF(C184="",BAIXAS!AI184/(Configurações!$C$5),BAIXAS!AI184/(Configurações!$C$5+1)),BAIXAS!AI184/BAIXAS!A184)),"")</f>
        <v>Vazio</v>
      </c>
    </row>
    <row r="185" spans="1:36" ht="21">
      <c r="A185" s="67">
        <f ca="1">COUNT(INDEX($C:$AH,ROW(),1):INDEX($C:$AH,ROW(),$AI$3+1))</f>
        <v>11</v>
      </c>
      <c r="B185" s="106" t="str">
        <f>INDEX(Cadastro_Hortfrut[[#All],[Colunas4]],MATCH(ROW()-5,Cadastro_Hortfrut[[#All],[Colunas2]],0))</f>
        <v>Abobrinha</v>
      </c>
      <c r="C185" s="193"/>
      <c r="D185" s="193"/>
      <c r="E185" s="193">
        <v>0.30499999999999999</v>
      </c>
      <c r="F185" s="193">
        <f>0.43+1.185</f>
        <v>1.615</v>
      </c>
      <c r="G185" s="193">
        <v>1.01</v>
      </c>
      <c r="H185" s="193"/>
      <c r="I185" s="193">
        <v>0.8</v>
      </c>
      <c r="J185" s="193">
        <v>3.5</v>
      </c>
      <c r="K185" s="193"/>
      <c r="L185" s="193"/>
      <c r="M185" s="193">
        <f>2.88+0.53</f>
        <v>3.41</v>
      </c>
      <c r="N185" s="193"/>
      <c r="O185" s="193">
        <f>1.2+2.465</f>
        <v>3.665</v>
      </c>
      <c r="P185" s="193"/>
      <c r="Q185" s="193"/>
      <c r="R185" s="405"/>
      <c r="S185" s="193">
        <f>0.39+2.095</f>
        <v>2.4850000000000003</v>
      </c>
      <c r="T185" s="193"/>
      <c r="U185" s="193">
        <v>3.105</v>
      </c>
      <c r="V185" s="193">
        <v>2.7349999999999999</v>
      </c>
      <c r="W185" s="193"/>
      <c r="X185" s="193"/>
      <c r="Y185" s="193"/>
      <c r="Z185" s="193"/>
      <c r="AA185" s="193">
        <v>3.55</v>
      </c>
      <c r="AB185" s="193"/>
      <c r="AC185" s="193"/>
      <c r="AD185" s="193"/>
      <c r="AE185" s="193"/>
      <c r="AF185" s="193"/>
      <c r="AG185" s="193"/>
      <c r="AH185" s="193"/>
      <c r="AI185" s="107">
        <f ca="1">IF(Configurações!$G$10="Ligado",SUMIFS(C185:AH185,$C$4:$AH$4,"&lt;="&amp;Configurações!$C$5,$C$4:$AH$4,"&lt;="&amp;$AI$3),"")</f>
        <v>26.18</v>
      </c>
      <c r="AJ185" s="113">
        <f ca="1">IF(Configurações!$G$12="Ligado",IF(AI185&lt;=0,"Vazio",IF(Configurações!$G$11="Dia",IF(C185="",BAIXAS!AI185/(Configurações!$C$5),BAIXAS!AI185/(Configurações!$C$5+1)),BAIXAS!AI185/BAIXAS!A185)),"")</f>
        <v>1.0908333333333333</v>
      </c>
    </row>
    <row r="186" spans="1:36" ht="21">
      <c r="A186" s="67">
        <f ca="1">COUNT(INDEX($C:$AH,ROW(),1):INDEX($C:$AH,ROW(),$AI$3+1))</f>
        <v>3</v>
      </c>
      <c r="B186" s="106" t="str">
        <f>INDEX(Cadastro_Hortfrut[[#All],[Colunas4]],MATCH(ROW()-5,Cadastro_Hortfrut[[#All],[Colunas2]],0))</f>
        <v>Acelga</v>
      </c>
      <c r="C186" s="193"/>
      <c r="D186" s="193"/>
      <c r="E186" s="193"/>
      <c r="F186" s="193">
        <v>1</v>
      </c>
      <c r="G186" s="193">
        <v>1</v>
      </c>
      <c r="H186" s="193"/>
      <c r="I186" s="193"/>
      <c r="J186" s="193"/>
      <c r="K186" s="193"/>
      <c r="L186" s="193"/>
      <c r="M186" s="193">
        <v>1</v>
      </c>
      <c r="N186" s="193"/>
      <c r="O186" s="193"/>
      <c r="P186" s="193"/>
      <c r="Q186" s="193"/>
      <c r="R186" s="405"/>
      <c r="S186" s="193"/>
      <c r="T186" s="193"/>
      <c r="U186" s="193"/>
      <c r="V186" s="193"/>
      <c r="W186" s="193"/>
      <c r="X186" s="193"/>
      <c r="Y186" s="193"/>
      <c r="Z186" s="193"/>
      <c r="AA186" s="193"/>
      <c r="AB186" s="193"/>
      <c r="AC186" s="193"/>
      <c r="AD186" s="193"/>
      <c r="AE186" s="193"/>
      <c r="AF186" s="193"/>
      <c r="AG186" s="193"/>
      <c r="AH186" s="193"/>
      <c r="AI186" s="107">
        <f ca="1">IF(Configurações!$G$10="Ligado",SUMIFS(C186:AH186,$C$4:$AH$4,"&lt;="&amp;Configurações!$C$5,$C$4:$AH$4,"&lt;="&amp;$AI$3),"")</f>
        <v>3</v>
      </c>
      <c r="AJ186" s="113">
        <f ca="1">IF(Configurações!$G$12="Ligado",IF(AI186&lt;=0,"Vazio",IF(Configurações!$G$11="Dia",IF(C186="",BAIXAS!AI186/(Configurações!$C$5),BAIXAS!AI186/(Configurações!$C$5+1)),BAIXAS!AI186/BAIXAS!A186)),"")</f>
        <v>0.125</v>
      </c>
    </row>
    <row r="187" spans="1:36" ht="21">
      <c r="A187" s="67">
        <f ca="1">COUNT(INDEX($C:$AH,ROW(),1):INDEX($C:$AH,ROW(),$AI$3+1))</f>
        <v>5</v>
      </c>
      <c r="B187" s="106" t="str">
        <f>INDEX(Cadastro_Hortfrut[[#All],[Colunas4]],MATCH(ROW()-5,Cadastro_Hortfrut[[#All],[Colunas2]],0))</f>
        <v>Agrião</v>
      </c>
      <c r="C187" s="193"/>
      <c r="D187" s="193"/>
      <c r="E187" s="193"/>
      <c r="F187" s="193"/>
      <c r="G187" s="193"/>
      <c r="H187" s="193">
        <v>5</v>
      </c>
      <c r="I187" s="193"/>
      <c r="J187" s="193"/>
      <c r="K187" s="193"/>
      <c r="L187" s="193"/>
      <c r="M187" s="193"/>
      <c r="N187" s="193"/>
      <c r="O187" s="193">
        <v>4</v>
      </c>
      <c r="P187" s="193"/>
      <c r="Q187" s="193"/>
      <c r="R187" s="405"/>
      <c r="S187" s="193"/>
      <c r="T187" s="193"/>
      <c r="U187" s="193">
        <v>4</v>
      </c>
      <c r="V187" s="193">
        <v>1</v>
      </c>
      <c r="W187" s="193">
        <v>2</v>
      </c>
      <c r="X187" s="193"/>
      <c r="Y187" s="193"/>
      <c r="Z187" s="193"/>
      <c r="AA187" s="193"/>
      <c r="AB187" s="193"/>
      <c r="AC187" s="193"/>
      <c r="AD187" s="193"/>
      <c r="AE187" s="193"/>
      <c r="AF187" s="193"/>
      <c r="AG187" s="193"/>
      <c r="AH187" s="193"/>
      <c r="AI187" s="107">
        <f ca="1">IF(Configurações!$G$10="Ligado",SUMIFS(C187:AH187,$C$4:$AH$4,"&lt;="&amp;Configurações!$C$5,$C$4:$AH$4,"&lt;="&amp;$AI$3),"")</f>
        <v>16</v>
      </c>
      <c r="AJ187" s="113">
        <f ca="1">IF(Configurações!$G$12="Ligado",IF(AI187&lt;=0,"Vazio",IF(Configurações!$G$11="Dia",IF(C187="",BAIXAS!AI187/(Configurações!$C$5),BAIXAS!AI187/(Configurações!$C$5+1)),BAIXAS!AI187/BAIXAS!A187)),"")</f>
        <v>0.66666666666666663</v>
      </c>
    </row>
    <row r="188" spans="1:36" ht="21">
      <c r="A188" s="67">
        <f ca="1">COUNT(INDEX($C:$AH,ROW(),1):INDEX($C:$AH,ROW(),$AI$3+1))</f>
        <v>11</v>
      </c>
      <c r="B188" s="106" t="str">
        <f>INDEX(Cadastro_Hortfrut[[#All],[Colunas4]],MATCH(ROW()-5,Cadastro_Hortfrut[[#All],[Colunas2]],0))</f>
        <v>Alface Americana</v>
      </c>
      <c r="C188" s="193"/>
      <c r="D188" s="193">
        <v>2</v>
      </c>
      <c r="E188" s="193"/>
      <c r="F188" s="193">
        <v>1</v>
      </c>
      <c r="G188" s="193">
        <v>1</v>
      </c>
      <c r="H188" s="193"/>
      <c r="I188" s="193">
        <v>4</v>
      </c>
      <c r="J188" s="193"/>
      <c r="K188" s="193"/>
      <c r="L188" s="193">
        <v>3</v>
      </c>
      <c r="M188" s="193">
        <v>1</v>
      </c>
      <c r="N188" s="193">
        <v>5</v>
      </c>
      <c r="O188" s="193"/>
      <c r="P188" s="193">
        <v>1</v>
      </c>
      <c r="Q188" s="193"/>
      <c r="R188" s="405"/>
      <c r="S188" s="193">
        <v>1</v>
      </c>
      <c r="T188" s="193"/>
      <c r="U188" s="193"/>
      <c r="V188" s="193">
        <v>2</v>
      </c>
      <c r="W188" s="193"/>
      <c r="X188" s="193"/>
      <c r="Y188" s="193"/>
      <c r="Z188" s="193"/>
      <c r="AA188" s="193">
        <v>4</v>
      </c>
      <c r="AB188" s="193"/>
      <c r="AC188" s="193"/>
      <c r="AD188" s="193"/>
      <c r="AE188" s="193"/>
      <c r="AF188" s="193"/>
      <c r="AG188" s="193"/>
      <c r="AH188" s="193"/>
      <c r="AI188" s="107">
        <f ca="1">IF(Configurações!$G$10="Ligado",SUMIFS(C188:AH188,$C$4:$AH$4,"&lt;="&amp;Configurações!$C$5,$C$4:$AH$4,"&lt;="&amp;$AI$3),"")</f>
        <v>25</v>
      </c>
      <c r="AJ188" s="113">
        <f ca="1">IF(Configurações!$G$12="Ligado",IF(AI188&lt;=0,"Vazio",IF(Configurações!$G$11="Dia",IF(C188="",BAIXAS!AI188/(Configurações!$C$5),BAIXAS!AI188/(Configurações!$C$5+1)),BAIXAS!AI188/BAIXAS!A188)),"")</f>
        <v>1.0416666666666667</v>
      </c>
    </row>
    <row r="189" spans="1:36" ht="21">
      <c r="A189" s="67">
        <f ca="1">COUNT(INDEX($C:$AH,ROW(),1):INDEX($C:$AH,ROW(),$AI$3+1))</f>
        <v>9</v>
      </c>
      <c r="B189" s="106" t="str">
        <f>INDEX(Cadastro_Hortfrut[[#All],[Colunas4]],MATCH(ROW()-5,Cadastro_Hortfrut[[#All],[Colunas2]],0))</f>
        <v>Alface Crespa</v>
      </c>
      <c r="C189" s="193"/>
      <c r="D189" s="193"/>
      <c r="E189" s="193">
        <v>2</v>
      </c>
      <c r="F189" s="193"/>
      <c r="G189" s="193">
        <v>1</v>
      </c>
      <c r="H189" s="193"/>
      <c r="I189" s="193"/>
      <c r="J189" s="193"/>
      <c r="K189" s="193"/>
      <c r="L189" s="193">
        <v>1</v>
      </c>
      <c r="M189" s="193">
        <v>1</v>
      </c>
      <c r="N189" s="193"/>
      <c r="O189" s="193"/>
      <c r="P189" s="193">
        <v>5</v>
      </c>
      <c r="Q189" s="193"/>
      <c r="R189" s="405"/>
      <c r="S189" s="193">
        <v>2</v>
      </c>
      <c r="T189" s="193">
        <v>1</v>
      </c>
      <c r="U189" s="193"/>
      <c r="V189" s="193">
        <v>1</v>
      </c>
      <c r="W189" s="193"/>
      <c r="X189" s="193"/>
      <c r="Y189" s="193"/>
      <c r="Z189" s="193"/>
      <c r="AA189" s="193">
        <v>1</v>
      </c>
      <c r="AB189" s="193"/>
      <c r="AC189" s="193"/>
      <c r="AD189" s="193"/>
      <c r="AE189" s="193"/>
      <c r="AF189" s="193"/>
      <c r="AG189" s="193"/>
      <c r="AH189" s="193"/>
      <c r="AI189" s="107">
        <f ca="1">IF(Configurações!$G$10="Ligado",SUMIFS(C189:AH189,$C$4:$AH$4,"&lt;="&amp;Configurações!$C$5,$C$4:$AH$4,"&lt;="&amp;$AI$3),"")</f>
        <v>15</v>
      </c>
      <c r="AJ189" s="113">
        <f ca="1">IF(Configurações!$G$12="Ligado",IF(AI189&lt;=0,"Vazio",IF(Configurações!$G$11="Dia",IF(C189="",BAIXAS!AI189/(Configurações!$C$5),BAIXAS!AI189/(Configurações!$C$5+1)),BAIXAS!AI189/BAIXAS!A189)),"")</f>
        <v>0.625</v>
      </c>
    </row>
    <row r="190" spans="1:36" ht="21">
      <c r="A190" s="67">
        <f ca="1">COUNT(INDEX($C:$AH,ROW(),1):INDEX($C:$AH,ROW(),$AI$3+1))</f>
        <v>0</v>
      </c>
      <c r="B190" s="106" t="str">
        <f>INDEX(Cadastro_Hortfrut[[#All],[Colunas4]],MATCH(ROW()-5,Cadastro_Hortfrut[[#All],[Colunas2]],0))</f>
        <v>Alface Lisa</v>
      </c>
      <c r="C190" s="193"/>
      <c r="D190" s="193"/>
      <c r="E190" s="193"/>
      <c r="F190" s="193"/>
      <c r="G190" s="193"/>
      <c r="H190" s="193"/>
      <c r="I190" s="193"/>
      <c r="J190" s="193"/>
      <c r="K190" s="193"/>
      <c r="L190" s="193"/>
      <c r="M190" s="193"/>
      <c r="N190" s="193"/>
      <c r="O190" s="193"/>
      <c r="P190" s="193"/>
      <c r="Q190" s="193"/>
      <c r="R190" s="405"/>
      <c r="S190" s="193"/>
      <c r="T190" s="193"/>
      <c r="U190" s="193"/>
      <c r="V190" s="193"/>
      <c r="W190" s="193"/>
      <c r="X190" s="193"/>
      <c r="Y190" s="193"/>
      <c r="Z190" s="193"/>
      <c r="AA190" s="193"/>
      <c r="AB190" s="193"/>
      <c r="AC190" s="193"/>
      <c r="AD190" s="193"/>
      <c r="AE190" s="193"/>
      <c r="AF190" s="193"/>
      <c r="AG190" s="193"/>
      <c r="AH190" s="193"/>
      <c r="AI190" s="107">
        <f ca="1">IF(Configurações!$G$10="Ligado",SUMIFS(C190:AH190,$C$4:$AH$4,"&lt;="&amp;Configurações!$C$5,$C$4:$AH$4,"&lt;="&amp;$AI$3),"")</f>
        <v>0</v>
      </c>
      <c r="AJ190" s="113" t="str">
        <f ca="1">IF(Configurações!$G$12="Ligado",IF(AI190&lt;=0,"Vazio",IF(Configurações!$G$11="Dia",IF(C190="",BAIXAS!AI190/(Configurações!$C$5),BAIXAS!AI190/(Configurações!$C$5+1)),BAIXAS!AI190/BAIXAS!A190)),"")</f>
        <v>Vazio</v>
      </c>
    </row>
    <row r="191" spans="1:36" ht="21">
      <c r="A191" s="67">
        <f ca="1">COUNT(INDEX($C:$AH,ROW(),1):INDEX($C:$AH,ROW(),$AI$3+1))</f>
        <v>0</v>
      </c>
      <c r="B191" s="106" t="str">
        <f>INDEX(Cadastro_Hortfrut[[#All],[Colunas4]],MATCH(ROW()-5,Cadastro_Hortfrut[[#All],[Colunas2]],0))</f>
        <v>Alface Roxo</v>
      </c>
      <c r="C191" s="193"/>
      <c r="D191" s="193"/>
      <c r="E191" s="193"/>
      <c r="F191" s="193"/>
      <c r="G191" s="193"/>
      <c r="H191" s="193"/>
      <c r="I191" s="193"/>
      <c r="J191" s="193"/>
      <c r="K191" s="193"/>
      <c r="L191" s="193"/>
      <c r="M191" s="193"/>
      <c r="N191" s="193"/>
      <c r="O191" s="193"/>
      <c r="P191" s="193"/>
      <c r="Q191" s="193"/>
      <c r="R191" s="405"/>
      <c r="S191" s="193"/>
      <c r="T191" s="193"/>
      <c r="U191" s="193"/>
      <c r="V191" s="193"/>
      <c r="W191" s="193"/>
      <c r="X191" s="193"/>
      <c r="Y191" s="193"/>
      <c r="Z191" s="193"/>
      <c r="AA191" s="193"/>
      <c r="AB191" s="193"/>
      <c r="AC191" s="193"/>
      <c r="AD191" s="193"/>
      <c r="AE191" s="193"/>
      <c r="AF191" s="193"/>
      <c r="AG191" s="193"/>
      <c r="AH191" s="193"/>
      <c r="AI191" s="107">
        <f ca="1">IF(Configurações!$G$10="Ligado",SUMIFS(C191:AH191,$C$4:$AH$4,"&lt;="&amp;Configurações!$C$5,$C$4:$AH$4,"&lt;="&amp;$AI$3),"")</f>
        <v>0</v>
      </c>
      <c r="AJ191" s="113" t="str">
        <f ca="1">IF(Configurações!$G$12="Ligado",IF(AI191&lt;=0,"Vazio",IF(Configurações!$G$11="Dia",IF(C191="",BAIXAS!AI191/(Configurações!$C$5),BAIXAS!AI191/(Configurações!$C$5+1)),BAIXAS!AI191/BAIXAS!A191)),"")</f>
        <v>Vazio</v>
      </c>
    </row>
    <row r="192" spans="1:36" ht="21">
      <c r="A192" s="67">
        <f ca="1">COUNT(INDEX($C:$AH,ROW(),1):INDEX($C:$AH,ROW(),$AI$3+1))</f>
        <v>1</v>
      </c>
      <c r="B192" s="106" t="str">
        <f>INDEX(Cadastro_Hortfrut[[#All],[Colunas4]],MATCH(ROW()-5,Cadastro_Hortfrut[[#All],[Colunas2]],0))</f>
        <v>Almeirão</v>
      </c>
      <c r="C192" s="193"/>
      <c r="D192" s="193"/>
      <c r="E192" s="193"/>
      <c r="F192" s="193"/>
      <c r="G192" s="193"/>
      <c r="H192" s="193"/>
      <c r="I192" s="193"/>
      <c r="J192" s="193"/>
      <c r="K192" s="193"/>
      <c r="L192" s="193"/>
      <c r="M192" s="193"/>
      <c r="N192" s="193"/>
      <c r="O192" s="193"/>
      <c r="P192" s="193">
        <v>1</v>
      </c>
      <c r="Q192" s="193"/>
      <c r="R192" s="405"/>
      <c r="S192" s="193"/>
      <c r="T192" s="193"/>
      <c r="U192" s="193"/>
      <c r="V192" s="193"/>
      <c r="W192" s="193"/>
      <c r="X192" s="193"/>
      <c r="Y192" s="193"/>
      <c r="Z192" s="193"/>
      <c r="AA192" s="193"/>
      <c r="AB192" s="193"/>
      <c r="AC192" s="193"/>
      <c r="AD192" s="193"/>
      <c r="AE192" s="193"/>
      <c r="AF192" s="193"/>
      <c r="AG192" s="193"/>
      <c r="AH192" s="193"/>
      <c r="AI192" s="107">
        <f ca="1">IF(Configurações!$G$10="Ligado",SUMIFS(C192:AH192,$C$4:$AH$4,"&lt;="&amp;Configurações!$C$5,$C$4:$AH$4,"&lt;="&amp;$AI$3),"")</f>
        <v>1</v>
      </c>
      <c r="AJ192" s="113">
        <f ca="1">IF(Configurações!$G$12="Ligado",IF(AI192&lt;=0,"Vazio",IF(Configurações!$G$11="Dia",IF(C192="",BAIXAS!AI192/(Configurações!$C$5),BAIXAS!AI192/(Configurações!$C$5+1)),BAIXAS!AI192/BAIXAS!A192)),"")</f>
        <v>4.1666666666666664E-2</v>
      </c>
    </row>
    <row r="193" spans="1:36" ht="21">
      <c r="A193" s="67">
        <f ca="1">COUNT(INDEX($C:$AH,ROW(),1):INDEX($C:$AH,ROW(),$AI$3+1))</f>
        <v>1</v>
      </c>
      <c r="B193" s="106" t="str">
        <f>INDEX(Cadastro_Hortfrut[[#All],[Colunas4]],MATCH(ROW()-5,Cadastro_Hortfrut[[#All],[Colunas2]],0))</f>
        <v>Ameixa</v>
      </c>
      <c r="C193" s="193"/>
      <c r="D193" s="193"/>
      <c r="E193" s="193"/>
      <c r="F193" s="193"/>
      <c r="G193" s="193"/>
      <c r="H193" s="193"/>
      <c r="I193" s="193"/>
      <c r="J193" s="193"/>
      <c r="K193" s="193"/>
      <c r="L193" s="193"/>
      <c r="M193" s="193"/>
      <c r="N193" s="193"/>
      <c r="O193" s="193"/>
      <c r="P193" s="193"/>
      <c r="Q193" s="193"/>
      <c r="R193" s="405"/>
      <c r="S193" s="193"/>
      <c r="T193" s="193"/>
      <c r="U193" s="193"/>
      <c r="V193" s="193"/>
      <c r="W193" s="193"/>
      <c r="X193" s="193"/>
      <c r="Y193" s="193"/>
      <c r="Z193" s="193"/>
      <c r="AA193" s="193">
        <v>2</v>
      </c>
      <c r="AB193" s="193"/>
      <c r="AC193" s="193"/>
      <c r="AD193" s="193"/>
      <c r="AE193" s="193"/>
      <c r="AF193" s="193"/>
      <c r="AG193" s="193"/>
      <c r="AH193" s="193"/>
      <c r="AI193" s="107">
        <f ca="1">IF(Configurações!$G$10="Ligado",SUMIFS(C193:AH193,$C$4:$AH$4,"&lt;="&amp;Configurações!$C$5,$C$4:$AH$4,"&lt;="&amp;$AI$3),"")</f>
        <v>2</v>
      </c>
      <c r="AJ193" s="113">
        <f ca="1">IF(Configurações!$G$12="Ligado",IF(AI193&lt;=0,"Vazio",IF(Configurações!$G$11="Dia",IF(C193="",BAIXAS!AI193/(Configurações!$C$5),BAIXAS!AI193/(Configurações!$C$5+1)),BAIXAS!AI193/BAIXAS!A193)),"")</f>
        <v>8.3333333333333329E-2</v>
      </c>
    </row>
    <row r="194" spans="1:36" ht="21">
      <c r="A194" s="67">
        <f ca="1">COUNT(INDEX($C:$AH,ROW(),1):INDEX($C:$AH,ROW(),$AI$3+1))</f>
        <v>1</v>
      </c>
      <c r="B194" s="106" t="str">
        <f>INDEX(Cadastro_Hortfrut[[#All],[Colunas4]],MATCH(ROW()-5,Cadastro_Hortfrut[[#All],[Colunas2]],0))</f>
        <v xml:space="preserve">Banana </v>
      </c>
      <c r="C194" s="193"/>
      <c r="D194" s="193"/>
      <c r="E194" s="193"/>
      <c r="F194" s="193"/>
      <c r="G194" s="193"/>
      <c r="H194" s="193"/>
      <c r="I194" s="193"/>
      <c r="J194" s="193"/>
      <c r="K194" s="193"/>
      <c r="L194" s="193"/>
      <c r="M194" s="193"/>
      <c r="N194" s="193"/>
      <c r="O194" s="193"/>
      <c r="P194" s="193"/>
      <c r="Q194" s="193"/>
      <c r="R194" s="405"/>
      <c r="S194" s="193"/>
      <c r="T194" s="193"/>
      <c r="U194" s="193"/>
      <c r="V194" s="193"/>
      <c r="W194" s="193"/>
      <c r="X194" s="193"/>
      <c r="Y194" s="193"/>
      <c r="Z194" s="193"/>
      <c r="AA194" s="193">
        <v>5.2249999999999996</v>
      </c>
      <c r="AB194" s="193"/>
      <c r="AC194" s="193"/>
      <c r="AD194" s="193"/>
      <c r="AE194" s="193"/>
      <c r="AF194" s="193"/>
      <c r="AG194" s="193"/>
      <c r="AH194" s="193"/>
      <c r="AI194" s="107">
        <f ca="1">IF(Configurações!$G$10="Ligado",SUMIFS(C194:AH194,$C$4:$AH$4,"&lt;="&amp;Configurações!$C$5,$C$4:$AH$4,"&lt;="&amp;$AI$3),"")</f>
        <v>5.2249999999999996</v>
      </c>
      <c r="AJ194" s="113">
        <f ca="1">IF(Configurações!$G$12="Ligado",IF(AI194&lt;=0,"Vazio",IF(Configurações!$G$11="Dia",IF(C194="",BAIXAS!AI194/(Configurações!$C$5),BAIXAS!AI194/(Configurações!$C$5+1)),BAIXAS!AI194/BAIXAS!A194)),"")</f>
        <v>0.21770833333333331</v>
      </c>
    </row>
    <row r="195" spans="1:36" ht="21">
      <c r="A195" s="67">
        <f ca="1">COUNT(INDEX($C:$AH,ROW(),1):INDEX($C:$AH,ROW(),$AI$3+1))</f>
        <v>14</v>
      </c>
      <c r="B195" s="106" t="str">
        <f>INDEX(Cadastro_Hortfrut[[#All],[Colunas4]],MATCH(ROW()-5,Cadastro_Hortfrut[[#All],[Colunas2]],0))</f>
        <v xml:space="preserve">Batata </v>
      </c>
      <c r="C195" s="193"/>
      <c r="D195" s="193"/>
      <c r="E195" s="193">
        <f>3.355+0.295+1.05</f>
        <v>4.7</v>
      </c>
      <c r="F195" s="193">
        <v>0.8</v>
      </c>
      <c r="G195" s="193">
        <v>6.6349999999999998</v>
      </c>
      <c r="H195" s="193">
        <v>3.3450000000000002</v>
      </c>
      <c r="I195" s="193">
        <v>6.66</v>
      </c>
      <c r="J195" s="193"/>
      <c r="K195" s="193"/>
      <c r="L195" s="193">
        <f>2.995+2.985</f>
        <v>5.98</v>
      </c>
      <c r="M195" s="193">
        <f>2.175+1.78+1+2</f>
        <v>6.9550000000000001</v>
      </c>
      <c r="N195" s="193"/>
      <c r="O195" s="193">
        <v>5.25</v>
      </c>
      <c r="P195" s="193">
        <v>1.37</v>
      </c>
      <c r="Q195" s="193"/>
      <c r="R195" s="405"/>
      <c r="S195" s="193">
        <v>1.7749999999999999</v>
      </c>
      <c r="T195" s="193"/>
      <c r="U195" s="193">
        <f>2.98+1.645</f>
        <v>4.625</v>
      </c>
      <c r="V195" s="193">
        <v>4.1550000000000002</v>
      </c>
      <c r="W195" s="193">
        <v>1.1499999999999999</v>
      </c>
      <c r="X195" s="193"/>
      <c r="Y195" s="193"/>
      <c r="Z195" s="193"/>
      <c r="AA195" s="193">
        <f>7.39+3.04+1.375+3.25</f>
        <v>15.055</v>
      </c>
      <c r="AB195" s="193"/>
      <c r="AC195" s="193"/>
      <c r="AD195" s="193"/>
      <c r="AE195" s="193"/>
      <c r="AF195" s="193"/>
      <c r="AG195" s="193"/>
      <c r="AH195" s="193"/>
      <c r="AI195" s="107">
        <f ca="1">IF(Configurações!$G$10="Ligado",SUMIFS(C195:AH195,$C$4:$AH$4,"&lt;="&amp;Configurações!$C$5,$C$4:$AH$4,"&lt;="&amp;$AI$3),"")</f>
        <v>68.454999999999998</v>
      </c>
      <c r="AJ195" s="113">
        <f ca="1">IF(Configurações!$G$12="Ligado",IF(AI195&lt;=0,"Vazio",IF(Configurações!$G$11="Dia",IF(C195="",BAIXAS!AI195/(Configurações!$C$5),BAIXAS!AI195/(Configurações!$C$5+1)),BAIXAS!AI195/BAIXAS!A195)),"")</f>
        <v>2.8522916666666664</v>
      </c>
    </row>
    <row r="196" spans="1:36" ht="21">
      <c r="A196" s="67">
        <f ca="1">COUNT(INDEX($C:$AH,ROW(),1):INDEX($C:$AH,ROW(),$AI$3+1))</f>
        <v>6</v>
      </c>
      <c r="B196" s="106" t="str">
        <f>INDEX(Cadastro_Hortfrut[[#All],[Colunas4]],MATCH(ROW()-5,Cadastro_Hortfrut[[#All],[Colunas2]],0))</f>
        <v>Berinjela</v>
      </c>
      <c r="C196" s="193"/>
      <c r="D196" s="193"/>
      <c r="E196" s="193"/>
      <c r="F196" s="193"/>
      <c r="G196" s="193"/>
      <c r="H196" s="193"/>
      <c r="I196" s="193"/>
      <c r="J196" s="193"/>
      <c r="K196" s="193"/>
      <c r="L196" s="193"/>
      <c r="M196" s="193"/>
      <c r="N196" s="193">
        <v>3.86</v>
      </c>
      <c r="O196" s="193">
        <f>2.1+2.035</f>
        <v>4.1349999999999998</v>
      </c>
      <c r="P196" s="193"/>
      <c r="Q196" s="193"/>
      <c r="R196" s="405"/>
      <c r="S196" s="193"/>
      <c r="T196" s="193">
        <v>3.19</v>
      </c>
      <c r="U196" s="193">
        <v>2.06</v>
      </c>
      <c r="V196" s="193"/>
      <c r="W196" s="193">
        <v>4</v>
      </c>
      <c r="X196" s="193"/>
      <c r="Y196" s="193"/>
      <c r="Z196" s="193">
        <v>1.2549999999999999</v>
      </c>
      <c r="AA196" s="193"/>
      <c r="AB196" s="193"/>
      <c r="AC196" s="193"/>
      <c r="AD196" s="193"/>
      <c r="AE196" s="193"/>
      <c r="AF196" s="193"/>
      <c r="AG196" s="193"/>
      <c r="AH196" s="193"/>
      <c r="AI196" s="107">
        <f ca="1">IF(Configurações!$G$10="Ligado",SUMIFS(C196:AH196,$C$4:$AH$4,"&lt;="&amp;Configurações!$C$5,$C$4:$AH$4,"&lt;="&amp;$AI$3),"")</f>
        <v>18.499999999999996</v>
      </c>
      <c r="AJ196" s="113">
        <f ca="1">IF(Configurações!$G$12="Ligado",IF(AI196&lt;=0,"Vazio",IF(Configurações!$G$11="Dia",IF(C196="",BAIXAS!AI196/(Configurações!$C$5),BAIXAS!AI196/(Configurações!$C$5+1)),BAIXAS!AI196/BAIXAS!A196)),"")</f>
        <v>0.77083333333333315</v>
      </c>
    </row>
    <row r="197" spans="1:36" ht="21">
      <c r="A197" s="67">
        <f ca="1">COUNT(INDEX($C:$AH,ROW(),1):INDEX($C:$AH,ROW(),$AI$3+1))</f>
        <v>4</v>
      </c>
      <c r="B197" s="106" t="str">
        <f>INDEX(Cadastro_Hortfrut[[#All],[Colunas4]],MATCH(ROW()-5,Cadastro_Hortfrut[[#All],[Colunas2]],0))</f>
        <v xml:space="preserve">Beterraba </v>
      </c>
      <c r="C197" s="193"/>
      <c r="D197" s="193"/>
      <c r="E197" s="193"/>
      <c r="F197" s="193">
        <v>3.34</v>
      </c>
      <c r="G197" s="193">
        <v>1.845</v>
      </c>
      <c r="H197" s="193"/>
      <c r="I197" s="193">
        <v>0.72</v>
      </c>
      <c r="J197" s="193"/>
      <c r="K197" s="193"/>
      <c r="L197" s="193"/>
      <c r="M197" s="193"/>
      <c r="N197" s="193"/>
      <c r="O197" s="193"/>
      <c r="P197" s="193"/>
      <c r="Q197" s="193"/>
      <c r="R197" s="405"/>
      <c r="S197" s="193"/>
      <c r="T197" s="193"/>
      <c r="U197" s="193"/>
      <c r="V197" s="193"/>
      <c r="W197" s="193">
        <v>0.94499999999999995</v>
      </c>
      <c r="X197" s="193"/>
      <c r="Y197" s="193"/>
      <c r="Z197" s="193"/>
      <c r="AA197" s="193"/>
      <c r="AB197" s="193"/>
      <c r="AC197" s="193"/>
      <c r="AD197" s="193"/>
      <c r="AE197" s="193"/>
      <c r="AF197" s="193"/>
      <c r="AG197" s="193"/>
      <c r="AH197" s="193"/>
      <c r="AI197" s="107">
        <f ca="1">IF(Configurações!$G$10="Ligado",SUMIFS(C197:AH197,$C$4:$AH$4,"&lt;="&amp;Configurações!$C$5,$C$4:$AH$4,"&lt;="&amp;$AI$3),"")</f>
        <v>6.85</v>
      </c>
      <c r="AJ197" s="113">
        <f ca="1">IF(Configurações!$G$12="Ligado",IF(AI197&lt;=0,"Vazio",IF(Configurações!$G$11="Dia",IF(C197="",BAIXAS!AI197/(Configurações!$C$5),BAIXAS!AI197/(Configurações!$C$5+1)),BAIXAS!AI197/BAIXAS!A197)),"")</f>
        <v>0.28541666666666665</v>
      </c>
    </row>
    <row r="198" spans="1:36" ht="21">
      <c r="A198" s="67">
        <f ca="1">COUNT(INDEX($C:$AH,ROW(),1):INDEX($C:$AH,ROW(),$AI$3+1))</f>
        <v>0</v>
      </c>
      <c r="B198" s="106" t="str">
        <f>INDEX(Cadastro_Hortfrut[[#All],[Colunas4]],MATCH(ROW()-5,Cadastro_Hortfrut[[#All],[Colunas2]],0))</f>
        <v>Brócolis</v>
      </c>
      <c r="C198" s="193"/>
      <c r="D198" s="193"/>
      <c r="E198" s="193"/>
      <c r="F198" s="193"/>
      <c r="G198" s="193"/>
      <c r="H198" s="193"/>
      <c r="I198" s="193"/>
      <c r="J198" s="193"/>
      <c r="K198" s="193"/>
      <c r="L198" s="193"/>
      <c r="M198" s="193"/>
      <c r="N198" s="193"/>
      <c r="O198" s="193"/>
      <c r="P198" s="193"/>
      <c r="Q198" s="193"/>
      <c r="R198" s="405"/>
      <c r="S198" s="193"/>
      <c r="T198" s="193"/>
      <c r="U198" s="193"/>
      <c r="V198" s="193"/>
      <c r="W198" s="193"/>
      <c r="X198" s="193"/>
      <c r="Y198" s="193"/>
      <c r="Z198" s="193"/>
      <c r="AA198" s="193"/>
      <c r="AB198" s="193"/>
      <c r="AC198" s="193"/>
      <c r="AD198" s="193"/>
      <c r="AE198" s="193"/>
      <c r="AF198" s="193"/>
      <c r="AG198" s="193"/>
      <c r="AH198" s="193"/>
      <c r="AI198" s="107">
        <f ca="1">IF(Configurações!$G$10="Ligado",SUMIFS(C198:AH198,$C$4:$AH$4,"&lt;="&amp;Configurações!$C$5,$C$4:$AH$4,"&lt;="&amp;$AI$3),"")</f>
        <v>0</v>
      </c>
      <c r="AJ198" s="113" t="str">
        <f ca="1">IF(Configurações!$G$12="Ligado",IF(AI198&lt;=0,"Vazio",IF(Configurações!$G$11="Dia",IF(C198="",BAIXAS!AI198/(Configurações!$C$5),BAIXAS!AI198/(Configurações!$C$5+1)),BAIXAS!AI198/BAIXAS!A198)),"")</f>
        <v>Vazio</v>
      </c>
    </row>
    <row r="199" spans="1:36" ht="21">
      <c r="A199" s="67">
        <f ca="1">COUNT(INDEX($C:$AH,ROW(),1):INDEX($C:$AH,ROW(),$AI$3+1))</f>
        <v>0</v>
      </c>
      <c r="B199" s="106" t="str">
        <f>INDEX(Cadastro_Hortfrut[[#All],[Colunas4]],MATCH(ROW()-5,Cadastro_Hortfrut[[#All],[Colunas2]],0))</f>
        <v xml:space="preserve">Caquí </v>
      </c>
      <c r="C199" s="193"/>
      <c r="D199" s="193"/>
      <c r="E199" s="193"/>
      <c r="F199" s="193"/>
      <c r="G199" s="193"/>
      <c r="H199" s="193"/>
      <c r="I199" s="193"/>
      <c r="J199" s="193"/>
      <c r="K199" s="193"/>
      <c r="L199" s="193"/>
      <c r="M199" s="193"/>
      <c r="N199" s="193"/>
      <c r="O199" s="193"/>
      <c r="P199" s="193"/>
      <c r="Q199" s="193"/>
      <c r="R199" s="405"/>
      <c r="S199" s="193"/>
      <c r="T199" s="193"/>
      <c r="U199" s="193"/>
      <c r="V199" s="193"/>
      <c r="W199" s="193"/>
      <c r="X199" s="193"/>
      <c r="Y199" s="193"/>
      <c r="Z199" s="193"/>
      <c r="AA199" s="193"/>
      <c r="AB199" s="193"/>
      <c r="AC199" s="193"/>
      <c r="AD199" s="193"/>
      <c r="AE199" s="193"/>
      <c r="AF199" s="193"/>
      <c r="AG199" s="193"/>
      <c r="AH199" s="193"/>
      <c r="AI199" s="107">
        <f ca="1">IF(Configurações!$G$10="Ligado",SUMIFS(C199:AH199,$C$4:$AH$4,"&lt;="&amp;Configurações!$C$5,$C$4:$AH$4,"&lt;="&amp;$AI$3),"")</f>
        <v>0</v>
      </c>
      <c r="AJ199" s="113" t="str">
        <f ca="1">IF(Configurações!$G$12="Ligado",IF(AI199&lt;=0,"Vazio",IF(Configurações!$G$11="Dia",IF(C199="",BAIXAS!AI199/(Configurações!$C$5),BAIXAS!AI199/(Configurações!$C$5+1)),BAIXAS!AI199/BAIXAS!A199)),"")</f>
        <v>Vazio</v>
      </c>
    </row>
    <row r="200" spans="1:36" ht="21">
      <c r="A200" s="67">
        <f ca="1">COUNT(INDEX($C:$AH,ROW(),1):INDEX($C:$AH,ROW(),$AI$3+1))</f>
        <v>17</v>
      </c>
      <c r="B200" s="106" t="str">
        <f>INDEX(Cadastro_Hortfrut[[#All],[Colunas4]],MATCH(ROW()-5,Cadastro_Hortfrut[[#All],[Colunas2]],0))</f>
        <v xml:space="preserve">Cebola </v>
      </c>
      <c r="C200" s="193"/>
      <c r="D200" s="193"/>
      <c r="E200" s="193">
        <v>1.69</v>
      </c>
      <c r="F200" s="193">
        <v>3.6549999999999998</v>
      </c>
      <c r="G200" s="193">
        <v>6.9700000000000006</v>
      </c>
      <c r="H200" s="193">
        <v>2.2850000000000001</v>
      </c>
      <c r="I200" s="193">
        <f>1.3+0.815</f>
        <v>2.1150000000000002</v>
      </c>
      <c r="J200" s="193">
        <v>0.9</v>
      </c>
      <c r="K200" s="193"/>
      <c r="L200" s="193">
        <f>3.47+2.175</f>
        <v>5.6449999999999996</v>
      </c>
      <c r="M200" s="193">
        <v>3.165</v>
      </c>
      <c r="N200" s="193">
        <f>4.875</f>
        <v>4.875</v>
      </c>
      <c r="O200" s="193">
        <f>5.125+2.815</f>
        <v>7.9399999999999995</v>
      </c>
      <c r="P200" s="193">
        <v>1.385</v>
      </c>
      <c r="Q200" s="193"/>
      <c r="R200" s="405"/>
      <c r="S200" s="193"/>
      <c r="T200" s="193">
        <f>4.92+2.865</f>
        <v>7.7850000000000001</v>
      </c>
      <c r="U200" s="193">
        <f>2.74+0.98</f>
        <v>3.72</v>
      </c>
      <c r="V200" s="193">
        <f>5.345+1.555</f>
        <v>6.8999999999999995</v>
      </c>
      <c r="W200" s="193">
        <f>1.265+2.395</f>
        <v>3.66</v>
      </c>
      <c r="X200" s="193"/>
      <c r="Y200" s="193"/>
      <c r="Z200" s="193">
        <v>3.1549999999999998</v>
      </c>
      <c r="AA200" s="193">
        <f>4.69+3.966</f>
        <v>8.6560000000000006</v>
      </c>
      <c r="AB200" s="193"/>
      <c r="AC200" s="193"/>
      <c r="AD200" s="193"/>
      <c r="AE200" s="193"/>
      <c r="AF200" s="193"/>
      <c r="AG200" s="193"/>
      <c r="AH200" s="193"/>
      <c r="AI200" s="107">
        <f ca="1">IF(Configurações!$G$10="Ligado",SUMIFS(C200:AH200,$C$4:$AH$4,"&lt;="&amp;Configurações!$C$5,$C$4:$AH$4,"&lt;="&amp;$AI$3),"")</f>
        <v>74.501000000000005</v>
      </c>
      <c r="AJ200" s="113">
        <f ca="1">IF(Configurações!$G$12="Ligado",IF(AI200&lt;=0,"Vazio",IF(Configurações!$G$11="Dia",IF(C200="",BAIXAS!AI200/(Configurações!$C$5),BAIXAS!AI200/(Configurações!$C$5+1)),BAIXAS!AI200/BAIXAS!A200)),"")</f>
        <v>3.1042083333333337</v>
      </c>
    </row>
    <row r="201" spans="1:36" ht="21">
      <c r="A201" s="67">
        <f ca="1">COUNT(INDEX($C:$AH,ROW(),1):INDEX($C:$AH,ROW(),$AI$3+1))</f>
        <v>19</v>
      </c>
      <c r="B201" s="106" t="str">
        <f>INDEX(Cadastro_Hortfrut[[#All],[Colunas4]],MATCH(ROW()-5,Cadastro_Hortfrut[[#All],[Colunas2]],0))</f>
        <v xml:space="preserve">Cenoura  </v>
      </c>
      <c r="C201" s="193"/>
      <c r="D201" s="193">
        <v>0.76</v>
      </c>
      <c r="E201" s="193">
        <f>0.295+0.905</f>
        <v>1.2</v>
      </c>
      <c r="F201" s="193">
        <f>0.59+0.16</f>
        <v>0.75</v>
      </c>
      <c r="G201" s="193">
        <v>4.9450000000000003</v>
      </c>
      <c r="H201" s="193">
        <f>0.45+1.175+1.255</f>
        <v>2.88</v>
      </c>
      <c r="I201" s="193">
        <v>3.45</v>
      </c>
      <c r="J201" s="193">
        <v>0.3</v>
      </c>
      <c r="K201" s="193"/>
      <c r="L201" s="193">
        <f>1.085+0.54+0.91</f>
        <v>2.5350000000000001</v>
      </c>
      <c r="M201" s="193">
        <f>0.695+0.62</f>
        <v>1.3149999999999999</v>
      </c>
      <c r="N201" s="193">
        <f>0.215+1.105+7.208+1.49</f>
        <v>10.018000000000001</v>
      </c>
      <c r="O201" s="193">
        <f>1.825+0.41+2</f>
        <v>4.2349999999999994</v>
      </c>
      <c r="P201" s="193">
        <v>6.7</v>
      </c>
      <c r="Q201" s="193"/>
      <c r="R201" s="405"/>
      <c r="S201" s="193">
        <f>1.165+3.015+0.355+0.415</f>
        <v>4.95</v>
      </c>
      <c r="T201" s="193">
        <v>9.5000000000000001E-2</v>
      </c>
      <c r="U201" s="193">
        <v>1.39</v>
      </c>
      <c r="V201" s="193">
        <v>0.81499999999999995</v>
      </c>
      <c r="W201" s="193">
        <f>0.26+2.275</f>
        <v>2.5350000000000001</v>
      </c>
      <c r="X201" s="193"/>
      <c r="Y201" s="193"/>
      <c r="Z201" s="193">
        <v>0.03</v>
      </c>
      <c r="AA201" s="193">
        <v>0.90500000000000003</v>
      </c>
      <c r="AB201" s="193"/>
      <c r="AC201" s="193"/>
      <c r="AD201" s="193"/>
      <c r="AE201" s="193"/>
      <c r="AF201" s="193"/>
      <c r="AG201" s="193"/>
      <c r="AH201" s="193"/>
      <c r="AI201" s="107">
        <f ca="1">IF(Configurações!$G$10="Ligado",SUMIFS(C201:AH201,$C$4:$AH$4,"&lt;="&amp;Configurações!$C$5,$C$4:$AH$4,"&lt;="&amp;$AI$3),"")</f>
        <v>49.808000000000007</v>
      </c>
      <c r="AJ201" s="113">
        <f ca="1">IF(Configurações!$G$12="Ligado",IF(AI201&lt;=0,"Vazio",IF(Configurações!$G$11="Dia",IF(C201="",BAIXAS!AI201/(Configurações!$C$5),BAIXAS!AI201/(Configurações!$C$5+1)),BAIXAS!AI201/BAIXAS!A201)),"")</f>
        <v>2.0753333333333335</v>
      </c>
    </row>
    <row r="202" spans="1:36" ht="21">
      <c r="A202" s="67">
        <f ca="1">COUNT(INDEX($C:$AH,ROW(),1):INDEX($C:$AH,ROW(),$AI$3+1))</f>
        <v>12</v>
      </c>
      <c r="B202" s="106" t="str">
        <f>INDEX(Cadastro_Hortfrut[[#All],[Colunas4]],MATCH(ROW()-5,Cadastro_Hortfrut[[#All],[Colunas2]],0))</f>
        <v xml:space="preserve">Chuchu </v>
      </c>
      <c r="C202" s="193"/>
      <c r="D202" s="193"/>
      <c r="E202" s="193">
        <f>3.25+0.48</f>
        <v>3.73</v>
      </c>
      <c r="F202" s="193">
        <v>0.42</v>
      </c>
      <c r="G202" s="193">
        <v>2.895</v>
      </c>
      <c r="H202" s="193">
        <v>1.425</v>
      </c>
      <c r="I202" s="193">
        <v>1.87</v>
      </c>
      <c r="J202" s="193"/>
      <c r="K202" s="193"/>
      <c r="L202" s="193">
        <v>3.81</v>
      </c>
      <c r="M202" s="193">
        <v>0.6</v>
      </c>
      <c r="N202" s="193"/>
      <c r="O202" s="193"/>
      <c r="P202" s="193">
        <v>2.7149999999999999</v>
      </c>
      <c r="Q202" s="193">
        <v>2.86</v>
      </c>
      <c r="R202" s="405"/>
      <c r="S202" s="193">
        <f>0.52+3.18+0.93</f>
        <v>4.63</v>
      </c>
      <c r="T202" s="193"/>
      <c r="U202" s="193"/>
      <c r="V202" s="193"/>
      <c r="W202" s="193"/>
      <c r="X202" s="193"/>
      <c r="Y202" s="193"/>
      <c r="Z202" s="193">
        <v>5.63</v>
      </c>
      <c r="AA202" s="193">
        <v>0.65</v>
      </c>
      <c r="AB202" s="193"/>
      <c r="AC202" s="193"/>
      <c r="AD202" s="193"/>
      <c r="AE202" s="193"/>
      <c r="AF202" s="193"/>
      <c r="AG202" s="193"/>
      <c r="AH202" s="193"/>
      <c r="AI202" s="107">
        <f ca="1">IF(Configurações!$G$10="Ligado",SUMIFS(C202:AH202,$C$4:$AH$4,"&lt;="&amp;Configurações!$C$5,$C$4:$AH$4,"&lt;="&amp;$AI$3),"")</f>
        <v>31.234999999999996</v>
      </c>
      <c r="AJ202" s="113">
        <f ca="1">IF(Configurações!$G$12="Ligado",IF(AI202&lt;=0,"Vazio",IF(Configurações!$G$11="Dia",IF(C202="",BAIXAS!AI202/(Configurações!$C$5),BAIXAS!AI202/(Configurações!$C$5+1)),BAIXAS!AI202/BAIXAS!A202)),"")</f>
        <v>1.3014583333333332</v>
      </c>
    </row>
    <row r="203" spans="1:36" ht="21">
      <c r="A203" s="67">
        <f ca="1">COUNT(INDEX($C:$AH,ROW(),1):INDEX($C:$AH,ROW(),$AI$3+1))</f>
        <v>6</v>
      </c>
      <c r="B203" s="106" t="str">
        <f>INDEX(Cadastro_Hortfrut[[#All],[Colunas4]],MATCH(ROW()-5,Cadastro_Hortfrut[[#All],[Colunas2]],0))</f>
        <v>Coentro</v>
      </c>
      <c r="C203" s="193"/>
      <c r="D203" s="193"/>
      <c r="E203" s="193"/>
      <c r="F203" s="193">
        <v>1</v>
      </c>
      <c r="G203" s="193"/>
      <c r="H203" s="193">
        <v>2</v>
      </c>
      <c r="I203" s="193"/>
      <c r="J203" s="193"/>
      <c r="K203" s="193"/>
      <c r="L203" s="193"/>
      <c r="M203" s="193"/>
      <c r="N203" s="193"/>
      <c r="O203" s="193">
        <v>2</v>
      </c>
      <c r="P203" s="193"/>
      <c r="Q203" s="193"/>
      <c r="R203" s="405"/>
      <c r="S203" s="193"/>
      <c r="T203" s="193">
        <v>1</v>
      </c>
      <c r="U203" s="193">
        <v>1</v>
      </c>
      <c r="V203" s="193">
        <v>2</v>
      </c>
      <c r="W203" s="193"/>
      <c r="X203" s="193"/>
      <c r="Y203" s="193"/>
      <c r="Z203" s="193"/>
      <c r="AA203" s="193"/>
      <c r="AB203" s="193"/>
      <c r="AC203" s="193"/>
      <c r="AD203" s="193"/>
      <c r="AE203" s="193"/>
      <c r="AF203" s="193"/>
      <c r="AG203" s="193"/>
      <c r="AH203" s="193"/>
      <c r="AI203" s="107">
        <f ca="1">IF(Configurações!$G$10="Ligado",SUMIFS(C203:AH203,$C$4:$AH$4,"&lt;="&amp;Configurações!$C$5,$C$4:$AH$4,"&lt;="&amp;$AI$3),"")</f>
        <v>9</v>
      </c>
      <c r="AJ203" s="113">
        <f ca="1">IF(Configurações!$G$12="Ligado",IF(AI203&lt;=0,"Vazio",IF(Configurações!$G$11="Dia",IF(C203="",BAIXAS!AI203/(Configurações!$C$5),BAIXAS!AI203/(Configurações!$C$5+1)),BAIXAS!AI203/BAIXAS!A203)),"")</f>
        <v>0.375</v>
      </c>
    </row>
    <row r="204" spans="1:36" ht="21">
      <c r="A204" s="67">
        <f ca="1">COUNT(INDEX($C:$AH,ROW(),1):INDEX($C:$AH,ROW(),$AI$3+1))</f>
        <v>4</v>
      </c>
      <c r="B204" s="106" t="str">
        <f>INDEX(Cadastro_Hortfrut[[#All],[Colunas4]],MATCH(ROW()-5,Cadastro_Hortfrut[[#All],[Colunas2]],0))</f>
        <v>Couve</v>
      </c>
      <c r="C204" s="193"/>
      <c r="D204" s="193"/>
      <c r="E204" s="193"/>
      <c r="F204" s="193"/>
      <c r="G204" s="193"/>
      <c r="H204" s="193">
        <v>10</v>
      </c>
      <c r="I204" s="193"/>
      <c r="J204" s="193"/>
      <c r="K204" s="193"/>
      <c r="L204" s="193">
        <v>7</v>
      </c>
      <c r="M204" s="193"/>
      <c r="N204" s="193"/>
      <c r="O204" s="193">
        <v>8</v>
      </c>
      <c r="P204" s="193"/>
      <c r="Q204" s="193"/>
      <c r="R204" s="405"/>
      <c r="S204" s="193"/>
      <c r="T204" s="193"/>
      <c r="U204" s="193"/>
      <c r="V204" s="193">
        <v>7</v>
      </c>
      <c r="W204" s="193"/>
      <c r="X204" s="193"/>
      <c r="Y204" s="193"/>
      <c r="Z204" s="193"/>
      <c r="AA204" s="193"/>
      <c r="AB204" s="193"/>
      <c r="AC204" s="193"/>
      <c r="AD204" s="193"/>
      <c r="AE204" s="193"/>
      <c r="AF204" s="193"/>
      <c r="AG204" s="193"/>
      <c r="AH204" s="193"/>
      <c r="AI204" s="107">
        <f ca="1">IF(Configurações!$G$10="Ligado",SUMIFS(C204:AH204,$C$4:$AH$4,"&lt;="&amp;Configurações!$C$5,$C$4:$AH$4,"&lt;="&amp;$AI$3),"")</f>
        <v>32</v>
      </c>
      <c r="AJ204" s="113">
        <f ca="1">IF(Configurações!$G$12="Ligado",IF(AI204&lt;=0,"Vazio",IF(Configurações!$G$11="Dia",IF(C204="",BAIXAS!AI204/(Configurações!$C$5),BAIXAS!AI204/(Configurações!$C$5+1)),BAIXAS!AI204/BAIXAS!A204)),"")</f>
        <v>1.3333333333333333</v>
      </c>
    </row>
    <row r="205" spans="1:36" ht="21">
      <c r="A205" s="67">
        <f ca="1">COUNT(INDEX($C:$AH,ROW(),1):INDEX($C:$AH,ROW(),$AI$3+1))</f>
        <v>0</v>
      </c>
      <c r="B205" s="106" t="str">
        <f>INDEX(Cadastro_Hortfrut[[#All],[Colunas4]],MATCH(ROW()-5,Cadastro_Hortfrut[[#All],[Colunas2]],0))</f>
        <v>Couve-flor</v>
      </c>
      <c r="C205" s="193"/>
      <c r="D205" s="193"/>
      <c r="E205" s="193"/>
      <c r="F205" s="193"/>
      <c r="G205" s="193"/>
      <c r="H205" s="193"/>
      <c r="I205" s="193"/>
      <c r="J205" s="193"/>
      <c r="K205" s="193"/>
      <c r="L205" s="193"/>
      <c r="M205" s="193"/>
      <c r="N205" s="193"/>
      <c r="O205" s="193"/>
      <c r="P205" s="193"/>
      <c r="Q205" s="193"/>
      <c r="R205" s="405"/>
      <c r="S205" s="193"/>
      <c r="T205" s="193"/>
      <c r="U205" s="193"/>
      <c r="V205" s="193"/>
      <c r="W205" s="193"/>
      <c r="X205" s="193"/>
      <c r="Y205" s="193"/>
      <c r="Z205" s="193"/>
      <c r="AA205" s="193"/>
      <c r="AB205" s="193"/>
      <c r="AC205" s="193"/>
      <c r="AD205" s="193"/>
      <c r="AE205" s="193"/>
      <c r="AF205" s="193"/>
      <c r="AG205" s="193"/>
      <c r="AH205" s="193"/>
      <c r="AI205" s="107">
        <f ca="1">IF(Configurações!$G$10="Ligado",SUMIFS(C205:AH205,$C$4:$AH$4,"&lt;="&amp;Configurações!$C$5,$C$4:$AH$4,"&lt;="&amp;$AI$3),"")</f>
        <v>0</v>
      </c>
      <c r="AJ205" s="113" t="str">
        <f ca="1">IF(Configurações!$G$12="Ligado",IF(AI205&lt;=0,"Vazio",IF(Configurações!$G$11="Dia",IF(C205="",BAIXAS!AI205/(Configurações!$C$5),BAIXAS!AI205/(Configurações!$C$5+1)),BAIXAS!AI205/BAIXAS!A205)),"")</f>
        <v>Vazio</v>
      </c>
    </row>
    <row r="206" spans="1:36" ht="21">
      <c r="A206" s="67">
        <f ca="1">COUNT(INDEX($C:$AH,ROW(),1):INDEX($C:$AH,ROW(),$AI$3+1))</f>
        <v>5</v>
      </c>
      <c r="B206" s="106" t="str">
        <f>INDEX(Cadastro_Hortfrut[[#All],[Colunas4]],MATCH(ROW()-5,Cadastro_Hortfrut[[#All],[Colunas2]],0))</f>
        <v xml:space="preserve">Escarola </v>
      </c>
      <c r="C206" s="193"/>
      <c r="D206" s="193"/>
      <c r="E206" s="193"/>
      <c r="F206" s="193">
        <v>2</v>
      </c>
      <c r="G206" s="193">
        <v>2</v>
      </c>
      <c r="H206" s="193"/>
      <c r="I206" s="193">
        <v>2</v>
      </c>
      <c r="J206" s="193"/>
      <c r="K206" s="193"/>
      <c r="L206" s="193"/>
      <c r="M206" s="193">
        <v>2</v>
      </c>
      <c r="N206" s="193"/>
      <c r="O206" s="193"/>
      <c r="P206" s="193"/>
      <c r="Q206" s="193"/>
      <c r="R206" s="405"/>
      <c r="S206" s="193"/>
      <c r="T206" s="193">
        <v>2</v>
      </c>
      <c r="U206" s="193"/>
      <c r="V206" s="193"/>
      <c r="W206" s="193"/>
      <c r="X206" s="193"/>
      <c r="Y206" s="193"/>
      <c r="Z206" s="193"/>
      <c r="AA206" s="193"/>
      <c r="AB206" s="193"/>
      <c r="AC206" s="193"/>
      <c r="AD206" s="193"/>
      <c r="AE206" s="193"/>
      <c r="AF206" s="193"/>
      <c r="AG206" s="193"/>
      <c r="AH206" s="193"/>
      <c r="AI206" s="107">
        <f ca="1">IF(Configurações!$G$10="Ligado",SUMIFS(C206:AH206,$C$4:$AH$4,"&lt;="&amp;Configurações!$C$5,$C$4:$AH$4,"&lt;="&amp;$AI$3),"")</f>
        <v>10</v>
      </c>
      <c r="AJ206" s="113">
        <f ca="1">IF(Configurações!$G$12="Ligado",IF(AI206&lt;=0,"Vazio",IF(Configurações!$G$11="Dia",IF(C206="",BAIXAS!AI206/(Configurações!$C$5),BAIXAS!AI206/(Configurações!$C$5+1)),BAIXAS!AI206/BAIXAS!A206)),"")</f>
        <v>0.41666666666666669</v>
      </c>
    </row>
    <row r="207" spans="1:36" ht="21">
      <c r="A207" s="67">
        <f ca="1">COUNT(INDEX($C:$AH,ROW(),1):INDEX($C:$AH,ROW(),$AI$3+1))</f>
        <v>0</v>
      </c>
      <c r="B207" s="106" t="str">
        <f>INDEX(Cadastro_Hortfrut[[#All],[Colunas4]],MATCH(ROW()-5,Cadastro_Hortfrut[[#All],[Colunas2]],0))</f>
        <v>Goiaba</v>
      </c>
      <c r="C207" s="193"/>
      <c r="D207" s="193"/>
      <c r="E207" s="193"/>
      <c r="F207" s="193"/>
      <c r="G207" s="193"/>
      <c r="H207" s="193"/>
      <c r="I207" s="193"/>
      <c r="J207" s="193"/>
      <c r="K207" s="193"/>
      <c r="L207" s="193"/>
      <c r="M207" s="193"/>
      <c r="N207" s="193"/>
      <c r="O207" s="193"/>
      <c r="P207" s="193"/>
      <c r="Q207" s="193"/>
      <c r="R207" s="405"/>
      <c r="S207" s="193"/>
      <c r="T207" s="193"/>
      <c r="U207" s="193"/>
      <c r="V207" s="193"/>
      <c r="W207" s="193"/>
      <c r="X207" s="193"/>
      <c r="Y207" s="193"/>
      <c r="Z207" s="193"/>
      <c r="AA207" s="193"/>
      <c r="AB207" s="193"/>
      <c r="AC207" s="193"/>
      <c r="AD207" s="193"/>
      <c r="AE207" s="193"/>
      <c r="AF207" s="193"/>
      <c r="AG207" s="193"/>
      <c r="AH207" s="193"/>
      <c r="AI207" s="107">
        <f ca="1">IF(Configurações!$G$10="Ligado",SUMIFS(C207:AH207,$C$4:$AH$4,"&lt;="&amp;Configurações!$C$5,$C$4:$AH$4,"&lt;="&amp;$AI$3),"")</f>
        <v>0</v>
      </c>
      <c r="AJ207" s="113" t="str">
        <f ca="1">IF(Configurações!$G$12="Ligado",IF(AI207&lt;=0,"Vazio",IF(Configurações!$G$11="Dia",IF(C207="",BAIXAS!AI207/(Configurações!$C$5),BAIXAS!AI207/(Configurações!$C$5+1)),BAIXAS!AI207/BAIXAS!A207)),"")</f>
        <v>Vazio</v>
      </c>
    </row>
    <row r="208" spans="1:36" ht="21">
      <c r="A208" s="67">
        <f ca="1">COUNT(INDEX($C:$AH,ROW(),1):INDEX($C:$AH,ROW(),$AI$3+1))</f>
        <v>2</v>
      </c>
      <c r="B208" s="106" t="str">
        <f>INDEX(Cadastro_Hortfrut[[#All],[Colunas4]],MATCH(ROW()-5,Cadastro_Hortfrut[[#All],[Colunas2]],0))</f>
        <v>Hortelã</v>
      </c>
      <c r="C208" s="193"/>
      <c r="D208" s="193"/>
      <c r="E208" s="193"/>
      <c r="F208" s="193"/>
      <c r="G208" s="193"/>
      <c r="H208" s="193"/>
      <c r="I208" s="193"/>
      <c r="J208" s="193"/>
      <c r="K208" s="193"/>
      <c r="L208" s="193"/>
      <c r="M208" s="193"/>
      <c r="N208" s="193"/>
      <c r="O208" s="193">
        <v>1</v>
      </c>
      <c r="P208" s="193"/>
      <c r="Q208" s="193"/>
      <c r="R208" s="405"/>
      <c r="S208" s="193"/>
      <c r="T208" s="193"/>
      <c r="U208" s="193"/>
      <c r="V208" s="193">
        <v>1</v>
      </c>
      <c r="W208" s="193"/>
      <c r="X208" s="193"/>
      <c r="Y208" s="193"/>
      <c r="Z208" s="193"/>
      <c r="AA208" s="193"/>
      <c r="AB208" s="193"/>
      <c r="AC208" s="193"/>
      <c r="AD208" s="193"/>
      <c r="AE208" s="193"/>
      <c r="AF208" s="193"/>
      <c r="AG208" s="193"/>
      <c r="AH208" s="193"/>
      <c r="AI208" s="107">
        <f ca="1">IF(Configurações!$G$10="Ligado",SUMIFS(C208:AH208,$C$4:$AH$4,"&lt;="&amp;Configurações!$C$5,$C$4:$AH$4,"&lt;="&amp;$AI$3),"")</f>
        <v>2</v>
      </c>
      <c r="AJ208" s="113">
        <f ca="1">IF(Configurações!$G$12="Ligado",IF(AI208&lt;=0,"Vazio",IF(Configurações!$G$11="Dia",IF(C208="",BAIXAS!AI208/(Configurações!$C$5),BAIXAS!AI208/(Configurações!$C$5+1)),BAIXAS!AI208/BAIXAS!A208)),"")</f>
        <v>8.3333333333333329E-2</v>
      </c>
    </row>
    <row r="209" spans="1:104" ht="21">
      <c r="A209" s="67">
        <f ca="1">COUNT(INDEX($C:$AH,ROW(),1):INDEX($C:$AH,ROW(),$AI$3+1))</f>
        <v>5</v>
      </c>
      <c r="B209" s="106" t="str">
        <f>INDEX(Cadastro_Hortfrut[[#All],[Colunas4]],MATCH(ROW()-5,Cadastro_Hortfrut[[#All],[Colunas2]],0))</f>
        <v xml:space="preserve">Laranja </v>
      </c>
      <c r="C209" s="193"/>
      <c r="D209" s="193"/>
      <c r="E209" s="193"/>
      <c r="F209" s="193"/>
      <c r="G209" s="193"/>
      <c r="H209" s="193">
        <v>7.9050000000000002</v>
      </c>
      <c r="I209" s="193"/>
      <c r="J209" s="193"/>
      <c r="K209" s="193"/>
      <c r="L209" s="193">
        <v>10.16</v>
      </c>
      <c r="M209" s="193"/>
      <c r="N209" s="193"/>
      <c r="O209" s="193">
        <v>10.26</v>
      </c>
      <c r="P209" s="193"/>
      <c r="Q209" s="193"/>
      <c r="R209" s="405"/>
      <c r="S209" s="193"/>
      <c r="T209" s="193"/>
      <c r="U209" s="193"/>
      <c r="V209" s="193"/>
      <c r="W209" s="193">
        <v>6.75</v>
      </c>
      <c r="X209" s="193"/>
      <c r="Y209" s="193"/>
      <c r="Z209" s="193"/>
      <c r="AA209" s="193">
        <v>10</v>
      </c>
      <c r="AB209" s="193"/>
      <c r="AC209" s="193"/>
      <c r="AD209" s="193"/>
      <c r="AE209" s="193"/>
      <c r="AF209" s="193"/>
      <c r="AG209" s="193"/>
      <c r="AH209" s="193"/>
      <c r="AI209" s="107">
        <f ca="1">IF(Configurações!$G$10="Ligado",SUMIFS(C209:AH209,$C$4:$AH$4,"&lt;="&amp;Configurações!$C$5,$C$4:$AH$4,"&lt;="&amp;$AI$3),"")</f>
        <v>45.075000000000003</v>
      </c>
      <c r="AJ209" s="113">
        <f ca="1">IF(Configurações!$G$12="Ligado",IF(AI209&lt;=0,"Vazio",IF(Configurações!$G$11="Dia",IF(C209="",BAIXAS!AI209/(Configurações!$C$5),BAIXAS!AI209/(Configurações!$C$5+1)),BAIXAS!AI209/BAIXAS!A209)),"")</f>
        <v>1.878125</v>
      </c>
    </row>
    <row r="210" spans="1:104" ht="21">
      <c r="A210" s="67">
        <f ca="1">COUNT(INDEX($C:$AH,ROW(),1):INDEX($C:$AH,ROW(),$AI$3+1))</f>
        <v>14</v>
      </c>
      <c r="B210" s="106" t="str">
        <f>INDEX(Cadastro_Hortfrut[[#All],[Colunas4]],MATCH(ROW()-5,Cadastro_Hortfrut[[#All],[Colunas2]],0))</f>
        <v>Limão</v>
      </c>
      <c r="C210" s="193"/>
      <c r="D210" s="193"/>
      <c r="E210" s="193">
        <v>0.61499999999999999</v>
      </c>
      <c r="F210" s="193">
        <f>0.77+0.945+0.45</f>
        <v>2.165</v>
      </c>
      <c r="G210" s="193"/>
      <c r="H210" s="193">
        <f>0.345+1.31</f>
        <v>1.655</v>
      </c>
      <c r="I210" s="193">
        <f>0.42+1.085+0.58</f>
        <v>2.085</v>
      </c>
      <c r="J210" s="193"/>
      <c r="K210" s="193"/>
      <c r="L210" s="193"/>
      <c r="M210" s="193">
        <f>0.795+1.325+1.82</f>
        <v>3.9400000000000004</v>
      </c>
      <c r="N210" s="193">
        <f>0.185+1.27</f>
        <v>1.4550000000000001</v>
      </c>
      <c r="O210" s="193"/>
      <c r="P210" s="193"/>
      <c r="Q210" s="193"/>
      <c r="R210" s="405"/>
      <c r="S210" s="193">
        <v>1.21</v>
      </c>
      <c r="T210" s="193">
        <f>0.965+1.93</f>
        <v>2.895</v>
      </c>
      <c r="U210" s="193">
        <f>2.885+0.285</f>
        <v>3.17</v>
      </c>
      <c r="V210" s="193">
        <f>1.22+1.16</f>
        <v>2.38</v>
      </c>
      <c r="W210" s="193">
        <v>0.97</v>
      </c>
      <c r="X210" s="193">
        <v>0.22500000000000001</v>
      </c>
      <c r="Y210" s="193"/>
      <c r="Z210" s="193">
        <f>1.205+2.135</f>
        <v>3.34</v>
      </c>
      <c r="AA210" s="193">
        <v>3.0150000000000001</v>
      </c>
      <c r="AB210" s="193"/>
      <c r="AC210" s="193"/>
      <c r="AD210" s="193"/>
      <c r="AE210" s="193"/>
      <c r="AF210" s="193"/>
      <c r="AG210" s="193"/>
      <c r="AH210" s="193"/>
      <c r="AI210" s="107">
        <f ca="1">IF(Configurações!$G$10="Ligado",SUMIFS(C210:AH210,$C$4:$AH$4,"&lt;="&amp;Configurações!$C$5,$C$4:$AH$4,"&lt;="&amp;$AI$3),"")</f>
        <v>29.119999999999997</v>
      </c>
      <c r="AJ210" s="113">
        <f ca="1">IF(Configurações!$G$12="Ligado",IF(AI210&lt;=0,"Vazio",IF(Configurações!$G$11="Dia",IF(C210="",BAIXAS!AI210/(Configurações!$C$5),BAIXAS!AI210/(Configurações!$C$5+1)),BAIXAS!AI210/BAIXAS!A210)),"")</f>
        <v>1.2133333333333332</v>
      </c>
    </row>
    <row r="211" spans="1:104" ht="21">
      <c r="A211" s="67">
        <f ca="1">COUNT(INDEX($C:$AH,ROW(),1):INDEX($C:$AH,ROW(),$AI$3+1))</f>
        <v>0</v>
      </c>
      <c r="B211" s="106" t="str">
        <f>INDEX(Cadastro_Hortfrut[[#All],[Colunas4]],MATCH(ROW()-5,Cadastro_Hortfrut[[#All],[Colunas2]],0))</f>
        <v>Louro maço</v>
      </c>
      <c r="C211" s="193"/>
      <c r="D211" s="193"/>
      <c r="E211" s="193"/>
      <c r="F211" s="193"/>
      <c r="G211" s="193"/>
      <c r="H211" s="193"/>
      <c r="I211" s="193"/>
      <c r="J211" s="193"/>
      <c r="K211" s="193"/>
      <c r="L211" s="193"/>
      <c r="M211" s="193"/>
      <c r="N211" s="193"/>
      <c r="O211" s="193"/>
      <c r="P211" s="193"/>
      <c r="Q211" s="193"/>
      <c r="R211" s="405"/>
      <c r="S211" s="193"/>
      <c r="T211" s="193"/>
      <c r="U211" s="193"/>
      <c r="V211" s="193"/>
      <c r="W211" s="193"/>
      <c r="X211" s="193"/>
      <c r="Y211" s="193"/>
      <c r="Z211" s="193"/>
      <c r="AA211" s="193"/>
      <c r="AB211" s="193"/>
      <c r="AC211" s="193"/>
      <c r="AD211" s="193"/>
      <c r="AE211" s="193"/>
      <c r="AF211" s="193"/>
      <c r="AG211" s="193"/>
      <c r="AH211" s="193"/>
      <c r="AI211" s="107">
        <f ca="1">IF(Configurações!$G$10="Ligado",SUMIFS(C211:AH211,$C$4:$AH$4,"&lt;="&amp;Configurações!$C$5,$C$4:$AH$4,"&lt;="&amp;$AI$3),"")</f>
        <v>0</v>
      </c>
      <c r="AJ211" s="113" t="str">
        <f ca="1">IF(Configurações!$G$12="Ligado",IF(AI211&lt;=0,"Vazio",IF(Configurações!$G$11="Dia",IF(C211="",BAIXAS!AI211/(Configurações!$C$5),BAIXAS!AI211/(Configurações!$C$5+1)),BAIXAS!AI211/BAIXAS!A211)),"")</f>
        <v>Vazio</v>
      </c>
    </row>
    <row r="212" spans="1:104" ht="21">
      <c r="A212" s="67">
        <f ca="1">COUNT(INDEX($C:$AH,ROW(),1):INDEX($C:$AH,ROW(),$AI$3+1))</f>
        <v>7</v>
      </c>
      <c r="B212" s="106" t="str">
        <f>INDEX(Cadastro_Hortfrut[[#All],[Colunas4]],MATCH(ROW()-5,Cadastro_Hortfrut[[#All],[Colunas2]],0))</f>
        <v xml:space="preserve">Maçã </v>
      </c>
      <c r="C212" s="193"/>
      <c r="D212" s="193"/>
      <c r="E212" s="193"/>
      <c r="F212" s="193"/>
      <c r="G212" s="193">
        <v>0.115</v>
      </c>
      <c r="H212" s="193"/>
      <c r="I212" s="193">
        <v>2.27</v>
      </c>
      <c r="J212" s="193"/>
      <c r="K212" s="193"/>
      <c r="L212" s="193">
        <v>0.31</v>
      </c>
      <c r="M212" s="193"/>
      <c r="N212" s="193">
        <v>3.105</v>
      </c>
      <c r="O212" s="193"/>
      <c r="P212" s="193"/>
      <c r="Q212" s="193"/>
      <c r="R212" s="405"/>
      <c r="S212" s="193">
        <v>0.35</v>
      </c>
      <c r="T212" s="193"/>
      <c r="U212" s="193"/>
      <c r="V212" s="193">
        <v>2.1549999999999998</v>
      </c>
      <c r="W212" s="193"/>
      <c r="X212" s="193"/>
      <c r="Y212" s="193"/>
      <c r="Z212" s="193"/>
      <c r="AA212" s="193">
        <f>0.76+1.07+0.36</f>
        <v>2.19</v>
      </c>
      <c r="AB212" s="193"/>
      <c r="AC212" s="193"/>
      <c r="AD212" s="193"/>
      <c r="AE212" s="193"/>
      <c r="AF212" s="193"/>
      <c r="AG212" s="193"/>
      <c r="AH212" s="193"/>
      <c r="AI212" s="107">
        <f ca="1">IF(Configurações!$G$10="Ligado",SUMIFS(C212:AH212,$C$4:$AH$4,"&lt;="&amp;Configurações!$C$5,$C$4:$AH$4,"&lt;="&amp;$AI$3),"")</f>
        <v>10.494999999999999</v>
      </c>
      <c r="AJ212" s="113">
        <f ca="1">IF(Configurações!$G$12="Ligado",IF(AI212&lt;=0,"Vazio",IF(Configurações!$G$11="Dia",IF(C212="",BAIXAS!AI212/(Configurações!$C$5),BAIXAS!AI212/(Configurações!$C$5+1)),BAIXAS!AI212/BAIXAS!A212)),"")</f>
        <v>0.43729166666666663</v>
      </c>
    </row>
    <row r="213" spans="1:104" ht="21">
      <c r="A213" s="67">
        <f ca="1">COUNT(INDEX($C:$AH,ROW(),1):INDEX($C:$AH,ROW(),$AI$3+1))</f>
        <v>0</v>
      </c>
      <c r="B213" s="106" t="str">
        <f>INDEX(Cadastro_Hortfrut[[#All],[Colunas4]],MATCH(ROW()-5,Cadastro_Hortfrut[[#All],[Colunas2]],0))</f>
        <v>Mamão Formosa</v>
      </c>
      <c r="C213" s="193"/>
      <c r="D213" s="193"/>
      <c r="E213" s="193"/>
      <c r="F213" s="193"/>
      <c r="G213" s="193"/>
      <c r="H213" s="193"/>
      <c r="I213" s="193"/>
      <c r="J213" s="193"/>
      <c r="K213" s="193"/>
      <c r="L213" s="193"/>
      <c r="M213" s="193"/>
      <c r="N213" s="193"/>
      <c r="O213" s="193"/>
      <c r="P213" s="193"/>
      <c r="Q213" s="193"/>
      <c r="R213" s="405"/>
      <c r="S213" s="193"/>
      <c r="T213" s="193"/>
      <c r="U213" s="193"/>
      <c r="V213" s="193"/>
      <c r="W213" s="193"/>
      <c r="X213" s="193"/>
      <c r="Y213" s="193"/>
      <c r="Z213" s="193"/>
      <c r="AA213" s="193"/>
      <c r="AB213" s="193"/>
      <c r="AC213" s="193"/>
      <c r="AD213" s="193"/>
      <c r="AE213" s="193"/>
      <c r="AF213" s="193"/>
      <c r="AG213" s="193"/>
      <c r="AH213" s="193"/>
      <c r="AI213" s="107">
        <f ca="1">IF(Configurações!$G$10="Ligado",SUMIFS(C213:AH213,$C$4:$AH$4,"&lt;="&amp;Configurações!$C$5,$C$4:$AH$4,"&lt;="&amp;$AI$3),"")</f>
        <v>0</v>
      </c>
      <c r="AJ213" s="113" t="str">
        <f ca="1">IF(Configurações!$G$12="Ligado",IF(AI213&lt;=0,"Vazio",IF(Configurações!$G$11="Dia",IF(C213="",BAIXAS!AI213/(Configurações!$C$5),BAIXAS!AI213/(Configurações!$C$5+1)),BAIXAS!AI213/BAIXAS!A213)),"")</f>
        <v>Vazio</v>
      </c>
    </row>
    <row r="214" spans="1:104" ht="21">
      <c r="A214" s="67">
        <f ca="1">COUNT(INDEX($C:$AH,ROW(),1):INDEX($C:$AH,ROW(),$AI$3+1))</f>
        <v>15</v>
      </c>
      <c r="B214" s="106" t="str">
        <f>INDEX(Cadastro_Hortfrut[[#All],[Colunas4]],MATCH(ROW()-5,Cadastro_Hortfrut[[#All],[Colunas2]],0))</f>
        <v>Mamão Papaya</v>
      </c>
      <c r="C214" s="193"/>
      <c r="D214" s="193"/>
      <c r="E214" s="193"/>
      <c r="F214" s="193">
        <v>3</v>
      </c>
      <c r="G214" s="193">
        <v>6</v>
      </c>
      <c r="H214" s="193">
        <v>7</v>
      </c>
      <c r="I214" s="193">
        <v>2</v>
      </c>
      <c r="J214" s="193">
        <v>5</v>
      </c>
      <c r="K214" s="193"/>
      <c r="L214" s="193"/>
      <c r="M214" s="193">
        <v>5</v>
      </c>
      <c r="N214" s="193">
        <v>3</v>
      </c>
      <c r="O214" s="193">
        <v>8</v>
      </c>
      <c r="P214" s="193">
        <v>8</v>
      </c>
      <c r="Q214" s="193"/>
      <c r="R214" s="405"/>
      <c r="S214" s="193">
        <v>2</v>
      </c>
      <c r="T214" s="193">
        <v>4</v>
      </c>
      <c r="U214" s="193">
        <v>4</v>
      </c>
      <c r="V214" s="193">
        <v>6</v>
      </c>
      <c r="W214" s="193">
        <v>8</v>
      </c>
      <c r="X214" s="193"/>
      <c r="Y214" s="193"/>
      <c r="Z214" s="193"/>
      <c r="AA214" s="193">
        <v>15</v>
      </c>
      <c r="AB214" s="193"/>
      <c r="AC214" s="193"/>
      <c r="AD214" s="193"/>
      <c r="AE214" s="193"/>
      <c r="AF214" s="193"/>
      <c r="AG214" s="193"/>
      <c r="AH214" s="193"/>
      <c r="AI214" s="107">
        <f ca="1">IF(Configurações!$G$10="Ligado",SUMIFS(C214:AH214,$C$4:$AH$4,"&lt;="&amp;Configurações!$C$5,$C$4:$AH$4,"&lt;="&amp;$AI$3),"")</f>
        <v>86</v>
      </c>
      <c r="AJ214" s="113">
        <f ca="1">IF(Configurações!$G$12="Ligado",IF(AI214&lt;=0,"Vazio",IF(Configurações!$G$11="Dia",IF(C214="",BAIXAS!AI214/(Configurações!$C$5),BAIXAS!AI214/(Configurações!$C$5+1)),BAIXAS!AI214/BAIXAS!A214)),"")</f>
        <v>3.5833333333333335</v>
      </c>
    </row>
    <row r="215" spans="1:104" ht="21">
      <c r="A215" s="67">
        <f ca="1">COUNT(INDEX($C:$AH,ROW(),1):INDEX($C:$AH,ROW(),$AI$3+1))</f>
        <v>0</v>
      </c>
      <c r="B215" s="106" t="str">
        <f>INDEX(Cadastro_Hortfrut[[#All],[Colunas4]],MATCH(ROW()-5,Cadastro_Hortfrut[[#All],[Colunas2]],0))</f>
        <v xml:space="preserve">Mandioca </v>
      </c>
      <c r="C215" s="193"/>
      <c r="D215" s="193"/>
      <c r="E215" s="193"/>
      <c r="F215" s="193"/>
      <c r="G215" s="193"/>
      <c r="H215" s="193"/>
      <c r="I215" s="193"/>
      <c r="J215" s="193"/>
      <c r="K215" s="193"/>
      <c r="L215" s="193"/>
      <c r="M215" s="193"/>
      <c r="N215" s="193"/>
      <c r="O215" s="193"/>
      <c r="P215" s="193"/>
      <c r="Q215" s="193"/>
      <c r="R215" s="405"/>
      <c r="S215" s="193"/>
      <c r="T215" s="193"/>
      <c r="U215" s="193"/>
      <c r="V215" s="193"/>
      <c r="W215" s="193"/>
      <c r="X215" s="193"/>
      <c r="Y215" s="193"/>
      <c r="Z215" s="193"/>
      <c r="AA215" s="193"/>
      <c r="AB215" s="193"/>
      <c r="AC215" s="193"/>
      <c r="AD215" s="193"/>
      <c r="AE215" s="193"/>
      <c r="AF215" s="193"/>
      <c r="AG215" s="193"/>
      <c r="AH215" s="193"/>
      <c r="AI215" s="107">
        <f ca="1">IF(Configurações!$G$10="Ligado",SUMIFS(C215:AH215,$C$4:$AH$4,"&lt;="&amp;Configurações!$C$5,$C$4:$AH$4,"&lt;="&amp;$AI$3),"")</f>
        <v>0</v>
      </c>
      <c r="AJ215" s="113" t="str">
        <f ca="1">IF(Configurações!$G$12="Ligado",IF(AI215&lt;=0,"Vazio",IF(Configurações!$G$11="Dia",IF(C215="",BAIXAS!AI215/(Configurações!$C$5),BAIXAS!AI215/(Configurações!$C$5+1)),BAIXAS!AI215/BAIXAS!A215)),"")</f>
        <v>Vazio</v>
      </c>
    </row>
    <row r="216" spans="1:104" ht="21">
      <c r="A216" s="67">
        <f ca="1">COUNT(INDEX($C:$AH,ROW(),1):INDEX($C:$AH,ROW(),$AI$3+1))</f>
        <v>0</v>
      </c>
      <c r="B216" s="106" t="str">
        <f>INDEX(Cadastro_Hortfrut[[#All],[Colunas4]],MATCH(ROW()-5,Cadastro_Hortfrut[[#All],[Colunas2]],0))</f>
        <v>Mandioquinha</v>
      </c>
      <c r="C216" s="193"/>
      <c r="D216" s="193"/>
      <c r="E216" s="193"/>
      <c r="F216" s="193"/>
      <c r="G216" s="193"/>
      <c r="H216" s="193"/>
      <c r="I216" s="193"/>
      <c r="J216" s="193"/>
      <c r="K216" s="193"/>
      <c r="L216" s="193"/>
      <c r="M216" s="193"/>
      <c r="N216" s="193"/>
      <c r="O216" s="193"/>
      <c r="P216" s="193"/>
      <c r="Q216" s="193"/>
      <c r="R216" s="405"/>
      <c r="S216" s="193"/>
      <c r="T216" s="193"/>
      <c r="U216" s="193"/>
      <c r="V216" s="193"/>
      <c r="W216" s="193"/>
      <c r="X216" s="193"/>
      <c r="Y216" s="193"/>
      <c r="Z216" s="193"/>
      <c r="AA216" s="193"/>
      <c r="AB216" s="193"/>
      <c r="AC216" s="193"/>
      <c r="AD216" s="193"/>
      <c r="AE216" s="193"/>
      <c r="AF216" s="193"/>
      <c r="AG216" s="193"/>
      <c r="AH216" s="193"/>
      <c r="AI216" s="107">
        <f ca="1">IF(Configurações!$G$10="Ligado",SUMIFS(C216:AH216,$C$4:$AH$4,"&lt;="&amp;Configurações!$C$5,$C$4:$AH$4,"&lt;="&amp;$AI$3),"")</f>
        <v>0</v>
      </c>
      <c r="AJ216" s="113" t="str">
        <f ca="1">IF(Configurações!$G$12="Ligado",IF(AI216&lt;=0,"Vazio",IF(Configurações!$G$11="Dia",IF(C216="",BAIXAS!AI216/(Configurações!$C$5),BAIXAS!AI216/(Configurações!$C$5+1)),BAIXAS!AI216/BAIXAS!A216)),"")</f>
        <v>Vazio</v>
      </c>
    </row>
    <row r="217" spans="1:104" ht="21">
      <c r="A217" s="67">
        <f ca="1">COUNT(INDEX($C:$AH,ROW(),1):INDEX($C:$AH,ROW(),$AI$3+1))</f>
        <v>11</v>
      </c>
      <c r="B217" s="106" t="str">
        <f>INDEX(Cadastro_Hortfrut[[#All],[Colunas4]],MATCH(ROW()-5,Cadastro_Hortfrut[[#All],[Colunas2]],0))</f>
        <v xml:space="preserve">Manga </v>
      </c>
      <c r="C217" s="193"/>
      <c r="D217" s="193"/>
      <c r="E217" s="193"/>
      <c r="F217" s="193">
        <v>6.79</v>
      </c>
      <c r="G217" s="193"/>
      <c r="H217" s="193">
        <v>0.47499999999999998</v>
      </c>
      <c r="I217" s="193"/>
      <c r="J217" s="193">
        <f>0.37+0.4</f>
        <v>0.77</v>
      </c>
      <c r="K217" s="193"/>
      <c r="L217" s="193">
        <f>0.49+4.2</f>
        <v>4.6900000000000004</v>
      </c>
      <c r="M217" s="193"/>
      <c r="N217" s="193"/>
      <c r="O217" s="193">
        <f>0.765+1.265</f>
        <v>2.0299999999999998</v>
      </c>
      <c r="P217" s="193"/>
      <c r="Q217" s="193">
        <v>1.33</v>
      </c>
      <c r="R217" s="405"/>
      <c r="S217" s="193">
        <v>6.0449999999999999</v>
      </c>
      <c r="T217" s="193">
        <v>1.1850000000000001</v>
      </c>
      <c r="U217" s="193">
        <v>0.32</v>
      </c>
      <c r="V217" s="193"/>
      <c r="W217" s="193">
        <v>0.505</v>
      </c>
      <c r="X217" s="193"/>
      <c r="Y217" s="193"/>
      <c r="Z217" s="193"/>
      <c r="AA217" s="193">
        <v>5.39</v>
      </c>
      <c r="AB217" s="193"/>
      <c r="AC217" s="193"/>
      <c r="AD217" s="193"/>
      <c r="AE217" s="193"/>
      <c r="AF217" s="193"/>
      <c r="AG217" s="193"/>
      <c r="AH217" s="193"/>
      <c r="AI217" s="107">
        <f ca="1">IF(Configurações!$G$10="Ligado",SUMIFS(C217:AH217,$C$4:$AH$4,"&lt;="&amp;Configurações!$C$5,$C$4:$AH$4,"&lt;="&amp;$AI$3),"")</f>
        <v>29.53</v>
      </c>
      <c r="AJ217" s="113">
        <f ca="1">IF(Configurações!$G$12="Ligado",IF(AI217&lt;=0,"Vazio",IF(Configurações!$G$11="Dia",IF(C217="",BAIXAS!AI217/(Configurações!$C$5),BAIXAS!AI217/(Configurações!$C$5+1)),BAIXAS!AI217/BAIXAS!A217)),"")</f>
        <v>1.2304166666666667</v>
      </c>
    </row>
    <row r="218" spans="1:104" ht="21">
      <c r="A218" s="67">
        <f ca="1">COUNT(INDEX($C:$AH,ROW(),1):INDEX($C:$AH,ROW(),$AI$3+1))</f>
        <v>0</v>
      </c>
      <c r="B218" s="106" t="str">
        <f>INDEX(Cadastro_Hortfrut[[#All],[Colunas4]],MATCH(ROW()-5,Cadastro_Hortfrut[[#All],[Colunas2]],0))</f>
        <v>Maracujá</v>
      </c>
      <c r="C218" s="193"/>
      <c r="D218" s="193"/>
      <c r="E218" s="193"/>
      <c r="F218" s="193"/>
      <c r="G218" s="193"/>
      <c r="H218" s="193"/>
      <c r="I218" s="193"/>
      <c r="J218" s="193"/>
      <c r="K218" s="193"/>
      <c r="L218" s="193"/>
      <c r="M218" s="193"/>
      <c r="N218" s="193"/>
      <c r="O218" s="193"/>
      <c r="P218" s="193"/>
      <c r="Q218" s="193"/>
      <c r="R218" s="405"/>
      <c r="S218" s="193"/>
      <c r="T218" s="193"/>
      <c r="U218" s="193"/>
      <c r="V218" s="193"/>
      <c r="W218" s="193"/>
      <c r="X218" s="193"/>
      <c r="Y218" s="193"/>
      <c r="Z218" s="193"/>
      <c r="AA218" s="193"/>
      <c r="AB218" s="193"/>
      <c r="AC218" s="193"/>
      <c r="AD218" s="193"/>
      <c r="AE218" s="193"/>
      <c r="AF218" s="193"/>
      <c r="AG218" s="193"/>
      <c r="AH218" s="193"/>
      <c r="AI218" s="107">
        <f ca="1">IF(Configurações!$G$10="Ligado",SUMIFS(C218:AH218,$C$4:$AH$4,"&lt;="&amp;Configurações!$C$5,$C$4:$AH$4,"&lt;="&amp;$AI$3),"")</f>
        <v>0</v>
      </c>
      <c r="AJ218" s="113" t="str">
        <f ca="1">IF(Configurações!$G$12="Ligado",IF(AI218&lt;=0,"Vazio",IF(Configurações!$G$11="Dia",IF(C218="",BAIXAS!AI218/(Configurações!$C$5),BAIXAS!AI218/(Configurações!$C$5+1)),BAIXAS!AI218/BAIXAS!A218)),"")</f>
        <v>Vazio</v>
      </c>
    </row>
    <row r="219" spans="1:104" ht="21">
      <c r="A219" s="67">
        <f ca="1">COUNT(INDEX($C:$AH,ROW(),1):INDEX($C:$AH,ROW(),$AI$3+1))</f>
        <v>6</v>
      </c>
      <c r="B219" s="106" t="str">
        <f>INDEX(Cadastro_Hortfrut[[#All],[Colunas4]],MATCH(ROW()-5,Cadastro_Hortfrut[[#All],[Colunas2]],0))</f>
        <v>Melancia</v>
      </c>
      <c r="C219" s="193"/>
      <c r="D219" s="193"/>
      <c r="E219" s="193"/>
      <c r="F219" s="193"/>
      <c r="G219" s="193">
        <v>1</v>
      </c>
      <c r="H219" s="193"/>
      <c r="I219" s="193">
        <v>1</v>
      </c>
      <c r="J219" s="193"/>
      <c r="K219" s="193"/>
      <c r="L219" s="193"/>
      <c r="M219" s="193"/>
      <c r="N219" s="193"/>
      <c r="O219" s="193"/>
      <c r="P219" s="193">
        <v>1</v>
      </c>
      <c r="Q219" s="193"/>
      <c r="R219" s="405"/>
      <c r="S219" s="193"/>
      <c r="T219" s="193"/>
      <c r="U219" s="193"/>
      <c r="V219" s="193"/>
      <c r="W219" s="193">
        <v>2</v>
      </c>
      <c r="X219" s="193">
        <v>1</v>
      </c>
      <c r="Y219" s="193"/>
      <c r="Z219" s="193"/>
      <c r="AA219" s="193">
        <v>1</v>
      </c>
      <c r="AB219" s="193"/>
      <c r="AC219" s="193"/>
      <c r="AD219" s="193"/>
      <c r="AE219" s="193"/>
      <c r="AF219" s="193"/>
      <c r="AG219" s="193"/>
      <c r="AH219" s="193"/>
      <c r="AI219" s="107">
        <f ca="1">IF(Configurações!$G$10="Ligado",SUMIFS(C219:AH219,$C$4:$AH$4,"&lt;="&amp;Configurações!$C$5,$C$4:$AH$4,"&lt;="&amp;$AI$3),"")</f>
        <v>7</v>
      </c>
      <c r="AJ219" s="113">
        <f ca="1">IF(Configurações!$G$12="Ligado",IF(AI219&lt;=0,"Vazio",IF(Configurações!$G$11="Dia",IF(C219="",BAIXAS!AI219/(Configurações!$C$5),BAIXAS!AI219/(Configurações!$C$5+1)),BAIXAS!AI219/BAIXAS!A219)),"")</f>
        <v>0.29166666666666669</v>
      </c>
    </row>
    <row r="220" spans="1:104" ht="21">
      <c r="A220" s="67">
        <f ca="1">COUNT(INDEX($C:$AH,ROW(),1):INDEX($C:$AH,ROW(),$AI$3+1))</f>
        <v>4</v>
      </c>
      <c r="B220" s="106" t="str">
        <f>INDEX(Cadastro_Hortfrut[[#All],[Colunas4]],MATCH(ROW()-5,Cadastro_Hortfrut[[#All],[Colunas2]],0))</f>
        <v xml:space="preserve">Melão </v>
      </c>
      <c r="C220" s="193"/>
      <c r="D220" s="193"/>
      <c r="E220" s="193"/>
      <c r="F220" s="193"/>
      <c r="G220" s="193"/>
      <c r="H220" s="193"/>
      <c r="I220" s="193"/>
      <c r="J220" s="193"/>
      <c r="K220" s="193"/>
      <c r="L220" s="193"/>
      <c r="M220" s="193"/>
      <c r="N220" s="193"/>
      <c r="O220" s="193"/>
      <c r="P220" s="193">
        <v>3</v>
      </c>
      <c r="Q220" s="193"/>
      <c r="R220" s="405"/>
      <c r="S220" s="193"/>
      <c r="T220" s="193"/>
      <c r="U220" s="193">
        <v>3</v>
      </c>
      <c r="V220" s="193"/>
      <c r="W220" s="193">
        <v>2</v>
      </c>
      <c r="X220" s="193"/>
      <c r="Y220" s="193"/>
      <c r="Z220" s="193"/>
      <c r="AA220" s="193">
        <v>1</v>
      </c>
      <c r="AB220" s="193"/>
      <c r="AC220" s="193"/>
      <c r="AD220" s="193"/>
      <c r="AE220" s="193"/>
      <c r="AF220" s="193"/>
      <c r="AG220" s="193"/>
      <c r="AH220" s="193"/>
      <c r="AI220" s="107">
        <f ca="1">IF(Configurações!$G$10="Ligado",SUMIFS(C220:AH220,$C$4:$AH$4,"&lt;="&amp;Configurações!$C$5,$C$4:$AH$4,"&lt;="&amp;$AI$3),"")</f>
        <v>9</v>
      </c>
      <c r="AJ220" s="113">
        <f ca="1">IF(Configurações!$G$12="Ligado",IF(AI220&lt;=0,"Vazio",IF(Configurações!$G$11="Dia",IF(C220="",BAIXAS!AI220/(Configurações!$C$5),BAIXAS!AI220/(Configurações!$C$5+1)),BAIXAS!AI220/BAIXAS!A220)),"")</f>
        <v>0.375</v>
      </c>
    </row>
    <row r="221" spans="1:104" ht="21">
      <c r="A221" s="67">
        <f ca="1">COUNT(INDEX($C:$AH,ROW(),1):INDEX($C:$AH,ROW(),$AI$3+1))</f>
        <v>0</v>
      </c>
      <c r="B221" s="106" t="str">
        <f>INDEX(Cadastro_Hortfrut[[#All],[Colunas4]],MATCH(ROW()-5,Cadastro_Hortfrut[[#All],[Colunas2]],0))</f>
        <v xml:space="preserve">Mexerica </v>
      </c>
      <c r="C221" s="193"/>
      <c r="D221" s="193"/>
      <c r="E221" s="193"/>
      <c r="F221" s="193"/>
      <c r="G221" s="193"/>
      <c r="H221" s="193"/>
      <c r="I221" s="193"/>
      <c r="J221" s="193"/>
      <c r="K221" s="193"/>
      <c r="L221" s="193"/>
      <c r="M221" s="193"/>
      <c r="N221" s="193"/>
      <c r="O221" s="193"/>
      <c r="P221" s="193"/>
      <c r="Q221" s="193"/>
      <c r="R221" s="405"/>
      <c r="S221" s="193"/>
      <c r="T221" s="193"/>
      <c r="U221" s="193"/>
      <c r="V221" s="193"/>
      <c r="W221" s="193"/>
      <c r="X221" s="193"/>
      <c r="Y221" s="193"/>
      <c r="Z221" s="193"/>
      <c r="AA221" s="193"/>
      <c r="AB221" s="193"/>
      <c r="AC221" s="193"/>
      <c r="AD221" s="193"/>
      <c r="AE221" s="193"/>
      <c r="AF221" s="193"/>
      <c r="AG221" s="193"/>
      <c r="AH221" s="193"/>
      <c r="AI221" s="107">
        <f ca="1">IF(Configurações!$G$10="Ligado",SUMIFS(C221:AH221,$C$4:$AH$4,"&lt;="&amp;Configurações!$C$5,$C$4:$AH$4,"&lt;="&amp;$AI$3),"")</f>
        <v>0</v>
      </c>
      <c r="AJ221" s="113" t="str">
        <f ca="1">IF(Configurações!$G$12="Ligado",IF(AI221&lt;=0,"Vazio",IF(Configurações!$G$11="Dia",IF(C221="",BAIXAS!AI221/(Configurações!$C$5),BAIXAS!AI221/(Configurações!$C$5+1)),BAIXAS!AI221/BAIXAS!A221)),"")</f>
        <v>Vazio</v>
      </c>
    </row>
    <row r="222" spans="1:104" ht="21">
      <c r="A222" s="67">
        <f ca="1">COUNT(INDEX($C:$AH,ROW(),1):INDEX($C:$AH,ROW(),$AI$3+1))</f>
        <v>0</v>
      </c>
      <c r="B222" s="106" t="str">
        <f>INDEX(Cadastro_Hortfrut[[#All],[Colunas4]],MATCH(ROW()-5,Cadastro_Hortfrut[[#All],[Colunas2]],0))</f>
        <v xml:space="preserve">Morango </v>
      </c>
      <c r="C222" s="193"/>
      <c r="D222" s="193"/>
      <c r="E222" s="193"/>
      <c r="F222" s="193"/>
      <c r="G222" s="193"/>
      <c r="H222" s="193"/>
      <c r="I222" s="193"/>
      <c r="J222" s="193"/>
      <c r="K222" s="193"/>
      <c r="L222" s="193"/>
      <c r="M222" s="193"/>
      <c r="N222" s="193"/>
      <c r="O222" s="193"/>
      <c r="P222" s="193"/>
      <c r="Q222" s="193"/>
      <c r="R222" s="405"/>
      <c r="S222" s="193"/>
      <c r="T222" s="193"/>
      <c r="U222" s="193"/>
      <c r="V222" s="193"/>
      <c r="W222" s="193"/>
      <c r="X222" s="193"/>
      <c r="Y222" s="193"/>
      <c r="Z222" s="193"/>
      <c r="AA222" s="193"/>
      <c r="AB222" s="193"/>
      <c r="AC222" s="193"/>
      <c r="AD222" s="193"/>
      <c r="AE222" s="193"/>
      <c r="AF222" s="193"/>
      <c r="AG222" s="193"/>
      <c r="AH222" s="193"/>
      <c r="AI222" s="107">
        <f ca="1">IF(Configurações!$G$10="Ligado",SUMIFS(C222:AH222,$C$4:$AH$4,"&lt;="&amp;Configurações!$C$5,$C$4:$AH$4,"&lt;="&amp;$AI$3),"")</f>
        <v>0</v>
      </c>
      <c r="AJ222" s="113" t="str">
        <f ca="1">IF(Configurações!$G$12="Ligado",IF(AI222&lt;=0,"Vazio",IF(Configurações!$G$11="Dia",IF(C222="",BAIXAS!AI222/(Configurações!$C$5),BAIXAS!AI222/(Configurações!$C$5+1)),BAIXAS!AI222/BAIXAS!A222)),"")</f>
        <v>Vazio</v>
      </c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</row>
    <row r="223" spans="1:104" ht="21">
      <c r="A223" s="67">
        <f ca="1">COUNT(INDEX($C:$AH,ROW(),1):INDEX($C:$AH,ROW(),$AI$3+1))</f>
        <v>0</v>
      </c>
      <c r="B223" s="106" t="str">
        <f>INDEX(Cadastro_Hortfrut[[#All],[Colunas4]],MATCH(ROW()-5,Cadastro_Hortfrut[[#All],[Colunas2]],0))</f>
        <v>Nabo</v>
      </c>
      <c r="C223" s="193"/>
      <c r="D223" s="193"/>
      <c r="E223" s="193"/>
      <c r="F223" s="193"/>
      <c r="G223" s="193"/>
      <c r="H223" s="193"/>
      <c r="I223" s="193"/>
      <c r="J223" s="193"/>
      <c r="K223" s="193"/>
      <c r="L223" s="193"/>
      <c r="M223" s="193"/>
      <c r="N223" s="193"/>
      <c r="O223" s="193"/>
      <c r="P223" s="193"/>
      <c r="Q223" s="193"/>
      <c r="R223" s="405"/>
      <c r="S223" s="193"/>
      <c r="T223" s="193"/>
      <c r="U223" s="193"/>
      <c r="V223" s="193"/>
      <c r="W223" s="193"/>
      <c r="X223" s="193"/>
      <c r="Y223" s="193"/>
      <c r="Z223" s="193"/>
      <c r="AA223" s="193"/>
      <c r="AB223" s="193"/>
      <c r="AC223" s="193"/>
      <c r="AD223" s="193"/>
      <c r="AE223" s="193"/>
      <c r="AF223" s="193"/>
      <c r="AG223" s="193"/>
      <c r="AH223" s="193"/>
      <c r="AI223" s="107">
        <f ca="1">IF(Configurações!$G$10="Ligado",SUMIFS(C223:AH223,$C$4:$AH$4,"&lt;="&amp;Configurações!$C$5,$C$4:$AH$4,"&lt;="&amp;$AI$3),"")</f>
        <v>0</v>
      </c>
      <c r="AJ223" s="113" t="str">
        <f ca="1">IF(Configurações!$G$12="Ligado",IF(AI223&lt;=0,"Vazio",IF(Configurações!$G$11="Dia",IF(C223="",BAIXAS!AI223/(Configurações!$C$5),BAIXAS!AI223/(Configurações!$C$5+1)),BAIXAS!AI223/BAIXAS!A223)),"")</f>
        <v>Vazio</v>
      </c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  <c r="CO223" s="12"/>
      <c r="CP223" s="12"/>
      <c r="CQ223" s="12"/>
      <c r="CR223" s="12"/>
      <c r="CS223" s="12"/>
      <c r="CT223" s="12"/>
      <c r="CU223" s="12"/>
      <c r="CV223" s="12"/>
      <c r="CW223" s="12"/>
      <c r="CX223" s="12"/>
      <c r="CY223" s="12"/>
      <c r="CZ223" s="12"/>
    </row>
    <row r="224" spans="1:104" ht="21">
      <c r="A224" s="67">
        <f ca="1">COUNT(INDEX($C:$AH,ROW(),1):INDEX($C:$AH,ROW(),$AI$3+1))</f>
        <v>18</v>
      </c>
      <c r="B224" s="106" t="str">
        <f>INDEX(Cadastro_Hortfrut[[#All],[Colunas4]],MATCH(ROW()-5,Cadastro_Hortfrut[[#All],[Colunas2]],0))</f>
        <v xml:space="preserve">Ovos </v>
      </c>
      <c r="C224" s="193"/>
      <c r="D224" s="193"/>
      <c r="E224" s="193">
        <v>30</v>
      </c>
      <c r="F224" s="193">
        <v>40</v>
      </c>
      <c r="G224" s="193">
        <v>60</v>
      </c>
      <c r="H224" s="193">
        <v>80</v>
      </c>
      <c r="I224" s="193">
        <v>60</v>
      </c>
      <c r="J224" s="193">
        <v>60</v>
      </c>
      <c r="K224" s="193"/>
      <c r="L224" s="193">
        <v>60</v>
      </c>
      <c r="M224" s="193">
        <v>63</v>
      </c>
      <c r="N224" s="193">
        <v>80</v>
      </c>
      <c r="O224" s="193"/>
      <c r="P224" s="193">
        <v>121</v>
      </c>
      <c r="Q224" s="193">
        <v>30</v>
      </c>
      <c r="R224" s="405"/>
      <c r="S224" s="193">
        <v>62</v>
      </c>
      <c r="T224" s="193">
        <v>30</v>
      </c>
      <c r="U224" s="193">
        <v>12</v>
      </c>
      <c r="V224" s="193">
        <v>60</v>
      </c>
      <c r="W224" s="193">
        <v>90</v>
      </c>
      <c r="X224" s="193"/>
      <c r="Y224" s="193"/>
      <c r="Z224" s="193">
        <v>19</v>
      </c>
      <c r="AA224" s="193">
        <v>30</v>
      </c>
      <c r="AB224" s="193"/>
      <c r="AC224" s="193"/>
      <c r="AD224" s="193"/>
      <c r="AE224" s="193"/>
      <c r="AF224" s="193"/>
      <c r="AG224" s="193"/>
      <c r="AH224" s="193"/>
      <c r="AI224" s="107">
        <f ca="1">IF(Configurações!$G$10="Ligado",SUMIFS(C224:AH224,$C$4:$AH$4,"&lt;="&amp;Configurações!$C$5,$C$4:$AH$4,"&lt;="&amp;$AI$3),"")</f>
        <v>987</v>
      </c>
      <c r="AJ224" s="113">
        <f ca="1">IF(Configurações!$G$12="Ligado",IF(AI224&lt;=0,"Vazio",IF(Configurações!$G$11="Dia",IF(C224="",BAIXAS!AI224/(Configurações!$C$5),BAIXAS!AI224/(Configurações!$C$5+1)),BAIXAS!AI224/BAIXAS!A224)),"")</f>
        <v>41.125</v>
      </c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  <c r="CO224" s="12"/>
      <c r="CP224" s="12"/>
      <c r="CQ224" s="12"/>
      <c r="CR224" s="12"/>
      <c r="CS224" s="12"/>
      <c r="CT224" s="12"/>
      <c r="CU224" s="12"/>
      <c r="CV224" s="12"/>
      <c r="CW224" s="12"/>
      <c r="CX224" s="12"/>
      <c r="CY224" s="12"/>
      <c r="CZ224" s="12"/>
    </row>
    <row r="225" spans="1:104" ht="21">
      <c r="A225" s="128">
        <f ca="1">COUNT(INDEX($C:$AH,ROW(),1):INDEX($C:$AH,ROW(),$AI$3+1))</f>
        <v>12</v>
      </c>
      <c r="B225" s="126" t="str">
        <f>INDEX(Cadastro_Hortfrut[[#All],[Colunas4]],MATCH(ROW()-5,Cadastro_Hortfrut[[#All],[Colunas2]],0))</f>
        <v>Pepino</v>
      </c>
      <c r="C225" s="193"/>
      <c r="D225" s="193"/>
      <c r="E225" s="193">
        <v>1.1499999999999999</v>
      </c>
      <c r="F225" s="193"/>
      <c r="G225" s="193">
        <v>0.39</v>
      </c>
      <c r="H225" s="193">
        <f>0.69+0.595+0.915</f>
        <v>2.2000000000000002</v>
      </c>
      <c r="I225" s="193"/>
      <c r="J225" s="193"/>
      <c r="K225" s="193"/>
      <c r="L225" s="193"/>
      <c r="M225" s="193">
        <v>0.39500000000000002</v>
      </c>
      <c r="N225" s="193">
        <v>1.2849999999999999</v>
      </c>
      <c r="O225" s="193">
        <v>1.3049999999999999</v>
      </c>
      <c r="P225" s="193">
        <v>0.66</v>
      </c>
      <c r="Q225" s="193"/>
      <c r="R225" s="405"/>
      <c r="S225" s="193"/>
      <c r="T225" s="193"/>
      <c r="U225" s="193">
        <v>0.28499999999999998</v>
      </c>
      <c r="V225" s="193">
        <v>0.64500000000000002</v>
      </c>
      <c r="W225" s="193">
        <v>0.96499999999999997</v>
      </c>
      <c r="X225" s="193">
        <v>6.6150000000000002</v>
      </c>
      <c r="Y225" s="193"/>
      <c r="Z225" s="193"/>
      <c r="AA225" s="193">
        <f>0.875+0.445</f>
        <v>1.32</v>
      </c>
      <c r="AB225" s="193"/>
      <c r="AC225" s="193"/>
      <c r="AD225" s="193"/>
      <c r="AE225" s="193"/>
      <c r="AF225" s="193"/>
      <c r="AG225" s="193"/>
      <c r="AH225" s="193"/>
      <c r="AI225" s="129">
        <f ca="1">IF(Configurações!$G$10="Ligado",SUMIFS(C225:AH225,$C$4:$AH$4,"&lt;="&amp;Configurações!$C$5,$C$4:$AH$4,"&lt;="&amp;$AI$3),"")</f>
        <v>17.215</v>
      </c>
      <c r="AJ225" s="130">
        <f ca="1">IF(Configurações!$G$12="Ligado",IF(AI225&lt;=0,"Vazio",IF(Configurações!$G$11="Dia",IF(C225="",BAIXAS!AI225/(Configurações!$C$5),BAIXAS!AI225/(Configurações!$C$5+1)),BAIXAS!AI225/BAIXAS!A225)),"")</f>
        <v>0.71729166666666666</v>
      </c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  <c r="CO225" s="12"/>
      <c r="CP225" s="12"/>
      <c r="CQ225" s="12"/>
      <c r="CR225" s="12"/>
      <c r="CS225" s="12"/>
      <c r="CT225" s="12"/>
      <c r="CU225" s="12"/>
      <c r="CV225" s="12"/>
      <c r="CW225" s="12"/>
      <c r="CX225" s="12"/>
      <c r="CY225" s="12"/>
      <c r="CZ225" s="12"/>
    </row>
    <row r="226" spans="1:104" ht="21">
      <c r="A226" s="128">
        <f ca="1">COUNT(INDEX($C:$AH,ROW(),1):INDEX($C:$AH,ROW(),$AI$3+1))</f>
        <v>1</v>
      </c>
      <c r="B226" s="126" t="str">
        <f>INDEX(Cadastro_Hortfrut[[#All],[Colunas4]],MATCH(ROW()-5,Cadastro_Hortfrut[[#All],[Colunas2]],0))</f>
        <v>Pessego</v>
      </c>
      <c r="C226" s="193"/>
      <c r="D226" s="193"/>
      <c r="E226" s="193"/>
      <c r="F226" s="193"/>
      <c r="G226" s="193"/>
      <c r="H226" s="193"/>
      <c r="I226" s="193"/>
      <c r="J226" s="193"/>
      <c r="K226" s="193"/>
      <c r="L226" s="193"/>
      <c r="M226" s="193"/>
      <c r="N226" s="193"/>
      <c r="O226" s="193"/>
      <c r="P226" s="193"/>
      <c r="Q226" s="193"/>
      <c r="R226" s="405"/>
      <c r="S226" s="193"/>
      <c r="T226" s="193"/>
      <c r="U226" s="193"/>
      <c r="V226" s="193"/>
      <c r="W226" s="193"/>
      <c r="X226" s="193"/>
      <c r="Y226" s="193"/>
      <c r="Z226" s="193"/>
      <c r="AA226" s="193">
        <v>2</v>
      </c>
      <c r="AB226" s="193"/>
      <c r="AC226" s="193"/>
      <c r="AD226" s="193"/>
      <c r="AE226" s="193"/>
      <c r="AF226" s="193"/>
      <c r="AG226" s="193"/>
      <c r="AH226" s="193"/>
      <c r="AI226" s="129">
        <f ca="1">IF(Configurações!$G$10="Ligado",SUMIFS(C226:AH226,$C$4:$AH$4,"&lt;="&amp;Configurações!$C$5,$C$4:$AH$4,"&lt;="&amp;$AI$3),"")</f>
        <v>2</v>
      </c>
      <c r="AJ226" s="130">
        <f ca="1">IF(Configurações!$G$12="Ligado",IF(AI226&lt;=0,"Vazio",IF(Configurações!$G$11="Dia",IF(C226="",BAIXAS!AI226/(Configurações!$C$5),BAIXAS!AI226/(Configurações!$C$5+1)),BAIXAS!AI226/BAIXAS!A226)),"")</f>
        <v>8.3333333333333329E-2</v>
      </c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</row>
    <row r="227" spans="1:104" ht="21">
      <c r="A227" s="128">
        <f ca="1">COUNT(INDEX($C:$AH,ROW(),1):INDEX($C:$AH,ROW(),$AI$3+1))</f>
        <v>1</v>
      </c>
      <c r="B227" s="126" t="str">
        <f>INDEX(Cadastro_Hortfrut[[#All],[Colunas4]],MATCH(ROW()-5,Cadastro_Hortfrut[[#All],[Colunas2]],0))</f>
        <v xml:space="preserve">Pimentão Amarelo </v>
      </c>
      <c r="C227" s="193"/>
      <c r="D227" s="193"/>
      <c r="E227" s="193"/>
      <c r="F227" s="193"/>
      <c r="G227" s="193"/>
      <c r="H227" s="193"/>
      <c r="I227" s="193"/>
      <c r="J227" s="193"/>
      <c r="K227" s="193"/>
      <c r="L227" s="193"/>
      <c r="M227" s="193"/>
      <c r="N227" s="193"/>
      <c r="O227" s="193"/>
      <c r="P227" s="193"/>
      <c r="Q227" s="193"/>
      <c r="R227" s="405"/>
      <c r="S227" s="193"/>
      <c r="T227" s="193"/>
      <c r="U227" s="193"/>
      <c r="V227" s="193"/>
      <c r="W227" s="193"/>
      <c r="X227" s="193"/>
      <c r="Y227" s="193"/>
      <c r="Z227" s="193"/>
      <c r="AA227" s="193">
        <v>0.45</v>
      </c>
      <c r="AB227" s="193"/>
      <c r="AC227" s="193"/>
      <c r="AD227" s="193"/>
      <c r="AE227" s="193"/>
      <c r="AF227" s="193"/>
      <c r="AG227" s="193"/>
      <c r="AH227" s="193"/>
      <c r="AI227" s="129">
        <f ca="1">IF(Configurações!$G$10="Ligado",SUMIFS(C227:AH227,$C$4:$AH$4,"&lt;="&amp;Configurações!$C$5,$C$4:$AH$4,"&lt;="&amp;$AI$3),"")</f>
        <v>0.45</v>
      </c>
      <c r="AJ227" s="130">
        <f ca="1">IF(Configurações!$G$12="Ligado",IF(AI227&lt;=0,"Vazio",IF(Configurações!$G$11="Dia",IF(C227="",BAIXAS!AI227/(Configurações!$C$5),BAIXAS!AI227/(Configurações!$C$5+1)),BAIXAS!AI227/BAIXAS!A227)),"")</f>
        <v>1.8749999999999999E-2</v>
      </c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</row>
    <row r="228" spans="1:104" ht="21">
      <c r="A228" s="67">
        <f ca="1">COUNT(INDEX($C:$AH,ROW(),1):INDEX($C:$AH,ROW(),$AI$3+1))</f>
        <v>17</v>
      </c>
      <c r="B228" s="106" t="str">
        <f>INDEX(Cadastro_Hortfrut[[#All],[Colunas4]],MATCH(ROW()-5,Cadastro_Hortfrut[[#All],[Colunas2]],0))</f>
        <v xml:space="preserve">Pimentão Verde </v>
      </c>
      <c r="C228" s="193"/>
      <c r="D228" s="193"/>
      <c r="E228" s="193">
        <f>0.28+0.265</f>
        <v>0.54500000000000004</v>
      </c>
      <c r="F228" s="193">
        <f>0.808+0.32</f>
        <v>1.1280000000000001</v>
      </c>
      <c r="G228" s="193">
        <v>0.375</v>
      </c>
      <c r="H228" s="193"/>
      <c r="I228" s="193">
        <v>0.51500000000000001</v>
      </c>
      <c r="J228" s="193">
        <v>0.255</v>
      </c>
      <c r="K228" s="193"/>
      <c r="L228" s="193">
        <f>0.515+0.213+0.145</f>
        <v>0.873</v>
      </c>
      <c r="M228" s="193">
        <f>0.435+0.25</f>
        <v>0.68500000000000005</v>
      </c>
      <c r="N228" s="193">
        <f>0.705+0.385</f>
        <v>1.0899999999999999</v>
      </c>
      <c r="O228" s="193">
        <f>1.01+0.685+0.215+0.61</f>
        <v>2.52</v>
      </c>
      <c r="P228" s="193">
        <v>0.81</v>
      </c>
      <c r="Q228" s="193"/>
      <c r="R228" s="405"/>
      <c r="S228" s="193">
        <v>0.67500000000000004</v>
      </c>
      <c r="T228" s="193">
        <v>0.83499999999999996</v>
      </c>
      <c r="U228" s="193">
        <v>0.61499999999999999</v>
      </c>
      <c r="V228" s="193">
        <f>1.5+0.265+0.485</f>
        <v>2.25</v>
      </c>
      <c r="W228" s="193">
        <v>1.51</v>
      </c>
      <c r="X228" s="193"/>
      <c r="Y228" s="193"/>
      <c r="Z228" s="193">
        <v>0.41499999999999998</v>
      </c>
      <c r="AA228" s="193">
        <f>0.37+0.33</f>
        <v>0.7</v>
      </c>
      <c r="AB228" s="193"/>
      <c r="AC228" s="193"/>
      <c r="AD228" s="193"/>
      <c r="AE228" s="193"/>
      <c r="AF228" s="193"/>
      <c r="AG228" s="193"/>
      <c r="AH228" s="193"/>
      <c r="AI228" s="107">
        <f ca="1">IF(Configurações!$G$10="Ligado",SUMIFS(C228:AH228,$C$4:$AH$4,"&lt;="&amp;Configurações!$C$5,$C$4:$AH$4,"&lt;="&amp;$AI$3),"")</f>
        <v>15.795999999999999</v>
      </c>
      <c r="AJ228" s="113">
        <f ca="1">IF(Configurações!$G$12="Ligado",IF(AI228&lt;=0,"Vazio",IF(Configurações!$G$11="Dia",IF(C228="",BAIXAS!AI228/(Configurações!$C$5),BAIXAS!AI228/(Configurações!$C$5+1)),BAIXAS!AI228/BAIXAS!A228)),"")</f>
        <v>0.65816666666666668</v>
      </c>
    </row>
    <row r="229" spans="1:104" ht="21">
      <c r="A229" s="67">
        <f ca="1">COUNT(INDEX($C:$AH,ROW(),1):INDEX($C:$AH,ROW(),$AI$3+1))</f>
        <v>1</v>
      </c>
      <c r="B229" s="106" t="str">
        <f>INDEX(Cadastro_Hortfrut[[#All],[Colunas4]],MATCH(ROW()-5,Cadastro_Hortfrut[[#All],[Colunas2]],0))</f>
        <v xml:space="preserve">Pimentão Vermelho </v>
      </c>
      <c r="C229" s="193"/>
      <c r="D229" s="193"/>
      <c r="E229" s="193"/>
      <c r="F229" s="193"/>
      <c r="G229" s="193"/>
      <c r="H229" s="193"/>
      <c r="I229" s="193"/>
      <c r="J229" s="193"/>
      <c r="K229" s="193"/>
      <c r="L229" s="193"/>
      <c r="M229" s="193"/>
      <c r="N229" s="193"/>
      <c r="O229" s="193"/>
      <c r="P229" s="193"/>
      <c r="Q229" s="193"/>
      <c r="R229" s="405"/>
      <c r="S229" s="193"/>
      <c r="T229" s="193"/>
      <c r="U229" s="193"/>
      <c r="V229" s="193"/>
      <c r="W229" s="193"/>
      <c r="X229" s="193"/>
      <c r="Y229" s="193"/>
      <c r="Z229" s="193"/>
      <c r="AA229" s="193">
        <v>0.35</v>
      </c>
      <c r="AB229" s="193"/>
      <c r="AC229" s="193"/>
      <c r="AD229" s="193"/>
      <c r="AE229" s="193"/>
      <c r="AF229" s="193"/>
      <c r="AG229" s="193"/>
      <c r="AH229" s="193"/>
      <c r="AI229" s="107">
        <f ca="1">IF(Configurações!$G$10="Ligado",SUMIFS(C229:AH229,$C$4:$AH$4,"&lt;="&amp;Configurações!$C$5,$C$4:$AH$4,"&lt;="&amp;$AI$3),"")</f>
        <v>0.35</v>
      </c>
      <c r="AJ229" s="113">
        <f ca="1">IF(Configurações!$G$12="Ligado",IF(AI229&lt;=0,"Vazio",IF(Configurações!$G$11="Dia",IF(C229="",BAIXAS!AI229/(Configurações!$C$5),BAIXAS!AI229/(Configurações!$C$5+1)),BAIXAS!AI229/BAIXAS!A229)),"")</f>
        <v>1.4583333333333332E-2</v>
      </c>
    </row>
    <row r="230" spans="1:104" ht="21">
      <c r="A230" s="67">
        <f ca="1">COUNT(INDEX($C:$AH,ROW(),1):INDEX($C:$AH,ROW(),$AI$3+1))</f>
        <v>0</v>
      </c>
      <c r="B230" s="106" t="str">
        <f>INDEX(Cadastro_Hortfrut[[#All],[Colunas4]],MATCH(ROW()-5,Cadastro_Hortfrut[[#All],[Colunas2]],0))</f>
        <v>Quiabo</v>
      </c>
      <c r="C230" s="193"/>
      <c r="D230" s="193"/>
      <c r="E230" s="193"/>
      <c r="F230" s="193"/>
      <c r="G230" s="193"/>
      <c r="H230" s="193"/>
      <c r="I230" s="193"/>
      <c r="J230" s="193"/>
      <c r="K230" s="193"/>
      <c r="L230" s="193"/>
      <c r="M230" s="193"/>
      <c r="N230" s="193"/>
      <c r="O230" s="193"/>
      <c r="P230" s="193"/>
      <c r="Q230" s="193"/>
      <c r="R230" s="405"/>
      <c r="S230" s="193"/>
      <c r="T230" s="193"/>
      <c r="U230" s="193"/>
      <c r="V230" s="193"/>
      <c r="W230" s="193"/>
      <c r="X230" s="193"/>
      <c r="Y230" s="193"/>
      <c r="Z230" s="193"/>
      <c r="AA230" s="193"/>
      <c r="AB230" s="193"/>
      <c r="AC230" s="193"/>
      <c r="AD230" s="193"/>
      <c r="AE230" s="193"/>
      <c r="AF230" s="193"/>
      <c r="AG230" s="193"/>
      <c r="AH230" s="193"/>
      <c r="AI230" s="107">
        <f ca="1">IF(Configurações!$G$10="Ligado",SUMIFS(C230:AH230,$C$4:$AH$4,"&lt;="&amp;Configurações!$C$5,$C$4:$AH$4,"&lt;="&amp;$AI$3),"")</f>
        <v>0</v>
      </c>
      <c r="AJ230" s="113" t="str">
        <f ca="1">IF(Configurações!$G$12="Ligado",IF(AI230&lt;=0,"Vazio",IF(Configurações!$G$11="Dia",IF(C230="",BAIXAS!AI230/(Configurações!$C$5),BAIXAS!AI230/(Configurações!$C$5+1)),BAIXAS!AI230/BAIXAS!A230)),"")</f>
        <v>Vazio</v>
      </c>
    </row>
    <row r="231" spans="1:104" ht="21">
      <c r="A231" s="128">
        <f ca="1">COUNT(INDEX($C:$AH,ROW(),1):INDEX($C:$AH,ROW(),$AI$3+1))</f>
        <v>0</v>
      </c>
      <c r="B231" s="140" t="str">
        <f>INDEX(Cadastro_Hortfrut[[#All],[Colunas4]],MATCH(ROW()-5,Cadastro_Hortfrut[[#All],[Colunas2]],0))</f>
        <v>Rabanete</v>
      </c>
      <c r="C231" s="193"/>
      <c r="D231" s="193"/>
      <c r="E231" s="193"/>
      <c r="F231" s="193"/>
      <c r="G231" s="193"/>
      <c r="H231" s="193"/>
      <c r="I231" s="193"/>
      <c r="J231" s="193"/>
      <c r="K231" s="193"/>
      <c r="L231" s="193"/>
      <c r="M231" s="193"/>
      <c r="N231" s="193"/>
      <c r="O231" s="193"/>
      <c r="P231" s="193"/>
      <c r="Q231" s="193"/>
      <c r="R231" s="405"/>
      <c r="S231" s="193"/>
      <c r="T231" s="193"/>
      <c r="U231" s="193"/>
      <c r="V231" s="193"/>
      <c r="W231" s="193"/>
      <c r="X231" s="193"/>
      <c r="Y231" s="193"/>
      <c r="Z231" s="193"/>
      <c r="AA231" s="193"/>
      <c r="AB231" s="193"/>
      <c r="AC231" s="193"/>
      <c r="AD231" s="193"/>
      <c r="AE231" s="193"/>
      <c r="AF231" s="193"/>
      <c r="AG231" s="193"/>
      <c r="AH231" s="193"/>
      <c r="AI231" s="142">
        <f ca="1">IF(Configurações!$G$10="Ligado",SUMIFS(C231:AH231,$C$4:$AH$4,"&lt;="&amp;Configurações!$C$5,$C$4:$AH$4,"&lt;="&amp;$AI$3),"")</f>
        <v>0</v>
      </c>
      <c r="AJ231" s="143" t="str">
        <f ca="1">IF(Configurações!$G$12="Ligado",IF(AI231&lt;=0,"Vazio",IF(Configurações!$G$11="Dia",IF(C231="",BAIXAS!AI231/(Configurações!$C$5),BAIXAS!AI231/(Configurações!$C$5+1)),BAIXAS!AI231/BAIXAS!A231)),"")</f>
        <v>Vazio</v>
      </c>
    </row>
    <row r="232" spans="1:104" ht="21">
      <c r="A232" s="128">
        <f ca="1">COUNT(INDEX($C:$AH,ROW(),1):INDEX($C:$AH,ROW(),$AI$3+1))</f>
        <v>1</v>
      </c>
      <c r="B232" s="140" t="str">
        <f>INDEX(Cadastro_Hortfrut[[#All],[Colunas4]],MATCH(ROW()-5,Cadastro_Hortfrut[[#All],[Colunas2]],0))</f>
        <v xml:space="preserve">Repolho </v>
      </c>
      <c r="C232" s="193"/>
      <c r="D232" s="193"/>
      <c r="E232" s="193"/>
      <c r="F232" s="193"/>
      <c r="G232" s="193">
        <v>1</v>
      </c>
      <c r="H232" s="193"/>
      <c r="I232" s="193"/>
      <c r="J232" s="193"/>
      <c r="K232" s="193"/>
      <c r="L232" s="193"/>
      <c r="M232" s="193"/>
      <c r="N232" s="193"/>
      <c r="O232" s="193"/>
      <c r="P232" s="193"/>
      <c r="Q232" s="193"/>
      <c r="R232" s="405"/>
      <c r="S232" s="193"/>
      <c r="T232" s="193"/>
      <c r="U232" s="193"/>
      <c r="V232" s="193"/>
      <c r="W232" s="193"/>
      <c r="X232" s="193"/>
      <c r="Y232" s="193"/>
      <c r="Z232" s="193"/>
      <c r="AA232" s="193"/>
      <c r="AB232" s="193"/>
      <c r="AC232" s="193"/>
      <c r="AD232" s="193"/>
      <c r="AE232" s="193"/>
      <c r="AF232" s="193"/>
      <c r="AG232" s="193"/>
      <c r="AH232" s="193"/>
      <c r="AI232" s="142">
        <f ca="1">IF(Configurações!$G$10="Ligado",SUMIFS(C232:AH232,$C$4:$AH$4,"&lt;="&amp;Configurações!$C$5,$C$4:$AH$4,"&lt;="&amp;$AI$3),"")</f>
        <v>1</v>
      </c>
      <c r="AJ232" s="143">
        <f ca="1">IF(Configurações!$G$12="Ligado",IF(AI232&lt;=0,"Vazio",IF(Configurações!$G$11="Dia",IF(C232="",BAIXAS!AI232/(Configurações!$C$5),BAIXAS!AI232/(Configurações!$C$5+1)),BAIXAS!AI232/BAIXAS!A232)),"")</f>
        <v>4.1666666666666664E-2</v>
      </c>
    </row>
    <row r="233" spans="1:104" ht="21">
      <c r="A233" s="128">
        <f ca="1">COUNT(INDEX($C:$AH,ROW(),1):INDEX($C:$AH,ROW(),$AI$3+1))</f>
        <v>0</v>
      </c>
      <c r="B233" s="140" t="str">
        <f>INDEX(Cadastro_Hortfrut[[#All],[Colunas4]],MATCH(ROW()-5,Cadastro_Hortfrut[[#All],[Colunas2]],0))</f>
        <v>Repolho roxo</v>
      </c>
      <c r="C233" s="193"/>
      <c r="D233" s="193"/>
      <c r="E233" s="193"/>
      <c r="F233" s="193"/>
      <c r="G233" s="193"/>
      <c r="H233" s="193"/>
      <c r="I233" s="193"/>
      <c r="J233" s="193"/>
      <c r="K233" s="193"/>
      <c r="L233" s="193"/>
      <c r="M233" s="193"/>
      <c r="N233" s="193"/>
      <c r="O233" s="193"/>
      <c r="P233" s="193"/>
      <c r="Q233" s="193"/>
      <c r="R233" s="405"/>
      <c r="S233" s="193"/>
      <c r="T233" s="193"/>
      <c r="U233" s="193"/>
      <c r="V233" s="193"/>
      <c r="W233" s="193"/>
      <c r="X233" s="193"/>
      <c r="Y233" s="193"/>
      <c r="Z233" s="193"/>
      <c r="AA233" s="193"/>
      <c r="AB233" s="193"/>
      <c r="AC233" s="193"/>
      <c r="AD233" s="193"/>
      <c r="AE233" s="193"/>
      <c r="AF233" s="193"/>
      <c r="AG233" s="193"/>
      <c r="AH233" s="193"/>
      <c r="AI233" s="142">
        <f ca="1">IF(Configurações!$G$10="Ligado",SUMIFS(C233:AH233,$C$4:$AH$4,"&lt;="&amp;Configurações!$C$5,$C$4:$AH$4,"&lt;="&amp;$AI$3),"")</f>
        <v>0</v>
      </c>
      <c r="AJ233" s="143" t="str">
        <f ca="1">IF(Configurações!$G$12="Ligado",IF(AI233&lt;=0,"Vazio",IF(Configurações!$G$11="Dia",IF(C233="",BAIXAS!AI233/(Configurações!$C$5),BAIXAS!AI233/(Configurações!$C$5+1)),BAIXAS!AI233/BAIXAS!A233)),"")</f>
        <v>Vazio</v>
      </c>
    </row>
    <row r="234" spans="1:104" ht="21">
      <c r="A234" s="128">
        <f ca="1">COUNT(INDEX($C:$AH,ROW(),1):INDEX($C:$AH,ROW(),$AI$3+1))</f>
        <v>0</v>
      </c>
      <c r="B234" s="140" t="str">
        <f>INDEX(Cadastro_Hortfrut[[#All],[Colunas4]],MATCH(ROW()-5,Cadastro_Hortfrut[[#All],[Colunas2]],0))</f>
        <v>Rúcula</v>
      </c>
      <c r="C234" s="193"/>
      <c r="D234" s="193"/>
      <c r="E234" s="193"/>
      <c r="F234" s="193"/>
      <c r="G234" s="193"/>
      <c r="H234" s="193"/>
      <c r="I234" s="193"/>
      <c r="J234" s="193"/>
      <c r="K234" s="193"/>
      <c r="L234" s="193"/>
      <c r="M234" s="193"/>
      <c r="N234" s="193"/>
      <c r="O234" s="193"/>
      <c r="P234" s="193"/>
      <c r="Q234" s="193"/>
      <c r="R234" s="405"/>
      <c r="S234" s="193"/>
      <c r="T234" s="193"/>
      <c r="U234" s="193"/>
      <c r="V234" s="193"/>
      <c r="W234" s="193"/>
      <c r="X234" s="193"/>
      <c r="Y234" s="193"/>
      <c r="Z234" s="193"/>
      <c r="AA234" s="193"/>
      <c r="AB234" s="193"/>
      <c r="AC234" s="193"/>
      <c r="AD234" s="193"/>
      <c r="AE234" s="193"/>
      <c r="AF234" s="193"/>
      <c r="AG234" s="193"/>
      <c r="AH234" s="193"/>
      <c r="AI234" s="142">
        <f ca="1">IF(Configurações!$G$10="Ligado",SUMIFS(C234:AH234,$C$4:$AH$4,"&lt;="&amp;Configurações!$C$5,$C$4:$AH$4,"&lt;="&amp;$AI$3),"")</f>
        <v>0</v>
      </c>
      <c r="AJ234" s="143" t="str">
        <f ca="1">IF(Configurações!$G$12="Ligado",IF(AI234&lt;=0,"Vazio",IF(Configurações!$G$11="Dia",IF(C234="",BAIXAS!AI234/(Configurações!$C$5),BAIXAS!AI234/(Configurações!$C$5+1)),BAIXAS!AI234/BAIXAS!A234)),"")</f>
        <v>Vazio</v>
      </c>
    </row>
    <row r="235" spans="1:104" ht="21">
      <c r="A235" s="67">
        <f ca="1">COUNT(INDEX($C:$AH,ROW(),1):INDEX($C:$AH,ROW(),$AI$3+1))</f>
        <v>12</v>
      </c>
      <c r="B235" s="106" t="str">
        <f>INDEX(Cadastro_Hortfrut[[#All],[Colunas4]],MATCH(ROW()-5,Cadastro_Hortfrut[[#All],[Colunas2]],0))</f>
        <v>Salsa</v>
      </c>
      <c r="C235" s="193"/>
      <c r="D235" s="193"/>
      <c r="E235" s="193">
        <v>1</v>
      </c>
      <c r="F235" s="193">
        <v>1</v>
      </c>
      <c r="G235" s="193">
        <v>2</v>
      </c>
      <c r="H235" s="193">
        <v>1</v>
      </c>
      <c r="I235" s="193"/>
      <c r="J235" s="193"/>
      <c r="K235" s="193"/>
      <c r="L235" s="193"/>
      <c r="M235" s="193">
        <v>1</v>
      </c>
      <c r="N235" s="193">
        <v>1</v>
      </c>
      <c r="O235" s="193">
        <v>2</v>
      </c>
      <c r="P235" s="193">
        <v>1</v>
      </c>
      <c r="Q235" s="193"/>
      <c r="R235" s="405"/>
      <c r="S235" s="193"/>
      <c r="T235" s="193">
        <v>1</v>
      </c>
      <c r="U235" s="193">
        <v>1</v>
      </c>
      <c r="V235" s="193">
        <v>1</v>
      </c>
      <c r="W235" s="193"/>
      <c r="X235" s="193"/>
      <c r="Y235" s="193"/>
      <c r="Z235" s="193"/>
      <c r="AA235" s="193">
        <v>2</v>
      </c>
      <c r="AB235" s="193"/>
      <c r="AC235" s="193"/>
      <c r="AD235" s="193"/>
      <c r="AE235" s="193"/>
      <c r="AF235" s="193"/>
      <c r="AG235" s="193"/>
      <c r="AH235" s="193"/>
      <c r="AI235" s="107">
        <f ca="1">IF(Configurações!$G$10="Ligado",SUMIFS(C235:AH235,$C$4:$AH$4,"&lt;="&amp;Configurações!$C$5,$C$4:$AH$4,"&lt;="&amp;$AI$3),"")</f>
        <v>15</v>
      </c>
      <c r="AJ235" s="113">
        <f ca="1">IF(Configurações!$G$12="Ligado",IF(AI235&lt;=0,"Vazio",IF(Configurações!$G$11="Dia",IF(C235="",BAIXAS!AI235/(Configurações!$C$5),BAIXAS!AI235/(Configurações!$C$5+1)),BAIXAS!AI235/BAIXAS!A235)),"")</f>
        <v>0.625</v>
      </c>
    </row>
    <row r="236" spans="1:104" ht="21">
      <c r="A236" s="128">
        <f ca="1">COUNT(INDEX($C:$AH,ROW(),1):INDEX($C:$AH,ROW(),$AI$3+1))</f>
        <v>0</v>
      </c>
      <c r="B236" s="140" t="str">
        <f>INDEX(Cadastro_Hortfrut[[#All],[Colunas4]],MATCH(ROW()-5,Cadastro_Hortfrut[[#All],[Colunas2]],0))</f>
        <v>Salsão</v>
      </c>
      <c r="C236" s="193"/>
      <c r="D236" s="193"/>
      <c r="E236" s="193"/>
      <c r="F236" s="193"/>
      <c r="G236" s="193"/>
      <c r="H236" s="193"/>
      <c r="I236" s="193"/>
      <c r="J236" s="193"/>
      <c r="K236" s="193"/>
      <c r="L236" s="193"/>
      <c r="M236" s="193"/>
      <c r="N236" s="193"/>
      <c r="O236" s="193"/>
      <c r="P236" s="193"/>
      <c r="Q236" s="193"/>
      <c r="R236" s="405"/>
      <c r="S236" s="193"/>
      <c r="T236" s="193"/>
      <c r="U236" s="193"/>
      <c r="V236" s="193"/>
      <c r="W236" s="193"/>
      <c r="X236" s="193"/>
      <c r="Y236" s="193"/>
      <c r="Z236" s="193"/>
      <c r="AA236" s="193"/>
      <c r="AB236" s="193"/>
      <c r="AC236" s="193"/>
      <c r="AD236" s="193"/>
      <c r="AE236" s="193"/>
      <c r="AF236" s="193"/>
      <c r="AG236" s="193"/>
      <c r="AH236" s="193"/>
      <c r="AI236" s="142">
        <f ca="1">IF(Configurações!$G$10="Ligado",SUMIFS(C236:AH236,$C$4:$AH$4,"&lt;="&amp;Configurações!$C$5,$C$4:$AH$4,"&lt;="&amp;$AI$3),"")</f>
        <v>0</v>
      </c>
      <c r="AJ236" s="143" t="str">
        <f ca="1">IF(Configurações!$G$12="Ligado",IF(AI236&lt;=0,"Vazio",IF(Configurações!$G$11="Dia",IF(C236="",BAIXAS!AI236/(Configurações!$C$5),BAIXAS!AI236/(Configurações!$C$5+1)),BAIXAS!AI236/BAIXAS!A236)),"")</f>
        <v>Vazio</v>
      </c>
    </row>
    <row r="237" spans="1:104" ht="21">
      <c r="A237" s="128">
        <f ca="1">COUNT(INDEX($C:$AH,ROW(),1):INDEX($C:$AH,ROW(),$AI$3+1))</f>
        <v>0</v>
      </c>
      <c r="B237" s="140" t="str">
        <f>INDEX(Cadastro_Hortfrut[[#All],[Colunas4]],MATCH(ROW()-5,Cadastro_Hortfrut[[#All],[Colunas2]],0))</f>
        <v>Tomate Cereja</v>
      </c>
      <c r="C237" s="193"/>
      <c r="D237" s="193"/>
      <c r="E237" s="193"/>
      <c r="F237" s="193"/>
      <c r="G237" s="193"/>
      <c r="H237" s="193"/>
      <c r="I237" s="193"/>
      <c r="J237" s="193"/>
      <c r="K237" s="193"/>
      <c r="L237" s="193"/>
      <c r="M237" s="193"/>
      <c r="N237" s="193"/>
      <c r="O237" s="193"/>
      <c r="P237" s="193"/>
      <c r="Q237" s="193"/>
      <c r="R237" s="405"/>
      <c r="S237" s="193"/>
      <c r="T237" s="193"/>
      <c r="U237" s="193"/>
      <c r="V237" s="193"/>
      <c r="W237" s="193"/>
      <c r="X237" s="193"/>
      <c r="Y237" s="193"/>
      <c r="Z237" s="193"/>
      <c r="AA237" s="193"/>
      <c r="AB237" s="193"/>
      <c r="AC237" s="193"/>
      <c r="AD237" s="193"/>
      <c r="AE237" s="193"/>
      <c r="AF237" s="193"/>
      <c r="AG237" s="193"/>
      <c r="AH237" s="193"/>
      <c r="AI237" s="142">
        <f ca="1">IF(Configurações!$G$10="Ligado",SUMIFS(C237:AH237,$C$4:$AH$4,"&lt;="&amp;Configurações!$C$5,$C$4:$AH$4,"&lt;="&amp;$AI$3),"")</f>
        <v>0</v>
      </c>
      <c r="AJ237" s="143" t="str">
        <f ca="1">IF(Configurações!$G$12="Ligado",IF(AI237&lt;=0,"Vazio",IF(Configurações!$G$11="Dia",IF(C237="",BAIXAS!AI237/(Configurações!$C$5),BAIXAS!AI237/(Configurações!$C$5+1)),BAIXAS!AI237/BAIXAS!A237)),"")</f>
        <v>Vazio</v>
      </c>
    </row>
    <row r="238" spans="1:104" ht="21">
      <c r="A238" s="67">
        <f ca="1">COUNT(INDEX($C:$AH,ROW(),1):INDEX($C:$AH,ROW(),$AI$3+1))</f>
        <v>0</v>
      </c>
      <c r="B238" s="106" t="str">
        <f>INDEX(Cadastro_Hortfrut[[#All],[Colunas4]],MATCH(ROW()-5,Cadastro_Hortfrut[[#All],[Colunas2]],0))</f>
        <v>Tomate Molho</v>
      </c>
      <c r="C238" s="193"/>
      <c r="D238" s="193"/>
      <c r="E238" s="193"/>
      <c r="F238" s="193"/>
      <c r="G238" s="193"/>
      <c r="H238" s="193"/>
      <c r="I238" s="193"/>
      <c r="J238" s="193"/>
      <c r="K238" s="193"/>
      <c r="L238" s="193"/>
      <c r="M238" s="193"/>
      <c r="N238" s="193"/>
      <c r="O238" s="193"/>
      <c r="P238" s="193"/>
      <c r="Q238" s="193"/>
      <c r="R238" s="405"/>
      <c r="S238" s="193"/>
      <c r="T238" s="193"/>
      <c r="U238" s="193"/>
      <c r="V238" s="193"/>
      <c r="W238" s="193"/>
      <c r="X238" s="193"/>
      <c r="Y238" s="193"/>
      <c r="Z238" s="193"/>
      <c r="AA238" s="193"/>
      <c r="AB238" s="193"/>
      <c r="AC238" s="193"/>
      <c r="AD238" s="193"/>
      <c r="AE238" s="193"/>
      <c r="AF238" s="193"/>
      <c r="AG238" s="193"/>
      <c r="AH238" s="193"/>
      <c r="AI238" s="107">
        <f ca="1">IF(Configurações!$G$10="Ligado",SUMIFS(C238:AH238,$C$4:$AH$4,"&lt;="&amp;Configurações!$C$5,$C$4:$AH$4,"&lt;="&amp;$AI$3),"")</f>
        <v>0</v>
      </c>
      <c r="AJ238" s="113" t="str">
        <f ca="1">IF(Configurações!$G$12="Ligado",IF(AI238&lt;=0,"Vazio",IF(Configurações!$G$11="Dia",IF(C238="",BAIXAS!AI238/(Configurações!$C$5),BAIXAS!AI238/(Configurações!$C$5+1)),BAIXAS!AI238/BAIXAS!A238)),"")</f>
        <v>Vazio</v>
      </c>
    </row>
    <row r="239" spans="1:104" ht="21">
      <c r="A239" s="67">
        <f ca="1">COUNT(INDEX($C:$AH,ROW(),1):INDEX($C:$AH,ROW(),$AI$3+1))</f>
        <v>18</v>
      </c>
      <c r="B239" s="106" t="str">
        <f>INDEX(Cadastro_Hortfrut[[#All],[Colunas4]],MATCH(ROW()-5,Cadastro_Hortfrut[[#All],[Colunas2]],0))</f>
        <v xml:space="preserve">Tomate Salada </v>
      </c>
      <c r="C239" s="193"/>
      <c r="D239" s="193">
        <v>0.5</v>
      </c>
      <c r="E239" s="193">
        <f>3.1+1.67</f>
        <v>4.7699999999999996</v>
      </c>
      <c r="F239" s="193">
        <f>2.035+2.075</f>
        <v>4.1100000000000003</v>
      </c>
      <c r="G239" s="193">
        <v>8.8150000000000013</v>
      </c>
      <c r="H239" s="193">
        <f>4.555+3.885</f>
        <v>8.44</v>
      </c>
      <c r="I239" s="193">
        <f>2.885+1.044</f>
        <v>3.9289999999999998</v>
      </c>
      <c r="J239" s="193"/>
      <c r="K239" s="193"/>
      <c r="L239" s="193">
        <f>3.875+3.35</f>
        <v>7.2249999999999996</v>
      </c>
      <c r="M239" s="193">
        <f>1.72+3.34</f>
        <v>5.0599999999999996</v>
      </c>
      <c r="N239" s="193">
        <f>4.125+3.9</f>
        <v>8.0250000000000004</v>
      </c>
      <c r="O239" s="193">
        <f>5.155+2.7+3.07</f>
        <v>10.925000000000001</v>
      </c>
      <c r="P239" s="193">
        <v>3.16</v>
      </c>
      <c r="Q239" s="193"/>
      <c r="R239" s="405"/>
      <c r="S239" s="193">
        <f>2.65+2.566</f>
        <v>5.2159999999999993</v>
      </c>
      <c r="T239" s="193">
        <v>6.5449999999999999</v>
      </c>
      <c r="U239" s="193">
        <f>2.2+4.22</f>
        <v>6.42</v>
      </c>
      <c r="V239" s="193">
        <v>6.9349999999999996</v>
      </c>
      <c r="W239" s="193">
        <v>3.64</v>
      </c>
      <c r="X239" s="193"/>
      <c r="Y239" s="193"/>
      <c r="Z239" s="193">
        <v>5.3029999999999999</v>
      </c>
      <c r="AA239" s="193">
        <v>6.415</v>
      </c>
      <c r="AB239" s="193"/>
      <c r="AC239" s="193"/>
      <c r="AD239" s="193"/>
      <c r="AE239" s="193"/>
      <c r="AF239" s="193"/>
      <c r="AG239" s="193"/>
      <c r="AH239" s="193"/>
      <c r="AI239" s="107">
        <f ca="1">IF(Configurações!$G$10="Ligado",SUMIFS(C239:AH239,$C$4:$AH$4,"&lt;="&amp;Configurações!$C$5,$C$4:$AH$4,"&lt;="&amp;$AI$3),"")</f>
        <v>105.43299999999999</v>
      </c>
      <c r="AJ239" s="113">
        <f ca="1">IF(Configurações!$G$12="Ligado",IF(AI239&lt;=0,"Vazio",IF(Configurações!$G$11="Dia",IF(C239="",BAIXAS!AI239/(Configurações!$C$5),BAIXAS!AI239/(Configurações!$C$5+1)),BAIXAS!AI239/BAIXAS!A239)),"")</f>
        <v>4.3930416666666661</v>
      </c>
    </row>
    <row r="240" spans="1:104" ht="21">
      <c r="A240" s="67">
        <f ca="1">COUNT(INDEX($C:$AH,ROW(),1):INDEX($C:$AH,ROW(),$AI$3+1))</f>
        <v>1</v>
      </c>
      <c r="B240" s="106" t="str">
        <f>INDEX(Cadastro_Hortfrut[[#All],[Colunas4]],MATCH(ROW()-5,Cadastro_Hortfrut[[#All],[Colunas2]],0))</f>
        <v>Uva</v>
      </c>
      <c r="C240" s="193"/>
      <c r="D240" s="193"/>
      <c r="E240" s="193"/>
      <c r="F240" s="193"/>
      <c r="G240" s="193"/>
      <c r="H240" s="193"/>
      <c r="I240" s="193"/>
      <c r="J240" s="193"/>
      <c r="K240" s="193"/>
      <c r="L240" s="193"/>
      <c r="M240" s="193"/>
      <c r="N240" s="193"/>
      <c r="O240" s="193"/>
      <c r="P240" s="193"/>
      <c r="Q240" s="193"/>
      <c r="R240" s="193"/>
      <c r="S240" s="193"/>
      <c r="T240" s="193"/>
      <c r="U240" s="193"/>
      <c r="V240" s="193"/>
      <c r="W240" s="193"/>
      <c r="X240" s="193"/>
      <c r="Y240" s="193"/>
      <c r="Z240" s="193"/>
      <c r="AA240" s="193">
        <v>6</v>
      </c>
      <c r="AB240" s="193"/>
      <c r="AC240" s="193"/>
      <c r="AD240" s="193"/>
      <c r="AE240" s="193"/>
      <c r="AF240" s="193"/>
      <c r="AG240" s="193"/>
      <c r="AH240" s="193"/>
      <c r="AI240" s="107">
        <f ca="1">IF(Configurações!$G$10="Ligado",SUMIFS(C240:AH240,$C$4:$AH$4,"&lt;="&amp;Configurações!$C$5,$C$4:$AH$4,"&lt;="&amp;$AI$3),"")</f>
        <v>6</v>
      </c>
      <c r="AJ240" s="113">
        <f ca="1">IF(Configurações!$G$12="Ligado",IF(AI240&lt;=0,"Vazio",IF(Configurações!$G$11="Dia",IF(C240="",BAIXAS!AI240/(Configurações!$C$5),BAIXAS!AI240/(Configurações!$C$5+1)),BAIXAS!AI240/BAIXAS!A240)),"")</f>
        <v>0.25</v>
      </c>
    </row>
    <row r="241" spans="1:36" ht="21">
      <c r="A241" s="67">
        <f ca="1">COUNT(INDEX($C:$AH,ROW(),1):INDEX($C:$AH,ROW(),$AI$3+1))</f>
        <v>0</v>
      </c>
      <c r="B241" s="106" t="str">
        <f>INDEX(Cadastro_Hortfrut[[#All],[Colunas4]],MATCH(ROW()-5,Cadastro_Hortfrut[[#All],[Colunas2]],0))</f>
        <v xml:space="preserve">Vagem </v>
      </c>
      <c r="C241" s="193"/>
      <c r="D241" s="193"/>
      <c r="E241" s="193"/>
      <c r="F241" s="193"/>
      <c r="G241" s="193"/>
      <c r="H241" s="193"/>
      <c r="I241" s="193"/>
      <c r="J241" s="193"/>
      <c r="K241" s="193"/>
      <c r="L241" s="193"/>
      <c r="M241" s="193"/>
      <c r="N241" s="193"/>
      <c r="O241" s="193"/>
      <c r="P241" s="193"/>
      <c r="Q241" s="193"/>
      <c r="R241" s="193"/>
      <c r="S241" s="193"/>
      <c r="T241" s="193"/>
      <c r="U241" s="193"/>
      <c r="V241" s="193"/>
      <c r="W241" s="193"/>
      <c r="X241" s="193"/>
      <c r="Y241" s="193"/>
      <c r="Z241" s="193"/>
      <c r="AA241" s="193"/>
      <c r="AB241" s="193"/>
      <c r="AC241" s="193"/>
      <c r="AD241" s="193"/>
      <c r="AE241" s="193"/>
      <c r="AF241" s="193"/>
      <c r="AG241" s="193"/>
      <c r="AH241" s="193"/>
      <c r="AI241" s="107">
        <f ca="1">IF(Configurações!$G$10="Ligado",SUMIFS(C241:AH241,$C$4:$AH$4,"&lt;="&amp;Configurações!$C$5,$C$4:$AH$4,"&lt;="&amp;$AI$3),"")</f>
        <v>0</v>
      </c>
      <c r="AJ241" s="113" t="str">
        <f ca="1">IF(Configurações!$G$12="Ligado",IF(AI241&lt;=0,"Vazio",IF(Configurações!$G$11="Dia",IF(C241="",BAIXAS!AI241/(Configurações!$C$5),BAIXAS!AI241/(Configurações!$C$5+1)),BAIXAS!AI241/BAIXAS!A241)),"")</f>
        <v>Vazio</v>
      </c>
    </row>
    <row r="242" spans="1:36" ht="15.75" thickBot="1"/>
    <row r="243" spans="1:36" ht="24" thickBot="1">
      <c r="B243" s="451" t="s">
        <v>429</v>
      </c>
      <c r="C243" s="452"/>
      <c r="D243" s="452"/>
      <c r="E243" s="452"/>
      <c r="F243" s="452"/>
      <c r="G243" s="452"/>
      <c r="H243" s="452"/>
      <c r="I243" s="452"/>
      <c r="J243" s="452"/>
      <c r="K243" s="452"/>
      <c r="L243" s="452"/>
      <c r="M243" s="452"/>
      <c r="N243" s="452"/>
      <c r="O243" s="452"/>
      <c r="P243" s="452"/>
      <c r="Q243" s="452"/>
      <c r="R243" s="452"/>
      <c r="S243" s="452"/>
      <c r="T243" s="452"/>
      <c r="U243" s="452"/>
      <c r="V243" s="452"/>
      <c r="W243" s="452"/>
      <c r="X243" s="452"/>
      <c r="Y243" s="452"/>
      <c r="Z243" s="452"/>
      <c r="AA243" s="452"/>
      <c r="AB243" s="452"/>
      <c r="AC243" s="452"/>
      <c r="AD243" s="452"/>
      <c r="AE243" s="452"/>
      <c r="AF243" s="452"/>
      <c r="AG243" s="452"/>
      <c r="AH243" s="452"/>
      <c r="AI243" s="452"/>
      <c r="AJ243" s="453"/>
    </row>
    <row r="244" spans="1:36" ht="21">
      <c r="A244" s="243">
        <f ca="1">COUNT(INDEX($C:$AH,ROW(),1):INDEX($C:$AH,ROW(),$AI$3+1))</f>
        <v>11</v>
      </c>
      <c r="B244" s="231" t="str">
        <f>INDEX(Cadastro_Limpeza[[#All],[Colunas4]],MATCH(ROW()-5,Cadastro_Limpeza[[#All],[Colunas2]],0))</f>
        <v>Água Sanitária LT</v>
      </c>
      <c r="C244" s="238"/>
      <c r="D244" s="238"/>
      <c r="E244" s="238"/>
      <c r="F244" s="238">
        <v>1</v>
      </c>
      <c r="G244" s="238">
        <v>10</v>
      </c>
      <c r="H244" s="238"/>
      <c r="I244" s="238"/>
      <c r="J244" s="238">
        <v>15</v>
      </c>
      <c r="K244" s="238"/>
      <c r="L244" s="238"/>
      <c r="M244" s="238"/>
      <c r="N244" s="238">
        <v>5</v>
      </c>
      <c r="O244" s="238">
        <v>5</v>
      </c>
      <c r="P244" s="238">
        <v>5</v>
      </c>
      <c r="Q244" s="238">
        <v>20</v>
      </c>
      <c r="R244" s="238"/>
      <c r="S244" s="238"/>
      <c r="T244" s="238"/>
      <c r="U244" s="238">
        <v>5</v>
      </c>
      <c r="V244" s="238">
        <v>5</v>
      </c>
      <c r="W244" s="238"/>
      <c r="X244" s="238">
        <v>10</v>
      </c>
      <c r="Y244" s="238"/>
      <c r="Z244" s="238"/>
      <c r="AA244" s="238">
        <v>10</v>
      </c>
      <c r="AB244" s="238"/>
      <c r="AC244" s="238"/>
      <c r="AD244" s="238"/>
      <c r="AE244" s="238"/>
      <c r="AF244" s="238"/>
      <c r="AG244" s="238"/>
      <c r="AH244" s="238"/>
      <c r="AI244" s="237">
        <f ca="1">IF(Configurações!$G$10="Ligado",SUMIFS(C244:AH244,$C$4:$AH$4,"&lt;="&amp;Configurações!$C$5,$C$4:$AH$4,"&lt;="&amp;$AI$3),"")</f>
        <v>91</v>
      </c>
      <c r="AJ244" s="244">
        <f ca="1">IF(Configurações!$G$12="Ligado",IF(AI244&lt;=0,"Vazio",IF(Configurações!$G$11="Dia",IF(C241="",BAIXAS!AI244/(Configurações!$C$5),BAIXAS!AI244/(Configurações!$C$5+1)),BAIXAS!AI244/BAIXAS!A244)),"")</f>
        <v>3.7916666666666665</v>
      </c>
    </row>
    <row r="245" spans="1:36" ht="21">
      <c r="A245" s="243">
        <f ca="1">COUNT(INDEX($C:$AH,ROW(),1):INDEX($C:$AH,ROW(),$AI$3+1))</f>
        <v>2</v>
      </c>
      <c r="B245" s="230" t="str">
        <f>INDEX(Cadastro_Limpeza[[#All],[Colunas4]],MATCH(ROW()-5,Cadastro_Limpeza[[#All],[Colunas2]],0))</f>
        <v>Alcool gel LT</v>
      </c>
      <c r="C245" s="239"/>
      <c r="D245" s="239"/>
      <c r="E245" s="239"/>
      <c r="F245" s="239"/>
      <c r="G245" s="239"/>
      <c r="H245" s="239">
        <v>2</v>
      </c>
      <c r="I245" s="239"/>
      <c r="J245" s="239"/>
      <c r="K245" s="239"/>
      <c r="L245" s="239"/>
      <c r="M245" s="239"/>
      <c r="N245" s="239"/>
      <c r="O245" s="239">
        <v>1</v>
      </c>
      <c r="P245" s="239"/>
      <c r="Q245" s="239"/>
      <c r="R245" s="239"/>
      <c r="S245" s="239"/>
      <c r="T245" s="239"/>
      <c r="U245" s="239"/>
      <c r="V245" s="239"/>
      <c r="W245" s="239"/>
      <c r="X245" s="239"/>
      <c r="Y245" s="239"/>
      <c r="Z245" s="239"/>
      <c r="AA245" s="239"/>
      <c r="AB245" s="239"/>
      <c r="AC245" s="239"/>
      <c r="AD245" s="239"/>
      <c r="AE245" s="239"/>
      <c r="AF245" s="239"/>
      <c r="AG245" s="239"/>
      <c r="AH245" s="239"/>
      <c r="AI245" s="237">
        <f ca="1">IF(Configurações!$G$10="Ligado",SUMIFS(C245:AH245,$C$4:$AH$4,"&lt;="&amp;Configurações!$C$5,$C$4:$AH$4,"&lt;="&amp;$AI$3),"")</f>
        <v>3</v>
      </c>
      <c r="AJ245" s="244">
        <f ca="1">IF(Configurações!$G$12="Ligado",IF(AI245&lt;=0,"Vazio",IF(Configurações!$G$11="Dia",IF(C242="",BAIXAS!AI245/(Configurações!$C$5),BAIXAS!AI245/(Configurações!$C$5+1)),BAIXAS!AI245/BAIXAS!A245)),"")</f>
        <v>0.125</v>
      </c>
    </row>
    <row r="246" spans="1:36" ht="21">
      <c r="A246" s="243">
        <f ca="1">COUNT(INDEX($C:$AH,ROW(),1):INDEX($C:$AH,ROW(),$AI$3+1))</f>
        <v>7</v>
      </c>
      <c r="B246" s="231" t="str">
        <f>INDEX(Cadastro_Limpeza[[#All],[Colunas4]],MATCH(ROW()-5,Cadastro_Limpeza[[#All],[Colunas2]],0))</f>
        <v>Álcool LT</v>
      </c>
      <c r="C246" s="238"/>
      <c r="D246" s="238"/>
      <c r="E246" s="238"/>
      <c r="F246" s="238">
        <v>5</v>
      </c>
      <c r="G246" s="238">
        <v>1</v>
      </c>
      <c r="H246" s="238"/>
      <c r="I246" s="238"/>
      <c r="J246" s="238">
        <v>3</v>
      </c>
      <c r="K246" s="238"/>
      <c r="L246" s="238"/>
      <c r="M246" s="238"/>
      <c r="N246" s="238"/>
      <c r="O246" s="238"/>
      <c r="P246" s="238"/>
      <c r="Q246" s="238">
        <v>1</v>
      </c>
      <c r="R246" s="238"/>
      <c r="S246" s="238">
        <v>2</v>
      </c>
      <c r="T246" s="238">
        <v>2</v>
      </c>
      <c r="U246" s="238"/>
      <c r="V246" s="238"/>
      <c r="W246" s="238"/>
      <c r="X246" s="238"/>
      <c r="Y246" s="238"/>
      <c r="Z246" s="238"/>
      <c r="AA246" s="238">
        <v>1</v>
      </c>
      <c r="AB246" s="238"/>
      <c r="AC246" s="238"/>
      <c r="AD246" s="238"/>
      <c r="AE246" s="238"/>
      <c r="AF246" s="238"/>
      <c r="AG246" s="238"/>
      <c r="AH246" s="238"/>
      <c r="AI246" s="237">
        <f ca="1">IF(Configurações!$G$10="Ligado",SUMIFS(C246:AH246,$C$4:$AH$4,"&lt;="&amp;Configurações!$C$5,$C$4:$AH$4,"&lt;="&amp;$AI$3),"")</f>
        <v>15</v>
      </c>
      <c r="AJ246" s="244">
        <f ca="1">IF(Configurações!$G$12="Ligado",IF(AI246&lt;=0,"Vazio",IF(Configurações!$G$11="Dia",IF(C243="",BAIXAS!AI246/(Configurações!$C$5),BAIXAS!AI246/(Configurações!$C$5+1)),BAIXAS!AI246/BAIXAS!A246)),"")</f>
        <v>0.625</v>
      </c>
    </row>
    <row r="247" spans="1:36" ht="21">
      <c r="A247" s="243">
        <f ca="1">COUNT(INDEX($C:$AH,ROW(),1):INDEX($C:$AH,ROW(),$AI$3+1))</f>
        <v>5</v>
      </c>
      <c r="B247" s="230" t="str">
        <f>INDEX(Cadastro_Limpeza[[#All],[Colunas4]],MATCH(ROW()-5,Cadastro_Limpeza[[#All],[Colunas2]],0))</f>
        <v>Amaciante</v>
      </c>
      <c r="C247" s="239"/>
      <c r="D247" s="239"/>
      <c r="E247" s="239"/>
      <c r="F247" s="239">
        <v>1</v>
      </c>
      <c r="G247" s="239">
        <v>5</v>
      </c>
      <c r="H247" s="239"/>
      <c r="I247" s="239"/>
      <c r="J247" s="239">
        <v>5</v>
      </c>
      <c r="K247" s="239"/>
      <c r="L247" s="239"/>
      <c r="M247" s="239"/>
      <c r="N247" s="239">
        <v>5</v>
      </c>
      <c r="O247" s="239"/>
      <c r="P247" s="239"/>
      <c r="Q247" s="239"/>
      <c r="R247" s="239"/>
      <c r="S247" s="239">
        <v>5</v>
      </c>
      <c r="T247" s="239"/>
      <c r="U247" s="239"/>
      <c r="V247" s="239"/>
      <c r="W247" s="239"/>
      <c r="X247" s="239"/>
      <c r="Y247" s="239"/>
      <c r="Z247" s="239"/>
      <c r="AA247" s="239"/>
      <c r="AB247" s="239"/>
      <c r="AC247" s="239"/>
      <c r="AD247" s="239"/>
      <c r="AE247" s="239"/>
      <c r="AF247" s="239"/>
      <c r="AG247" s="239"/>
      <c r="AH247" s="239"/>
      <c r="AI247" s="237">
        <f ca="1">IF(Configurações!$G$10="Ligado",SUMIFS(C247:AH247,$C$4:$AH$4,"&lt;="&amp;Configurações!$C$5,$C$4:$AH$4,"&lt;="&amp;$AI$3),"")</f>
        <v>21</v>
      </c>
      <c r="AJ247" s="244">
        <f ca="1">IF(Configurações!$G$12="Ligado",IF(AI247&lt;=0,"Vazio",IF(Configurações!$G$11="Dia",IF(C244="",BAIXAS!AI247/(Configurações!$C$5),BAIXAS!AI247/(Configurações!$C$5+1)),BAIXAS!AI247/BAIXAS!A247)),"")</f>
        <v>0.875</v>
      </c>
    </row>
    <row r="248" spans="1:36" ht="21">
      <c r="A248" s="243">
        <f ca="1">COUNT(INDEX($C:$AH,ROW(),1):INDEX($C:$AH,ROW(),$AI$3+1))</f>
        <v>1</v>
      </c>
      <c r="B248" s="231" t="str">
        <f>INDEX(Cadastro_Limpeza[[#All],[Colunas4]],MATCH(ROW()-5,Cadastro_Limpeza[[#All],[Colunas2]],0))</f>
        <v>Bobina Papel toalha c/6 rolos</v>
      </c>
      <c r="C248" s="238"/>
      <c r="D248" s="238"/>
      <c r="E248" s="238"/>
      <c r="F248" s="238"/>
      <c r="G248" s="238"/>
      <c r="H248" s="238"/>
      <c r="I248" s="238">
        <v>1</v>
      </c>
      <c r="J248" s="238"/>
      <c r="K248" s="238"/>
      <c r="L248" s="238"/>
      <c r="M248" s="238"/>
      <c r="N248" s="238"/>
      <c r="O248" s="238"/>
      <c r="P248" s="238"/>
      <c r="Q248" s="238"/>
      <c r="R248" s="238"/>
      <c r="S248" s="238"/>
      <c r="T248" s="238"/>
      <c r="U248" s="238"/>
      <c r="V248" s="238"/>
      <c r="W248" s="238"/>
      <c r="X248" s="238"/>
      <c r="Y248" s="238"/>
      <c r="Z248" s="238"/>
      <c r="AA248" s="238"/>
      <c r="AB248" s="238"/>
      <c r="AC248" s="238"/>
      <c r="AD248" s="238"/>
      <c r="AE248" s="238"/>
      <c r="AF248" s="238"/>
      <c r="AG248" s="238"/>
      <c r="AH248" s="238"/>
      <c r="AI248" s="237">
        <f ca="1">IF(Configurações!$G$10="Ligado",SUMIFS(C248:AH248,$C$4:$AH$4,"&lt;="&amp;Configurações!$C$5,$C$4:$AH$4,"&lt;="&amp;$AI$3),"")</f>
        <v>1</v>
      </c>
      <c r="AJ248" s="244">
        <f ca="1">IF(Configurações!$G$12="Ligado",IF(AI248&lt;=0,"Vazio",IF(Configurações!$G$11="Dia",IF(C245="",BAIXAS!AI248/(Configurações!$C$5),BAIXAS!AI248/(Configurações!$C$5+1)),BAIXAS!AI248/BAIXAS!A248)),"")</f>
        <v>4.1666666666666664E-2</v>
      </c>
    </row>
    <row r="249" spans="1:36" ht="21">
      <c r="A249" s="243">
        <f ca="1">COUNT(INDEX($C:$AH,ROW(),1):INDEX($C:$AH,ROW(),$AI$3+1))</f>
        <v>0</v>
      </c>
      <c r="B249" s="230" t="str">
        <f>INDEX(Cadastro_Limpeza[[#All],[Colunas4]],MATCH(ROW()-5,Cadastro_Limpeza[[#All],[Colunas2]],0))</f>
        <v xml:space="preserve">Bom ar </v>
      </c>
      <c r="C249" s="239"/>
      <c r="D249" s="239"/>
      <c r="E249" s="239"/>
      <c r="F249" s="239"/>
      <c r="G249" s="239"/>
      <c r="H249" s="239"/>
      <c r="I249" s="239"/>
      <c r="J249" s="239"/>
      <c r="K249" s="239"/>
      <c r="L249" s="239"/>
      <c r="M249" s="239"/>
      <c r="N249" s="239"/>
      <c r="O249" s="239"/>
      <c r="P249" s="239"/>
      <c r="Q249" s="239"/>
      <c r="R249" s="239"/>
      <c r="S249" s="239"/>
      <c r="T249" s="239"/>
      <c r="U249" s="239"/>
      <c r="V249" s="239"/>
      <c r="W249" s="239"/>
      <c r="X249" s="239"/>
      <c r="Y249" s="239"/>
      <c r="Z249" s="239"/>
      <c r="AA249" s="239"/>
      <c r="AB249" s="239"/>
      <c r="AC249" s="239"/>
      <c r="AD249" s="239"/>
      <c r="AE249" s="239"/>
      <c r="AF249" s="239"/>
      <c r="AG249" s="239"/>
      <c r="AH249" s="239"/>
      <c r="AI249" s="237">
        <f ca="1">IF(Configurações!$G$10="Ligado",SUMIFS(C249:AH249,$C$4:$AH$4,"&lt;="&amp;Configurações!$C$5,$C$4:$AH$4,"&lt;="&amp;$AI$3),"")</f>
        <v>0</v>
      </c>
      <c r="AJ249" s="244" t="str">
        <f ca="1">IF(Configurações!$G$12="Ligado",IF(AI249&lt;=0,"Vazio",IF(Configurações!$G$11="Dia",IF(C246="",BAIXAS!AI249/(Configurações!$C$5),BAIXAS!AI249/(Configurações!$C$5+1)),BAIXAS!AI249/BAIXAS!A249)),"")</f>
        <v>Vazio</v>
      </c>
    </row>
    <row r="250" spans="1:36" ht="21">
      <c r="A250" s="243">
        <f ca="1">COUNT(INDEX($C:$AH,ROW(),1):INDEX($C:$AH,ROW(),$AI$3+1))</f>
        <v>0</v>
      </c>
      <c r="B250" s="231" t="str">
        <f>INDEX(Cadastro_Limpeza[[#All],[Colunas4]],MATCH(ROW()-5,Cadastro_Limpeza[[#All],[Colunas2]],0))</f>
        <v>Bom bril</v>
      </c>
      <c r="C250" s="238"/>
      <c r="D250" s="238"/>
      <c r="E250" s="238"/>
      <c r="F250" s="238"/>
      <c r="G250" s="238"/>
      <c r="H250" s="238"/>
      <c r="I250" s="238"/>
      <c r="J250" s="238"/>
      <c r="K250" s="238"/>
      <c r="L250" s="238"/>
      <c r="M250" s="238"/>
      <c r="N250" s="238"/>
      <c r="O250" s="238"/>
      <c r="P250" s="238"/>
      <c r="Q250" s="238"/>
      <c r="R250" s="238"/>
      <c r="S250" s="238"/>
      <c r="T250" s="238"/>
      <c r="U250" s="238"/>
      <c r="V250" s="238"/>
      <c r="W250" s="238"/>
      <c r="X250" s="238"/>
      <c r="Y250" s="238"/>
      <c r="Z250" s="238"/>
      <c r="AA250" s="238"/>
      <c r="AB250" s="238"/>
      <c r="AC250" s="238"/>
      <c r="AD250" s="238"/>
      <c r="AE250" s="238"/>
      <c r="AF250" s="238"/>
      <c r="AG250" s="238"/>
      <c r="AH250" s="238"/>
      <c r="AI250" s="237">
        <f ca="1">IF(Configurações!$G$10="Ligado",SUMIFS(C250:AH250,$C$4:$AH$4,"&lt;="&amp;Configurações!$C$5,$C$4:$AH$4,"&lt;="&amp;$AI$3),"")</f>
        <v>0</v>
      </c>
      <c r="AJ250" s="244" t="str">
        <f ca="1">IF(Configurações!$G$12="Ligado",IF(AI250&lt;=0,"Vazio",IF(Configurações!$G$11="Dia",IF(C247="",BAIXAS!AI250/(Configurações!$C$5),BAIXAS!AI250/(Configurações!$C$5+1)),BAIXAS!AI250/BAIXAS!A250)),"")</f>
        <v>Vazio</v>
      </c>
    </row>
    <row r="251" spans="1:36" ht="21">
      <c r="A251" s="243">
        <f ca="1">COUNT(INDEX($C:$AH,ROW(),1):INDEX($C:$AH,ROW(),$AI$3+1))</f>
        <v>0</v>
      </c>
      <c r="B251" s="230" t="str">
        <f>INDEX(Cadastro_Limpeza[[#All],[Colunas4]],MATCH(ROW()-5,Cadastro_Limpeza[[#All],[Colunas2]],0))</f>
        <v>Bota de Borracha</v>
      </c>
      <c r="C251" s="239"/>
      <c r="D251" s="239"/>
      <c r="E251" s="239"/>
      <c r="F251" s="239"/>
      <c r="G251" s="239"/>
      <c r="H251" s="239"/>
      <c r="I251" s="239"/>
      <c r="J251" s="239"/>
      <c r="K251" s="239"/>
      <c r="L251" s="239"/>
      <c r="M251" s="239"/>
      <c r="N251" s="239"/>
      <c r="O251" s="239"/>
      <c r="P251" s="239"/>
      <c r="Q251" s="239"/>
      <c r="R251" s="239"/>
      <c r="S251" s="239"/>
      <c r="T251" s="239"/>
      <c r="U251" s="239"/>
      <c r="V251" s="239"/>
      <c r="W251" s="239"/>
      <c r="X251" s="239"/>
      <c r="Y251" s="239"/>
      <c r="Z251" s="239"/>
      <c r="AA251" s="239"/>
      <c r="AB251" s="239"/>
      <c r="AC251" s="239"/>
      <c r="AD251" s="239"/>
      <c r="AE251" s="239"/>
      <c r="AF251" s="239"/>
      <c r="AG251" s="239"/>
      <c r="AH251" s="239"/>
      <c r="AI251" s="237">
        <f ca="1">IF(Configurações!$G$10="Ligado",SUMIFS(C251:AH251,$C$4:$AH$4,"&lt;="&amp;Configurações!$C$5,$C$4:$AH$4,"&lt;="&amp;$AI$3),"")</f>
        <v>0</v>
      </c>
      <c r="AJ251" s="244" t="str">
        <f ca="1">IF(Configurações!$G$12="Ligado",IF(AI251&lt;=0,"Vazio",IF(Configurações!$G$11="Dia",IF(C248="",BAIXAS!AI251/(Configurações!$C$5),BAIXAS!AI251/(Configurações!$C$5+1)),BAIXAS!AI251/BAIXAS!A251)),"")</f>
        <v>Vazio</v>
      </c>
    </row>
    <row r="252" spans="1:36" ht="21">
      <c r="A252" s="243">
        <f ca="1">COUNT(INDEX($C:$AH,ROW(),1):INDEX($C:$AH,ROW(),$AI$3+1))</f>
        <v>0</v>
      </c>
      <c r="B252" s="231" t="str">
        <f>INDEX(Cadastro_Limpeza[[#All],[Colunas4]],MATCH(ROW()-5,Cadastro_Limpeza[[#All],[Colunas2]],0))</f>
        <v>Cera Liquida  LT</v>
      </c>
      <c r="C252" s="238"/>
      <c r="D252" s="238"/>
      <c r="E252" s="238"/>
      <c r="F252" s="238"/>
      <c r="G252" s="238"/>
      <c r="H252" s="238"/>
      <c r="I252" s="238"/>
      <c r="J252" s="238"/>
      <c r="K252" s="238"/>
      <c r="L252" s="238"/>
      <c r="M252" s="238"/>
      <c r="N252" s="238"/>
      <c r="O252" s="238"/>
      <c r="P252" s="238"/>
      <c r="Q252" s="238"/>
      <c r="R252" s="238"/>
      <c r="S252" s="238"/>
      <c r="T252" s="238"/>
      <c r="U252" s="238"/>
      <c r="V252" s="238"/>
      <c r="W252" s="238"/>
      <c r="X252" s="238"/>
      <c r="Y252" s="238"/>
      <c r="Z252" s="238"/>
      <c r="AA252" s="238"/>
      <c r="AB252" s="238"/>
      <c r="AC252" s="238"/>
      <c r="AD252" s="238"/>
      <c r="AE252" s="238"/>
      <c r="AF252" s="238"/>
      <c r="AG252" s="238"/>
      <c r="AH252" s="238"/>
      <c r="AI252" s="237">
        <f ca="1">IF(Configurações!$G$10="Ligado",SUMIFS(C252:AH252,$C$4:$AH$4,"&lt;="&amp;Configurações!$C$5,$C$4:$AH$4,"&lt;="&amp;$AI$3),"")</f>
        <v>0</v>
      </c>
      <c r="AJ252" s="244" t="str">
        <f ca="1">IF(Configurações!$G$12="Ligado",IF(AI252&lt;=0,"Vazio",IF(Configurações!$G$11="Dia",IF(C249="",BAIXAS!AI252/(Configurações!$C$5),BAIXAS!AI252/(Configurações!$C$5+1)),BAIXAS!AI252/BAIXAS!A252)),"")</f>
        <v>Vazio</v>
      </c>
    </row>
    <row r="253" spans="1:36" ht="21">
      <c r="A253" s="243">
        <f ca="1">COUNT(INDEX($C:$AH,ROW(),1):INDEX($C:$AH,ROW(),$AI$3+1))</f>
        <v>0</v>
      </c>
      <c r="B253" s="230" t="str">
        <f>INDEX(Cadastro_Limpeza[[#All],[Colunas4]],MATCH(ROW()-5,Cadastro_Limpeza[[#All],[Colunas2]],0))</f>
        <v>Cesto de Lixo</v>
      </c>
      <c r="C253" s="239"/>
      <c r="D253" s="239"/>
      <c r="E253" s="239"/>
      <c r="F253" s="239"/>
      <c r="G253" s="239"/>
      <c r="H253" s="239"/>
      <c r="I253" s="239"/>
      <c r="J253" s="239"/>
      <c r="K253" s="239"/>
      <c r="L253" s="239"/>
      <c r="M253" s="239"/>
      <c r="N253" s="239"/>
      <c r="O253" s="239"/>
      <c r="P253" s="239"/>
      <c r="Q253" s="239"/>
      <c r="R253" s="239"/>
      <c r="S253" s="239"/>
      <c r="T253" s="239"/>
      <c r="U253" s="239"/>
      <c r="V253" s="239"/>
      <c r="W253" s="239"/>
      <c r="X253" s="239"/>
      <c r="Y253" s="239"/>
      <c r="Z253" s="239"/>
      <c r="AA253" s="239"/>
      <c r="AB253" s="239"/>
      <c r="AC253" s="239"/>
      <c r="AD253" s="239"/>
      <c r="AE253" s="239"/>
      <c r="AF253" s="239"/>
      <c r="AG253" s="239"/>
      <c r="AH253" s="239"/>
      <c r="AI253" s="237">
        <f ca="1">IF(Configurações!$G$10="Ligado",SUMIFS(C253:AH253,$C$4:$AH$4,"&lt;="&amp;Configurações!$C$5,$C$4:$AH$4,"&lt;="&amp;$AI$3),"")</f>
        <v>0</v>
      </c>
      <c r="AJ253" s="244" t="str">
        <f ca="1">IF(Configurações!$G$12="Ligado",IF(AI253&lt;=0,"Vazio",IF(Configurações!$G$11="Dia",IF(C250="",BAIXAS!AI253/(Configurações!$C$5),BAIXAS!AI253/(Configurações!$C$5+1)),BAIXAS!AI253/BAIXAS!A253)),"")</f>
        <v>Vazio</v>
      </c>
    </row>
    <row r="254" spans="1:36" ht="21">
      <c r="A254" s="243">
        <f ca="1">COUNT(INDEX($C:$AH,ROW(),1):INDEX($C:$AH,ROW(),$AI$3+1))</f>
        <v>0</v>
      </c>
      <c r="B254" s="231" t="str">
        <f>INDEX(Cadastro_Limpeza[[#All],[Colunas4]],MATCH(ROW()-5,Cadastro_Limpeza[[#All],[Colunas2]],0))</f>
        <v>Cloro</v>
      </c>
      <c r="C254" s="238"/>
      <c r="D254" s="238"/>
      <c r="E254" s="238"/>
      <c r="F254" s="238"/>
      <c r="G254" s="238"/>
      <c r="H254" s="238"/>
      <c r="I254" s="238"/>
      <c r="J254" s="238"/>
      <c r="K254" s="238"/>
      <c r="L254" s="238"/>
      <c r="M254" s="238"/>
      <c r="N254" s="238"/>
      <c r="O254" s="238"/>
      <c r="P254" s="238"/>
      <c r="Q254" s="238"/>
      <c r="R254" s="238"/>
      <c r="S254" s="238"/>
      <c r="T254" s="238"/>
      <c r="U254" s="238"/>
      <c r="V254" s="238"/>
      <c r="W254" s="238"/>
      <c r="X254" s="238"/>
      <c r="Y254" s="238"/>
      <c r="Z254" s="238"/>
      <c r="AA254" s="238"/>
      <c r="AB254" s="238"/>
      <c r="AC254" s="238"/>
      <c r="AD254" s="238"/>
      <c r="AE254" s="238"/>
      <c r="AF254" s="238"/>
      <c r="AG254" s="238"/>
      <c r="AH254" s="238"/>
      <c r="AI254" s="237">
        <f ca="1">IF(Configurações!$G$10="Ligado",SUMIFS(C254:AH254,$C$4:$AH$4,"&lt;="&amp;Configurações!$C$5,$C$4:$AH$4,"&lt;="&amp;$AI$3),"")</f>
        <v>0</v>
      </c>
      <c r="AJ254" s="244" t="str">
        <f ca="1">IF(Configurações!$G$12="Ligado",IF(AI254&lt;=0,"Vazio",IF(Configurações!$G$11="Dia",IF(C251="",BAIXAS!AI254/(Configurações!$C$5),BAIXAS!AI254/(Configurações!$C$5+1)),BAIXAS!AI254/BAIXAS!A254)),"")</f>
        <v>Vazio</v>
      </c>
    </row>
    <row r="255" spans="1:36" ht="21">
      <c r="A255" s="243">
        <f ca="1">COUNT(INDEX($C:$AH,ROW(),1):INDEX($C:$AH,ROW(),$AI$3+1))</f>
        <v>0</v>
      </c>
      <c r="B255" s="230" t="str">
        <f>INDEX(Cadastro_Limpeza[[#All],[Colunas4]],MATCH(ROW()-5,Cadastro_Limpeza[[#All],[Colunas2]],0))</f>
        <v>Copinho de café 50ml</v>
      </c>
      <c r="C255" s="239"/>
      <c r="D255" s="239"/>
      <c r="E255" s="239"/>
      <c r="F255" s="239"/>
      <c r="G255" s="239"/>
      <c r="H255" s="239"/>
      <c r="I255" s="239"/>
      <c r="J255" s="239"/>
      <c r="K255" s="239"/>
      <c r="L255" s="239"/>
      <c r="M255" s="239"/>
      <c r="N255" s="239"/>
      <c r="O255" s="239"/>
      <c r="P255" s="239"/>
      <c r="Q255" s="239"/>
      <c r="R255" s="239"/>
      <c r="S255" s="239"/>
      <c r="T255" s="239"/>
      <c r="U255" s="239"/>
      <c r="V255" s="239"/>
      <c r="W255" s="239"/>
      <c r="X255" s="239"/>
      <c r="Y255" s="239"/>
      <c r="Z255" s="239"/>
      <c r="AA255" s="239"/>
      <c r="AB255" s="239"/>
      <c r="AC255" s="239"/>
      <c r="AD255" s="239"/>
      <c r="AE255" s="239"/>
      <c r="AF255" s="239"/>
      <c r="AG255" s="239"/>
      <c r="AH255" s="239"/>
      <c r="AI255" s="237">
        <f ca="1">IF(Configurações!$G$10="Ligado",SUMIFS(C255:AH255,$C$4:$AH$4,"&lt;="&amp;Configurações!$C$5,$C$4:$AH$4,"&lt;="&amp;$AI$3),"")</f>
        <v>0</v>
      </c>
      <c r="AJ255" s="244" t="str">
        <f ca="1">IF(Configurações!$G$12="Ligado",IF(AI255&lt;=0,"Vazio",IF(Configurações!$G$11="Dia",IF(C252="",BAIXAS!AI255/(Configurações!$C$5),BAIXAS!AI255/(Configurações!$C$5+1)),BAIXAS!AI255/BAIXAS!A255)),"")</f>
        <v>Vazio</v>
      </c>
    </row>
    <row r="256" spans="1:36" ht="21">
      <c r="A256" s="243">
        <f ca="1">COUNT(INDEX($C:$AH,ROW(),1):INDEX($C:$AH,ROW(),$AI$3+1))</f>
        <v>0</v>
      </c>
      <c r="B256" s="231" t="str">
        <f>INDEX(Cadastro_Limpeza[[#All],[Colunas4]],MATCH(ROW()-5,Cadastro_Limpeza[[#All],[Colunas2]],0))</f>
        <v>Copo descartável 100ml</v>
      </c>
      <c r="C256" s="238"/>
      <c r="D256" s="238"/>
      <c r="E256" s="238"/>
      <c r="F256" s="238"/>
      <c r="G256" s="238"/>
      <c r="H256" s="238"/>
      <c r="I256" s="238"/>
      <c r="J256" s="238"/>
      <c r="K256" s="238"/>
      <c r="L256" s="238"/>
      <c r="M256" s="238"/>
      <c r="N256" s="238"/>
      <c r="O256" s="238"/>
      <c r="P256" s="238"/>
      <c r="Q256" s="238"/>
      <c r="R256" s="238"/>
      <c r="S256" s="238"/>
      <c r="T256" s="238"/>
      <c r="U256" s="238"/>
      <c r="V256" s="238"/>
      <c r="W256" s="238"/>
      <c r="X256" s="238"/>
      <c r="Y256" s="238"/>
      <c r="Z256" s="238"/>
      <c r="AA256" s="238"/>
      <c r="AB256" s="238"/>
      <c r="AC256" s="238"/>
      <c r="AD256" s="238"/>
      <c r="AE256" s="238"/>
      <c r="AF256" s="238"/>
      <c r="AG256" s="238"/>
      <c r="AH256" s="238"/>
      <c r="AI256" s="237">
        <f ca="1">IF(Configurações!$G$10="Ligado",SUMIFS(C256:AH256,$C$4:$AH$4,"&lt;="&amp;Configurações!$C$5,$C$4:$AH$4,"&lt;="&amp;$AI$3),"")</f>
        <v>0</v>
      </c>
      <c r="AJ256" s="244" t="str">
        <f ca="1">IF(Configurações!$G$12="Ligado",IF(AI256&lt;=0,"Vazio",IF(Configurações!$G$11="Dia",IF(C253="",BAIXAS!AI256/(Configurações!$C$5),BAIXAS!AI256/(Configurações!$C$5+1)),BAIXAS!AI256/BAIXAS!A256)),"")</f>
        <v>Vazio</v>
      </c>
    </row>
    <row r="257" spans="1:36" ht="21">
      <c r="A257" s="243">
        <f ca="1">COUNT(INDEX($C:$AH,ROW(),1):INDEX($C:$AH,ROW(),$AI$3+1))</f>
        <v>2</v>
      </c>
      <c r="B257" s="230" t="str">
        <f>INDEX(Cadastro_Limpeza[[#All],[Colunas4]],MATCH(ROW()-5,Cadastro_Limpeza[[#All],[Colunas2]],0))</f>
        <v>Copo descartável 200ml</v>
      </c>
      <c r="C257" s="239"/>
      <c r="D257" s="239"/>
      <c r="E257" s="239"/>
      <c r="F257" s="239"/>
      <c r="G257" s="239"/>
      <c r="H257" s="239"/>
      <c r="I257" s="239"/>
      <c r="J257" s="239"/>
      <c r="K257" s="239"/>
      <c r="L257" s="239"/>
      <c r="M257" s="239"/>
      <c r="N257" s="239"/>
      <c r="O257" s="239"/>
      <c r="P257" s="239"/>
      <c r="Q257" s="239"/>
      <c r="R257" s="239"/>
      <c r="S257" s="239"/>
      <c r="T257" s="239"/>
      <c r="U257" s="239">
        <v>10</v>
      </c>
      <c r="V257" s="239">
        <v>6</v>
      </c>
      <c r="W257" s="239"/>
      <c r="X257" s="239"/>
      <c r="Y257" s="239"/>
      <c r="Z257" s="239"/>
      <c r="AA257" s="239"/>
      <c r="AB257" s="239"/>
      <c r="AC257" s="239"/>
      <c r="AD257" s="239"/>
      <c r="AE257" s="239"/>
      <c r="AF257" s="239"/>
      <c r="AG257" s="239"/>
      <c r="AH257" s="239"/>
      <c r="AI257" s="237">
        <f ca="1">IF(Configurações!$G$10="Ligado",SUMIFS(C257:AH257,$C$4:$AH$4,"&lt;="&amp;Configurações!$C$5,$C$4:$AH$4,"&lt;="&amp;$AI$3),"")</f>
        <v>16</v>
      </c>
      <c r="AJ257" s="244">
        <f ca="1">IF(Configurações!$G$12="Ligado",IF(AI257&lt;=0,"Vazio",IF(Configurações!$G$11="Dia",IF(C254="",BAIXAS!AI257/(Configurações!$C$5),BAIXAS!AI257/(Configurações!$C$5+1)),BAIXAS!AI257/BAIXAS!A257)),"")</f>
        <v>0.66666666666666663</v>
      </c>
    </row>
    <row r="258" spans="1:36" ht="21">
      <c r="A258" s="243">
        <f ca="1">COUNT(INDEX($C:$AH,ROW(),1):INDEX($C:$AH,ROW(),$AI$3+1))</f>
        <v>0</v>
      </c>
      <c r="B258" s="231" t="str">
        <f>INDEX(Cadastro_Limpeza[[#All],[Colunas4]],MATCH(ROW()-5,Cadastro_Limpeza[[#All],[Colunas2]],0))</f>
        <v>Desincrustante</v>
      </c>
      <c r="C258" s="238"/>
      <c r="D258" s="238"/>
      <c r="E258" s="238"/>
      <c r="F258" s="238"/>
      <c r="G258" s="238"/>
      <c r="H258" s="238"/>
      <c r="I258" s="238"/>
      <c r="J258" s="238"/>
      <c r="K258" s="238"/>
      <c r="L258" s="238"/>
      <c r="M258" s="238"/>
      <c r="N258" s="238"/>
      <c r="O258" s="238"/>
      <c r="P258" s="238"/>
      <c r="Q258" s="238"/>
      <c r="R258" s="238"/>
      <c r="S258" s="238"/>
      <c r="T258" s="238"/>
      <c r="U258" s="238"/>
      <c r="V258" s="238"/>
      <c r="W258" s="238"/>
      <c r="X258" s="238"/>
      <c r="Y258" s="238"/>
      <c r="Z258" s="238"/>
      <c r="AA258" s="238"/>
      <c r="AB258" s="238"/>
      <c r="AC258" s="238"/>
      <c r="AD258" s="238"/>
      <c r="AE258" s="238"/>
      <c r="AF258" s="238"/>
      <c r="AG258" s="238"/>
      <c r="AH258" s="238"/>
      <c r="AI258" s="237">
        <f ca="1">IF(Configurações!$G$10="Ligado",SUMIFS(C258:AH258,$C$4:$AH$4,"&lt;="&amp;Configurações!$C$5,$C$4:$AH$4,"&lt;="&amp;$AI$3),"")</f>
        <v>0</v>
      </c>
      <c r="AJ258" s="244" t="str">
        <f ca="1">IF(Configurações!$G$12="Ligado",IF(AI258&lt;=0,"Vazio",IF(Configurações!$G$11="Dia",IF(C255="",BAIXAS!AI258/(Configurações!$C$5),BAIXAS!AI258/(Configurações!$C$5+1)),BAIXAS!AI258/BAIXAS!A258)),"")</f>
        <v>Vazio</v>
      </c>
    </row>
    <row r="259" spans="1:36" ht="21">
      <c r="A259" s="243">
        <f ca="1">COUNT(INDEX($C:$AH,ROW(),1):INDEX($C:$AH,ROW(),$AI$3+1))</f>
        <v>1</v>
      </c>
      <c r="B259" s="230" t="str">
        <f>INDEX(Cadastro_Limpeza[[#All],[Colunas4]],MATCH(ROW()-5,Cadastro_Limpeza[[#All],[Colunas2]],0))</f>
        <v xml:space="preserve">Desinfetante  </v>
      </c>
      <c r="C259" s="239"/>
      <c r="D259" s="239"/>
      <c r="E259" s="239"/>
      <c r="F259" s="239"/>
      <c r="G259" s="239"/>
      <c r="H259" s="239"/>
      <c r="I259" s="239"/>
      <c r="J259" s="239">
        <v>5</v>
      </c>
      <c r="K259" s="239"/>
      <c r="L259" s="239"/>
      <c r="M259" s="239"/>
      <c r="N259" s="239"/>
      <c r="O259" s="239"/>
      <c r="P259" s="239"/>
      <c r="Q259" s="239"/>
      <c r="R259" s="239"/>
      <c r="S259" s="239"/>
      <c r="T259" s="239"/>
      <c r="U259" s="239"/>
      <c r="V259" s="239"/>
      <c r="W259" s="239"/>
      <c r="X259" s="239"/>
      <c r="Y259" s="239"/>
      <c r="Z259" s="239"/>
      <c r="AA259" s="239"/>
      <c r="AB259" s="239"/>
      <c r="AC259" s="239"/>
      <c r="AD259" s="239"/>
      <c r="AE259" s="239"/>
      <c r="AF259" s="239"/>
      <c r="AG259" s="239"/>
      <c r="AH259" s="239"/>
      <c r="AI259" s="237">
        <f ca="1">IF(Configurações!$G$10="Ligado",SUMIFS(C259:AH259,$C$4:$AH$4,"&lt;="&amp;Configurações!$C$5,$C$4:$AH$4,"&lt;="&amp;$AI$3),"")</f>
        <v>5</v>
      </c>
      <c r="AJ259" s="244">
        <f ca="1">IF(Configurações!$G$12="Ligado",IF(AI259&lt;=0,"Vazio",IF(Configurações!$G$11="Dia",IF(C256="",BAIXAS!AI259/(Configurações!$C$5),BAIXAS!AI259/(Configurações!$C$5+1)),BAIXAS!AI259/BAIXAS!A259)),"")</f>
        <v>0.20833333333333334</v>
      </c>
    </row>
    <row r="260" spans="1:36" ht="21">
      <c r="A260" s="243">
        <f ca="1">COUNT(INDEX($C:$AH,ROW(),1):INDEX($C:$AH,ROW(),$AI$3+1))</f>
        <v>1</v>
      </c>
      <c r="B260" s="231" t="str">
        <f>INDEX(Cadastro_Limpeza[[#All],[Colunas4]],MATCH(ROW()-5,Cadastro_Limpeza[[#All],[Colunas2]],0))</f>
        <v>Detergente super gel</v>
      </c>
      <c r="C260" s="238"/>
      <c r="D260" s="238"/>
      <c r="E260" s="238"/>
      <c r="F260" s="238"/>
      <c r="G260" s="238"/>
      <c r="H260" s="238"/>
      <c r="I260" s="238"/>
      <c r="J260" s="238"/>
      <c r="K260" s="238"/>
      <c r="L260" s="238"/>
      <c r="M260" s="238"/>
      <c r="N260" s="238"/>
      <c r="O260" s="238">
        <v>20</v>
      </c>
      <c r="P260" s="238"/>
      <c r="Q260" s="238"/>
      <c r="R260" s="238"/>
      <c r="S260" s="238"/>
      <c r="T260" s="238"/>
      <c r="U260" s="238"/>
      <c r="V260" s="238"/>
      <c r="W260" s="238"/>
      <c r="X260" s="238"/>
      <c r="Y260" s="238"/>
      <c r="Z260" s="238"/>
      <c r="AA260" s="238"/>
      <c r="AB260" s="238"/>
      <c r="AC260" s="238"/>
      <c r="AD260" s="238"/>
      <c r="AE260" s="238"/>
      <c r="AF260" s="238"/>
      <c r="AG260" s="238"/>
      <c r="AH260" s="238"/>
      <c r="AI260" s="237">
        <f ca="1">IF(Configurações!$G$10="Ligado",SUMIFS(C260:AH260,$C$4:$AH$4,"&lt;="&amp;Configurações!$C$5,$C$4:$AH$4,"&lt;="&amp;$AI$3),"")</f>
        <v>20</v>
      </c>
      <c r="AJ260" s="244">
        <f ca="1">IF(Configurações!$G$12="Ligado",IF(AI260&lt;=0,"Vazio",IF(Configurações!$G$11="Dia",IF(C257="",BAIXAS!AI260/(Configurações!$C$5),BAIXAS!AI260/(Configurações!$C$5+1)),BAIXAS!AI260/BAIXAS!A260)),"")</f>
        <v>0.83333333333333337</v>
      </c>
    </row>
    <row r="261" spans="1:36" ht="21">
      <c r="A261" s="243">
        <f ca="1">COUNT(INDEX($C:$AH,ROW(),1):INDEX($C:$AH,ROW(),$AI$3+1))</f>
        <v>0</v>
      </c>
      <c r="B261" s="230" t="str">
        <f>INDEX(Cadastro_Limpeza[[#All],[Colunas4]],MATCH(ROW()-5,Cadastro_Limpeza[[#All],[Colunas2]],0))</f>
        <v xml:space="preserve">Detergente/Limpa Piso </v>
      </c>
      <c r="C261" s="239"/>
      <c r="D261" s="239"/>
      <c r="E261" s="239"/>
      <c r="F261" s="239"/>
      <c r="G261" s="239"/>
      <c r="H261" s="239"/>
      <c r="I261" s="239"/>
      <c r="J261" s="239"/>
      <c r="K261" s="239"/>
      <c r="L261" s="239"/>
      <c r="M261" s="239"/>
      <c r="N261" s="239"/>
      <c r="O261" s="239"/>
      <c r="P261" s="239"/>
      <c r="Q261" s="239"/>
      <c r="R261" s="239"/>
      <c r="S261" s="239"/>
      <c r="T261" s="239"/>
      <c r="U261" s="239"/>
      <c r="V261" s="239"/>
      <c r="W261" s="239"/>
      <c r="X261" s="239"/>
      <c r="Y261" s="239"/>
      <c r="Z261" s="239"/>
      <c r="AA261" s="239"/>
      <c r="AB261" s="239"/>
      <c r="AC261" s="239"/>
      <c r="AD261" s="239"/>
      <c r="AE261" s="239"/>
      <c r="AF261" s="239"/>
      <c r="AG261" s="239"/>
      <c r="AH261" s="239"/>
      <c r="AI261" s="237">
        <f ca="1">IF(Configurações!$G$10="Ligado",SUMIFS(C261:AH261,$C$4:$AH$4,"&lt;="&amp;Configurações!$C$5,$C$4:$AH$4,"&lt;="&amp;$AI$3),"")</f>
        <v>0</v>
      </c>
      <c r="AJ261" s="244" t="str">
        <f ca="1">IF(Configurações!$G$12="Ligado",IF(AI261&lt;=0,"Vazio",IF(Configurações!$G$11="Dia",IF(C258="",BAIXAS!AI261/(Configurações!$C$5),BAIXAS!AI261/(Configurações!$C$5+1)),BAIXAS!AI261/BAIXAS!A261)),"")</f>
        <v>Vazio</v>
      </c>
    </row>
    <row r="262" spans="1:36" ht="21">
      <c r="A262" s="243">
        <f ca="1">COUNT(INDEX($C:$AH,ROW(),1):INDEX($C:$AH,ROW(),$AI$3+1))</f>
        <v>0</v>
      </c>
      <c r="B262" s="231" t="str">
        <f>INDEX(Cadastro_Limpeza[[#All],[Colunas4]],MATCH(ROW()-5,Cadastro_Limpeza[[#All],[Colunas2]],0))</f>
        <v xml:space="preserve">Detergente/Maq.Louça </v>
      </c>
      <c r="C262" s="238"/>
      <c r="D262" s="238"/>
      <c r="E262" s="238"/>
      <c r="F262" s="238"/>
      <c r="G262" s="238"/>
      <c r="H262" s="238"/>
      <c r="I262" s="238"/>
      <c r="J262" s="238"/>
      <c r="K262" s="238"/>
      <c r="L262" s="238"/>
      <c r="M262" s="238"/>
      <c r="N262" s="238"/>
      <c r="O262" s="238"/>
      <c r="P262" s="238"/>
      <c r="Q262" s="238"/>
      <c r="R262" s="238"/>
      <c r="S262" s="238"/>
      <c r="T262" s="238"/>
      <c r="U262" s="238"/>
      <c r="V262" s="238"/>
      <c r="W262" s="238"/>
      <c r="X262" s="238"/>
      <c r="Y262" s="238"/>
      <c r="Z262" s="238"/>
      <c r="AA262" s="238"/>
      <c r="AB262" s="238"/>
      <c r="AC262" s="238"/>
      <c r="AD262" s="238"/>
      <c r="AE262" s="238"/>
      <c r="AF262" s="238"/>
      <c r="AG262" s="238"/>
      <c r="AH262" s="238"/>
      <c r="AI262" s="237">
        <f ca="1">IF(Configurações!$G$10="Ligado",SUMIFS(C262:AH262,$C$4:$AH$4,"&lt;="&amp;Configurações!$C$5,$C$4:$AH$4,"&lt;="&amp;$AI$3),"")</f>
        <v>0</v>
      </c>
      <c r="AJ262" s="244" t="str">
        <f ca="1">IF(Configurações!$G$12="Ligado",IF(AI262&lt;=0,"Vazio",IF(Configurações!$G$11="Dia",IF(C259="",BAIXAS!AI262/(Configurações!$C$5),BAIXAS!AI262/(Configurações!$C$5+1)),BAIXAS!AI262/BAIXAS!A262)),"")</f>
        <v>Vazio</v>
      </c>
    </row>
    <row r="263" spans="1:36" ht="21">
      <c r="A263" s="243">
        <f ca="1">COUNT(INDEX($C:$AH,ROW(),1):INDEX($C:$AH,ROW(),$AI$3+1))</f>
        <v>0</v>
      </c>
      <c r="B263" s="230" t="str">
        <f>INDEX(Cadastro_Limpeza[[#All],[Colunas4]],MATCH(ROW()-5,Cadastro_Limpeza[[#All],[Colunas2]],0))</f>
        <v xml:space="preserve">Detergente/Secante  </v>
      </c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  <c r="P263" s="239"/>
      <c r="Q263" s="239"/>
      <c r="R263" s="239"/>
      <c r="S263" s="239"/>
      <c r="T263" s="239"/>
      <c r="U263" s="239"/>
      <c r="V263" s="239"/>
      <c r="W263" s="239"/>
      <c r="X263" s="239"/>
      <c r="Y263" s="239"/>
      <c r="Z263" s="239"/>
      <c r="AA263" s="239"/>
      <c r="AB263" s="239"/>
      <c r="AC263" s="239"/>
      <c r="AD263" s="239"/>
      <c r="AE263" s="239"/>
      <c r="AF263" s="239"/>
      <c r="AG263" s="239"/>
      <c r="AH263" s="239"/>
      <c r="AI263" s="237">
        <f ca="1">IF(Configurações!$G$10="Ligado",SUMIFS(C263:AH263,$C$4:$AH$4,"&lt;="&amp;Configurações!$C$5,$C$4:$AH$4,"&lt;="&amp;$AI$3),"")</f>
        <v>0</v>
      </c>
      <c r="AJ263" s="244" t="str">
        <f ca="1">IF(Configurações!$G$12="Ligado",IF(AI263&lt;=0,"Vazio",IF(Configurações!$G$11="Dia",IF(C260="",BAIXAS!AI263/(Configurações!$C$5),BAIXAS!AI263/(Configurações!$C$5+1)),BAIXAS!AI263/BAIXAS!A263)),"")</f>
        <v>Vazio</v>
      </c>
    </row>
    <row r="264" spans="1:36" ht="21">
      <c r="A264" s="243">
        <f ca="1">COUNT(INDEX($C:$AH,ROW(),1):INDEX($C:$AH,ROW(),$AI$3+1))</f>
        <v>0</v>
      </c>
      <c r="B264" s="231" t="str">
        <f>INDEX(Cadastro_Limpeza[[#All],[Colunas4]],MATCH(ROW()-5,Cadastro_Limpeza[[#All],[Colunas2]],0))</f>
        <v>Dispenser p/ papel toalha</v>
      </c>
      <c r="C264" s="238"/>
      <c r="D264" s="238"/>
      <c r="E264" s="238"/>
      <c r="F264" s="238"/>
      <c r="G264" s="238"/>
      <c r="H264" s="238"/>
      <c r="I264" s="238"/>
      <c r="J264" s="238"/>
      <c r="K264" s="238"/>
      <c r="L264" s="238"/>
      <c r="M264" s="238"/>
      <c r="N264" s="238"/>
      <c r="O264" s="238"/>
      <c r="P264" s="238"/>
      <c r="Q264" s="238"/>
      <c r="R264" s="238"/>
      <c r="S264" s="238"/>
      <c r="T264" s="238"/>
      <c r="U264" s="238"/>
      <c r="V264" s="238"/>
      <c r="W264" s="238"/>
      <c r="X264" s="238"/>
      <c r="Y264" s="238"/>
      <c r="Z264" s="238"/>
      <c r="AA264" s="238"/>
      <c r="AB264" s="238"/>
      <c r="AC264" s="238"/>
      <c r="AD264" s="238"/>
      <c r="AE264" s="238"/>
      <c r="AF264" s="238"/>
      <c r="AG264" s="238"/>
      <c r="AH264" s="238"/>
      <c r="AI264" s="237">
        <f ca="1">IF(Configurações!$G$10="Ligado",SUMIFS(C264:AH264,$C$4:$AH$4,"&lt;="&amp;Configurações!$C$5,$C$4:$AH$4,"&lt;="&amp;$AI$3),"")</f>
        <v>0</v>
      </c>
      <c r="AJ264" s="244" t="str">
        <f ca="1">IF(Configurações!$G$12="Ligado",IF(AI264&lt;=0,"Vazio",IF(Configurações!$G$11="Dia",IF(C261="",BAIXAS!AI264/(Configurações!$C$5),BAIXAS!AI264/(Configurações!$C$5+1)),BAIXAS!AI264/BAIXAS!A264)),"")</f>
        <v>Vazio</v>
      </c>
    </row>
    <row r="265" spans="1:36" ht="21">
      <c r="A265" s="243">
        <f ca="1">COUNT(INDEX($C:$AH,ROW(),1):INDEX($C:$AH,ROW(),$AI$3+1))</f>
        <v>0</v>
      </c>
      <c r="B265" s="230" t="str">
        <f>INDEX(Cadastro_Limpeza[[#All],[Colunas4]],MATCH(ROW()-5,Cadastro_Limpeza[[#All],[Colunas2]],0))</f>
        <v xml:space="preserve">Eliminador de Odores </v>
      </c>
      <c r="C265" s="239"/>
      <c r="D265" s="239"/>
      <c r="E265" s="239"/>
      <c r="F265" s="239"/>
      <c r="G265" s="239"/>
      <c r="H265" s="239"/>
      <c r="I265" s="239"/>
      <c r="J265" s="239"/>
      <c r="K265" s="239"/>
      <c r="L265" s="239"/>
      <c r="M265" s="239"/>
      <c r="N265" s="239"/>
      <c r="O265" s="239"/>
      <c r="P265" s="239"/>
      <c r="Q265" s="239"/>
      <c r="R265" s="239"/>
      <c r="S265" s="239"/>
      <c r="T265" s="239"/>
      <c r="U265" s="239"/>
      <c r="V265" s="239"/>
      <c r="W265" s="239"/>
      <c r="X265" s="239"/>
      <c r="Y265" s="239"/>
      <c r="Z265" s="239"/>
      <c r="AA265" s="239"/>
      <c r="AB265" s="239"/>
      <c r="AC265" s="239"/>
      <c r="AD265" s="239"/>
      <c r="AE265" s="239"/>
      <c r="AF265" s="239"/>
      <c r="AG265" s="239"/>
      <c r="AH265" s="239"/>
      <c r="AI265" s="237">
        <f ca="1">IF(Configurações!$G$10="Ligado",SUMIFS(C265:AH265,$C$4:$AH$4,"&lt;="&amp;Configurações!$C$5,$C$4:$AH$4,"&lt;="&amp;$AI$3),"")</f>
        <v>0</v>
      </c>
      <c r="AJ265" s="244" t="str">
        <f ca="1">IF(Configurações!$G$12="Ligado",IF(AI265&lt;=0,"Vazio",IF(Configurações!$G$11="Dia",IF(C262="",BAIXAS!AI265/(Configurações!$C$5),BAIXAS!AI265/(Configurações!$C$5+1)),BAIXAS!AI265/BAIXAS!A265)),"")</f>
        <v>Vazio</v>
      </c>
    </row>
    <row r="266" spans="1:36" ht="21">
      <c r="A266" s="243">
        <f ca="1">COUNT(INDEX($C:$AH,ROW(),1):INDEX($C:$AH,ROW(),$AI$3+1))</f>
        <v>0</v>
      </c>
      <c r="B266" s="231" t="str">
        <f>INDEX(Cadastro_Limpeza[[#All],[Colunas4]],MATCH(ROW()-5,Cadastro_Limpeza[[#All],[Colunas2]],0))</f>
        <v>Escova p/ Lavar Roupa</v>
      </c>
      <c r="C266" s="238"/>
      <c r="D266" s="238"/>
      <c r="E266" s="238"/>
      <c r="F266" s="238"/>
      <c r="G266" s="238"/>
      <c r="H266" s="238"/>
      <c r="I266" s="238"/>
      <c r="J266" s="238"/>
      <c r="K266" s="238"/>
      <c r="L266" s="238"/>
      <c r="M266" s="238"/>
      <c r="N266" s="238"/>
      <c r="O266" s="238"/>
      <c r="P266" s="238"/>
      <c r="Q266" s="238"/>
      <c r="R266" s="238"/>
      <c r="S266" s="238"/>
      <c r="T266" s="238"/>
      <c r="U266" s="238"/>
      <c r="V266" s="238"/>
      <c r="W266" s="238"/>
      <c r="X266" s="238"/>
      <c r="Y266" s="238"/>
      <c r="Z266" s="238"/>
      <c r="AA266" s="238"/>
      <c r="AB266" s="238"/>
      <c r="AC266" s="238"/>
      <c r="AD266" s="238"/>
      <c r="AE266" s="238"/>
      <c r="AF266" s="238"/>
      <c r="AG266" s="238"/>
      <c r="AH266" s="238"/>
      <c r="AI266" s="237">
        <f ca="1">IF(Configurações!$G$10="Ligado",SUMIFS(C266:AH266,$C$4:$AH$4,"&lt;="&amp;Configurações!$C$5,$C$4:$AH$4,"&lt;="&amp;$AI$3),"")</f>
        <v>0</v>
      </c>
      <c r="AJ266" s="244" t="str">
        <f ca="1">IF(Configurações!$G$12="Ligado",IF(AI266&lt;=0,"Vazio",IF(Configurações!$G$11="Dia",IF(C263="",BAIXAS!AI266/(Configurações!$C$5),BAIXAS!AI266/(Configurações!$C$5+1)),BAIXAS!AI266/BAIXAS!A266)),"")</f>
        <v>Vazio</v>
      </c>
    </row>
    <row r="267" spans="1:36" ht="21">
      <c r="A267" s="243">
        <f ca="1">COUNT(INDEX($C:$AH,ROW(),1):INDEX($C:$AH,ROW(),$AI$3+1))</f>
        <v>1</v>
      </c>
      <c r="B267" s="230" t="str">
        <f>INDEX(Cadastro_Limpeza[[#All],[Colunas4]],MATCH(ROW()-5,Cadastro_Limpeza[[#All],[Colunas2]],0))</f>
        <v>Escova Sanitária</v>
      </c>
      <c r="C267" s="239"/>
      <c r="D267" s="239"/>
      <c r="E267" s="239"/>
      <c r="F267" s="239"/>
      <c r="G267" s="239">
        <v>1</v>
      </c>
      <c r="H267" s="239"/>
      <c r="I267" s="239"/>
      <c r="J267" s="239"/>
      <c r="K267" s="239"/>
      <c r="L267" s="239"/>
      <c r="M267" s="239"/>
      <c r="N267" s="239"/>
      <c r="O267" s="239"/>
      <c r="P267" s="239"/>
      <c r="Q267" s="239"/>
      <c r="R267" s="239"/>
      <c r="S267" s="239"/>
      <c r="T267" s="239"/>
      <c r="U267" s="239"/>
      <c r="V267" s="239"/>
      <c r="W267" s="239"/>
      <c r="X267" s="239"/>
      <c r="Y267" s="239"/>
      <c r="Z267" s="239"/>
      <c r="AA267" s="239"/>
      <c r="AB267" s="239"/>
      <c r="AC267" s="239"/>
      <c r="AD267" s="239"/>
      <c r="AE267" s="239"/>
      <c r="AF267" s="239"/>
      <c r="AG267" s="239"/>
      <c r="AH267" s="239"/>
      <c r="AI267" s="237">
        <f ca="1">IF(Configurações!$G$10="Ligado",SUMIFS(C267:AH267,$C$4:$AH$4,"&lt;="&amp;Configurações!$C$5,$C$4:$AH$4,"&lt;="&amp;$AI$3),"")</f>
        <v>1</v>
      </c>
      <c r="AJ267" s="244">
        <f ca="1">IF(Configurações!$G$12="Ligado",IF(AI267&lt;=0,"Vazio",IF(Configurações!$G$11="Dia",IF(C264="",BAIXAS!AI267/(Configurações!$C$5),BAIXAS!AI267/(Configurações!$C$5+1)),BAIXAS!AI267/BAIXAS!A267)),"")</f>
        <v>4.1666666666666664E-2</v>
      </c>
    </row>
    <row r="268" spans="1:36" ht="21">
      <c r="A268" s="243">
        <f ca="1">COUNT(INDEX($C:$AH,ROW(),1):INDEX($C:$AH,ROW(),$AI$3+1))</f>
        <v>0</v>
      </c>
      <c r="B268" s="231" t="str">
        <f>INDEX(Cadastro_Limpeza[[#All],[Colunas4]],MATCH(ROW()-5,Cadastro_Limpeza[[#All],[Colunas2]],0))</f>
        <v>Espeto de Madeira</v>
      </c>
      <c r="C268" s="238"/>
      <c r="D268" s="238"/>
      <c r="E268" s="238"/>
      <c r="F268" s="238"/>
      <c r="G268" s="238"/>
      <c r="H268" s="238"/>
      <c r="I268" s="238"/>
      <c r="J268" s="238"/>
      <c r="K268" s="238"/>
      <c r="L268" s="238"/>
      <c r="M268" s="238"/>
      <c r="N268" s="238"/>
      <c r="O268" s="238"/>
      <c r="P268" s="238"/>
      <c r="Q268" s="238"/>
      <c r="R268" s="238"/>
      <c r="S268" s="238"/>
      <c r="T268" s="238"/>
      <c r="U268" s="238"/>
      <c r="V268" s="238"/>
      <c r="W268" s="238"/>
      <c r="X268" s="238"/>
      <c r="Y268" s="238"/>
      <c r="Z268" s="238"/>
      <c r="AA268" s="238"/>
      <c r="AB268" s="238"/>
      <c r="AC268" s="238"/>
      <c r="AD268" s="238"/>
      <c r="AE268" s="238"/>
      <c r="AF268" s="238"/>
      <c r="AG268" s="238"/>
      <c r="AH268" s="238"/>
      <c r="AI268" s="237">
        <f ca="1">IF(Configurações!$G$10="Ligado",SUMIFS(C268:AH268,$C$4:$AH$4,"&lt;="&amp;Configurações!$C$5,$C$4:$AH$4,"&lt;="&amp;$AI$3),"")</f>
        <v>0</v>
      </c>
      <c r="AJ268" s="244" t="str">
        <f ca="1">IF(Configurações!$G$12="Ligado",IF(AI268&lt;=0,"Vazio",IF(Configurações!$G$11="Dia",IF(C265="",BAIXAS!AI268/(Configurações!$C$5),BAIXAS!AI268/(Configurações!$C$5+1)),BAIXAS!AI268/BAIXAS!A268)),"")</f>
        <v>Vazio</v>
      </c>
    </row>
    <row r="269" spans="1:36" ht="21">
      <c r="A269" s="243">
        <f ca="1">COUNT(INDEX($C:$AH,ROW(),1):INDEX($C:$AH,ROW(),$AI$3+1))</f>
        <v>7</v>
      </c>
      <c r="B269" s="230" t="str">
        <f>INDEX(Cadastro_Limpeza[[#All],[Colunas4]],MATCH(ROW()-5,Cadastro_Limpeza[[#All],[Colunas2]],0))</f>
        <v>Esponja Dupla Face</v>
      </c>
      <c r="C269" s="239"/>
      <c r="D269" s="239"/>
      <c r="E269" s="239"/>
      <c r="F269" s="239">
        <v>5</v>
      </c>
      <c r="G269" s="239">
        <v>1</v>
      </c>
      <c r="H269" s="239"/>
      <c r="I269" s="239"/>
      <c r="J269" s="239">
        <v>6</v>
      </c>
      <c r="K269" s="239"/>
      <c r="L269" s="239"/>
      <c r="M269" s="239"/>
      <c r="N269" s="239">
        <v>5</v>
      </c>
      <c r="O269" s="239"/>
      <c r="P269" s="239"/>
      <c r="Q269" s="239">
        <v>1</v>
      </c>
      <c r="R269" s="239"/>
      <c r="S269" s="239"/>
      <c r="T269" s="239"/>
      <c r="U269" s="239"/>
      <c r="V269" s="239"/>
      <c r="W269" s="239"/>
      <c r="X269" s="239">
        <v>1</v>
      </c>
      <c r="Y269" s="239"/>
      <c r="Z269" s="239"/>
      <c r="AA269" s="239">
        <v>1</v>
      </c>
      <c r="AB269" s="239"/>
      <c r="AC269" s="239"/>
      <c r="AD269" s="239"/>
      <c r="AE269" s="239"/>
      <c r="AF269" s="239"/>
      <c r="AG269" s="239"/>
      <c r="AH269" s="239"/>
      <c r="AI269" s="237">
        <f ca="1">IF(Configurações!$G$10="Ligado",SUMIFS(C269:AH269,$C$4:$AH$4,"&lt;="&amp;Configurações!$C$5,$C$4:$AH$4,"&lt;="&amp;$AI$3),"")</f>
        <v>20</v>
      </c>
      <c r="AJ269" s="244">
        <f ca="1">IF(Configurações!$G$12="Ligado",IF(AI269&lt;=0,"Vazio",IF(Configurações!$G$11="Dia",IF(C266="",BAIXAS!AI269/(Configurações!$C$5),BAIXAS!AI269/(Configurações!$C$5+1)),BAIXAS!AI269/BAIXAS!A269)),"")</f>
        <v>0.83333333333333337</v>
      </c>
    </row>
    <row r="270" spans="1:36" ht="21">
      <c r="A270" s="243">
        <f ca="1">COUNT(INDEX($C:$AH,ROW(),1):INDEX($C:$AH,ROW(),$AI$3+1))</f>
        <v>1</v>
      </c>
      <c r="B270" s="231" t="str">
        <f>INDEX(Cadastro_Limpeza[[#All],[Colunas4]],MATCH(ROW()-5,Cadastro_Limpeza[[#All],[Colunas2]],0))</f>
        <v>Esponja Verde ( Fibra)</v>
      </c>
      <c r="C270" s="238"/>
      <c r="D270" s="238"/>
      <c r="E270" s="238"/>
      <c r="F270" s="238"/>
      <c r="G270" s="238"/>
      <c r="H270" s="238"/>
      <c r="I270" s="238"/>
      <c r="J270" s="238"/>
      <c r="K270" s="238"/>
      <c r="L270" s="238"/>
      <c r="M270" s="238"/>
      <c r="N270" s="238"/>
      <c r="O270" s="238"/>
      <c r="P270" s="238"/>
      <c r="Q270" s="238">
        <v>1</v>
      </c>
      <c r="R270" s="238"/>
      <c r="S270" s="238"/>
      <c r="T270" s="238"/>
      <c r="U270" s="238"/>
      <c r="V270" s="238"/>
      <c r="W270" s="238"/>
      <c r="X270" s="238"/>
      <c r="Y270" s="238"/>
      <c r="Z270" s="238"/>
      <c r="AA270" s="238"/>
      <c r="AB270" s="238"/>
      <c r="AC270" s="238"/>
      <c r="AD270" s="238"/>
      <c r="AE270" s="238"/>
      <c r="AF270" s="238"/>
      <c r="AG270" s="238"/>
      <c r="AH270" s="238"/>
      <c r="AI270" s="237">
        <f ca="1">IF(Configurações!$G$10="Ligado",SUMIFS(C270:AH270,$C$4:$AH$4,"&lt;="&amp;Configurações!$C$5,$C$4:$AH$4,"&lt;="&amp;$AI$3),"")</f>
        <v>1</v>
      </c>
      <c r="AJ270" s="244">
        <f ca="1">IF(Configurações!$G$12="Ligado",IF(AI270&lt;=0,"Vazio",IF(Configurações!$G$11="Dia",IF(C267="",BAIXAS!AI270/(Configurações!$C$5),BAIXAS!AI270/(Configurações!$C$5+1)),BAIXAS!AI270/BAIXAS!A270)),"")</f>
        <v>4.1666666666666664E-2</v>
      </c>
    </row>
    <row r="271" spans="1:36" ht="21">
      <c r="A271" s="243">
        <f ca="1">COUNT(INDEX($C:$AH,ROW(),1):INDEX($C:$AH,ROW(),$AI$3+1))</f>
        <v>0</v>
      </c>
      <c r="B271" s="230" t="str">
        <f>INDEX(Cadastro_Limpeza[[#All],[Colunas4]],MATCH(ROW()-5,Cadastro_Limpeza[[#All],[Colunas2]],0))</f>
        <v>Filme PVC 300MTS</v>
      </c>
      <c r="C271" s="239"/>
      <c r="D271" s="239"/>
      <c r="E271" s="239"/>
      <c r="F271" s="239"/>
      <c r="G271" s="239"/>
      <c r="H271" s="239"/>
      <c r="I271" s="239"/>
      <c r="J271" s="239"/>
      <c r="K271" s="239"/>
      <c r="L271" s="239"/>
      <c r="M271" s="239"/>
      <c r="N271" s="239"/>
      <c r="O271" s="239"/>
      <c r="P271" s="239"/>
      <c r="Q271" s="239"/>
      <c r="R271" s="239"/>
      <c r="S271" s="239"/>
      <c r="T271" s="239"/>
      <c r="U271" s="239"/>
      <c r="V271" s="239"/>
      <c r="W271" s="239"/>
      <c r="X271" s="239"/>
      <c r="Y271" s="239"/>
      <c r="Z271" s="239"/>
      <c r="AA271" s="239"/>
      <c r="AB271" s="239"/>
      <c r="AC271" s="239"/>
      <c r="AD271" s="239"/>
      <c r="AE271" s="239"/>
      <c r="AF271" s="239"/>
      <c r="AG271" s="239"/>
      <c r="AH271" s="239"/>
      <c r="AI271" s="237">
        <f ca="1">IF(Configurações!$G$10="Ligado",SUMIFS(C271:AH271,$C$4:$AH$4,"&lt;="&amp;Configurações!$C$5,$C$4:$AH$4,"&lt;="&amp;$AI$3),"")</f>
        <v>0</v>
      </c>
      <c r="AJ271" s="244" t="str">
        <f ca="1">IF(Configurações!$G$12="Ligado",IF(AI271&lt;=0,"Vazio",IF(Configurações!$G$11="Dia",IF(C268="",BAIXAS!AI271/(Configurações!$C$5),BAIXAS!AI271/(Configurações!$C$5+1)),BAIXAS!AI271/BAIXAS!A271)),"")</f>
        <v>Vazio</v>
      </c>
    </row>
    <row r="272" spans="1:36" ht="21">
      <c r="A272" s="243">
        <f ca="1">COUNT(INDEX($C:$AH,ROW(),1):INDEX($C:$AH,ROW(),$AI$3+1))</f>
        <v>1</v>
      </c>
      <c r="B272" s="231" t="str">
        <f>INDEX(Cadastro_Limpeza[[#All],[Colunas4]],MATCH(ROW()-5,Cadastro_Limpeza[[#All],[Colunas2]],0))</f>
        <v>Fósforo</v>
      </c>
      <c r="C272" s="238"/>
      <c r="D272" s="238"/>
      <c r="E272" s="238"/>
      <c r="F272" s="238"/>
      <c r="G272" s="238"/>
      <c r="H272" s="238"/>
      <c r="I272" s="238"/>
      <c r="J272" s="238"/>
      <c r="K272" s="238"/>
      <c r="L272" s="238"/>
      <c r="M272" s="238"/>
      <c r="N272" s="238"/>
      <c r="O272" s="238"/>
      <c r="P272" s="238"/>
      <c r="Q272" s="238"/>
      <c r="R272" s="238"/>
      <c r="S272" s="238"/>
      <c r="T272" s="238"/>
      <c r="U272" s="238"/>
      <c r="V272" s="238">
        <v>1</v>
      </c>
      <c r="W272" s="238"/>
      <c r="X272" s="238"/>
      <c r="Y272" s="238"/>
      <c r="Z272" s="238"/>
      <c r="AA272" s="238"/>
      <c r="AB272" s="238"/>
      <c r="AC272" s="238"/>
      <c r="AD272" s="238"/>
      <c r="AE272" s="238"/>
      <c r="AF272" s="238"/>
      <c r="AG272" s="238"/>
      <c r="AH272" s="238"/>
      <c r="AI272" s="237">
        <f ca="1">IF(Configurações!$G$10="Ligado",SUMIFS(C272:AH272,$C$4:$AH$4,"&lt;="&amp;Configurações!$C$5,$C$4:$AH$4,"&lt;="&amp;$AI$3),"")</f>
        <v>1</v>
      </c>
      <c r="AJ272" s="244">
        <f ca="1">IF(Configurações!$G$12="Ligado",IF(AI272&lt;=0,"Vazio",IF(Configurações!$G$11="Dia",IF(C269="",BAIXAS!AI272/(Configurações!$C$5),BAIXAS!AI272/(Configurações!$C$5+1)),BAIXAS!AI272/BAIXAS!A272)),"")</f>
        <v>4.1666666666666664E-2</v>
      </c>
    </row>
    <row r="273" spans="1:36" ht="21">
      <c r="A273" s="243">
        <f ca="1">COUNT(INDEX($C:$AH,ROW(),1):INDEX($C:$AH,ROW(),$AI$3+1))</f>
        <v>0</v>
      </c>
      <c r="B273" s="230" t="str">
        <f>INDEX(Cadastro_Limpeza[[#All],[Colunas4]],MATCH(ROW()-5,Cadastro_Limpeza[[#All],[Colunas2]],0))</f>
        <v>Guardanapo cx c/80 uni</v>
      </c>
      <c r="C273" s="239"/>
      <c r="D273" s="239"/>
      <c r="E273" s="239"/>
      <c r="F273" s="239"/>
      <c r="G273" s="239"/>
      <c r="H273" s="239"/>
      <c r="I273" s="239"/>
      <c r="J273" s="239"/>
      <c r="K273" s="239"/>
      <c r="L273" s="239"/>
      <c r="M273" s="239"/>
      <c r="N273" s="239"/>
      <c r="O273" s="239"/>
      <c r="P273" s="239"/>
      <c r="Q273" s="239"/>
      <c r="R273" s="239"/>
      <c r="S273" s="239"/>
      <c r="T273" s="239"/>
      <c r="U273" s="239"/>
      <c r="V273" s="239"/>
      <c r="W273" s="239"/>
      <c r="X273" s="239"/>
      <c r="Y273" s="239"/>
      <c r="Z273" s="239"/>
      <c r="AA273" s="239"/>
      <c r="AB273" s="239"/>
      <c r="AC273" s="239"/>
      <c r="AD273" s="239"/>
      <c r="AE273" s="239"/>
      <c r="AF273" s="239"/>
      <c r="AG273" s="239"/>
      <c r="AH273" s="239"/>
      <c r="AI273" s="237">
        <f ca="1">IF(Configurações!$G$10="Ligado",SUMIFS(C273:AH273,$C$4:$AH$4,"&lt;="&amp;Configurações!$C$5,$C$4:$AH$4,"&lt;="&amp;$AI$3),"")</f>
        <v>0</v>
      </c>
      <c r="AJ273" s="244" t="str">
        <f ca="1">IF(Configurações!$G$12="Ligado",IF(AI273&lt;=0,"Vazio",IF(Configurações!$G$11="Dia",IF(C270="",BAIXAS!AI273/(Configurações!$C$5),BAIXAS!AI273/(Configurações!$C$5+1)),BAIXAS!AI273/BAIXAS!A273)),"")</f>
        <v>Vazio</v>
      </c>
    </row>
    <row r="274" spans="1:36" ht="21">
      <c r="A274" s="243">
        <f ca="1">COUNT(INDEX($C:$AH,ROW(),1):INDEX($C:$AH,ROW(),$AI$3+1))</f>
        <v>1</v>
      </c>
      <c r="B274" s="231" t="str">
        <f>INDEX(Cadastro_Limpeza[[#All],[Colunas4]],MATCH(ROW()-5,Cadastro_Limpeza[[#All],[Colunas2]],0))</f>
        <v xml:space="preserve">Hipoclorito  </v>
      </c>
      <c r="C274" s="238"/>
      <c r="D274" s="238"/>
      <c r="E274" s="238"/>
      <c r="F274" s="238"/>
      <c r="G274" s="238"/>
      <c r="H274" s="238"/>
      <c r="I274" s="238"/>
      <c r="J274" s="238"/>
      <c r="K274" s="238"/>
      <c r="L274" s="238"/>
      <c r="M274" s="238">
        <v>1</v>
      </c>
      <c r="N274" s="238"/>
      <c r="O274" s="238"/>
      <c r="P274" s="238"/>
      <c r="Q274" s="238"/>
      <c r="R274" s="238"/>
      <c r="S274" s="238"/>
      <c r="T274" s="238"/>
      <c r="U274" s="238"/>
      <c r="V274" s="238"/>
      <c r="W274" s="238"/>
      <c r="X274" s="238"/>
      <c r="Y274" s="238"/>
      <c r="Z274" s="238"/>
      <c r="AA274" s="238"/>
      <c r="AB274" s="238"/>
      <c r="AC274" s="238"/>
      <c r="AD274" s="238"/>
      <c r="AE274" s="238"/>
      <c r="AF274" s="238"/>
      <c r="AG274" s="238"/>
      <c r="AH274" s="238"/>
      <c r="AI274" s="237">
        <f ca="1">IF(Configurações!$G$10="Ligado",SUMIFS(C274:AH274,$C$4:$AH$4,"&lt;="&amp;Configurações!$C$5,$C$4:$AH$4,"&lt;="&amp;$AI$3),"")</f>
        <v>1</v>
      </c>
      <c r="AJ274" s="244">
        <f ca="1">IF(Configurações!$G$12="Ligado",IF(AI274&lt;=0,"Vazio",IF(Configurações!$G$11="Dia",IF(C271="",BAIXAS!AI274/(Configurações!$C$5),BAIXAS!AI274/(Configurações!$C$5+1)),BAIXAS!AI274/BAIXAS!A274)),"")</f>
        <v>4.1666666666666664E-2</v>
      </c>
    </row>
    <row r="275" spans="1:36" ht="21">
      <c r="A275" s="243">
        <f ca="1">COUNT(INDEX($C:$AH,ROW(),1):INDEX($C:$AH,ROW(),$AI$3+1))</f>
        <v>0</v>
      </c>
      <c r="B275" s="230" t="str">
        <f>INDEX(Cadastro_Limpeza[[#All],[Colunas4]],MATCH(ROW()-5,Cadastro_Limpeza[[#All],[Colunas2]],0))</f>
        <v>Limpa Alumínio  p/cozinha</v>
      </c>
      <c r="C275" s="239"/>
      <c r="D275" s="239"/>
      <c r="E275" s="239"/>
      <c r="F275" s="239"/>
      <c r="G275" s="239"/>
      <c r="H275" s="239"/>
      <c r="I275" s="239"/>
      <c r="J275" s="239"/>
      <c r="K275" s="239"/>
      <c r="L275" s="239"/>
      <c r="M275" s="239"/>
      <c r="N275" s="239"/>
      <c r="O275" s="239"/>
      <c r="P275" s="239"/>
      <c r="Q275" s="239"/>
      <c r="R275" s="239"/>
      <c r="S275" s="239"/>
      <c r="T275" s="239"/>
      <c r="U275" s="239"/>
      <c r="V275" s="239"/>
      <c r="W275" s="239"/>
      <c r="X275" s="239"/>
      <c r="Y275" s="239"/>
      <c r="Z275" s="239"/>
      <c r="AA275" s="239"/>
      <c r="AB275" s="239"/>
      <c r="AC275" s="239"/>
      <c r="AD275" s="239"/>
      <c r="AE275" s="239"/>
      <c r="AF275" s="239"/>
      <c r="AG275" s="239"/>
      <c r="AH275" s="239"/>
      <c r="AI275" s="237">
        <f ca="1">IF(Configurações!$G$10="Ligado",SUMIFS(C275:AH275,$C$4:$AH$4,"&lt;="&amp;Configurações!$C$5,$C$4:$AH$4,"&lt;="&amp;$AI$3),"")</f>
        <v>0</v>
      </c>
      <c r="AJ275" s="244" t="str">
        <f ca="1">IF(Configurações!$G$12="Ligado",IF(AI275&lt;=0,"Vazio",IF(Configurações!$G$11="Dia",IF(C272="",BAIXAS!AI275/(Configurações!$C$5),BAIXAS!AI275/(Configurações!$C$5+1)),BAIXAS!AI275/BAIXAS!A275)),"")</f>
        <v>Vazio</v>
      </c>
    </row>
    <row r="276" spans="1:36" ht="21">
      <c r="A276" s="243">
        <f ca="1">COUNT(INDEX($C:$AH,ROW(),1):INDEX($C:$AH,ROW(),$AI$3+1))</f>
        <v>2</v>
      </c>
      <c r="B276" s="231" t="str">
        <f>INDEX(Cadastro_Limpeza[[#All],[Colunas4]],MATCH(ROW()-5,Cadastro_Limpeza[[#All],[Colunas2]],0))</f>
        <v xml:space="preserve">Limpa Pedras  </v>
      </c>
      <c r="C276" s="238"/>
      <c r="D276" s="238"/>
      <c r="E276" s="238"/>
      <c r="F276" s="238"/>
      <c r="G276" s="238"/>
      <c r="H276" s="238"/>
      <c r="I276" s="238"/>
      <c r="J276" s="238"/>
      <c r="K276" s="238"/>
      <c r="L276" s="238"/>
      <c r="M276" s="238"/>
      <c r="N276" s="238"/>
      <c r="O276" s="238">
        <v>10</v>
      </c>
      <c r="P276" s="238">
        <v>5</v>
      </c>
      <c r="Q276" s="238"/>
      <c r="R276" s="238"/>
      <c r="S276" s="238"/>
      <c r="T276" s="238"/>
      <c r="U276" s="238"/>
      <c r="V276" s="238"/>
      <c r="W276" s="238"/>
      <c r="X276" s="238"/>
      <c r="Y276" s="238"/>
      <c r="Z276" s="238"/>
      <c r="AA276" s="238"/>
      <c r="AB276" s="238"/>
      <c r="AC276" s="238"/>
      <c r="AD276" s="238"/>
      <c r="AE276" s="238"/>
      <c r="AF276" s="238"/>
      <c r="AG276" s="238"/>
      <c r="AH276" s="238"/>
      <c r="AI276" s="237">
        <f ca="1">IF(Configurações!$G$10="Ligado",SUMIFS(C276:AH276,$C$4:$AH$4,"&lt;="&amp;Configurações!$C$5,$C$4:$AH$4,"&lt;="&amp;$AI$3),"")</f>
        <v>15</v>
      </c>
      <c r="AJ276" s="244">
        <f ca="1">IF(Configurações!$G$12="Ligado",IF(AI276&lt;=0,"Vazio",IF(Configurações!$G$11="Dia",IF(C273="",BAIXAS!AI276/(Configurações!$C$5),BAIXAS!AI276/(Configurações!$C$5+1)),BAIXAS!AI276/BAIXAS!A276)),"")</f>
        <v>0.625</v>
      </c>
    </row>
    <row r="277" spans="1:36" ht="21">
      <c r="A277" s="243">
        <f ca="1">COUNT(INDEX($C:$AH,ROW(),1):INDEX($C:$AH,ROW(),$AI$3+1))</f>
        <v>0</v>
      </c>
      <c r="B277" s="230" t="str">
        <f>INDEX(Cadastro_Limpeza[[#All],[Colunas4]],MATCH(ROW()-5,Cadastro_Limpeza[[#All],[Colunas2]],0))</f>
        <v xml:space="preserve">Limpa Vidros </v>
      </c>
      <c r="C277" s="239"/>
      <c r="D277" s="239"/>
      <c r="E277" s="239"/>
      <c r="F277" s="239"/>
      <c r="G277" s="239"/>
      <c r="H277" s="239"/>
      <c r="I277" s="239"/>
      <c r="J277" s="239"/>
      <c r="K277" s="239"/>
      <c r="L277" s="239"/>
      <c r="M277" s="239"/>
      <c r="N277" s="239"/>
      <c r="O277" s="239"/>
      <c r="P277" s="239"/>
      <c r="Q277" s="239"/>
      <c r="R277" s="239"/>
      <c r="S277" s="239"/>
      <c r="T277" s="239"/>
      <c r="U277" s="239"/>
      <c r="V277" s="239"/>
      <c r="W277" s="239"/>
      <c r="X277" s="239"/>
      <c r="Y277" s="239"/>
      <c r="Z277" s="239"/>
      <c r="AA277" s="239"/>
      <c r="AB277" s="239"/>
      <c r="AC277" s="239"/>
      <c r="AD277" s="239"/>
      <c r="AE277" s="239"/>
      <c r="AF277" s="239"/>
      <c r="AG277" s="239"/>
      <c r="AH277" s="239"/>
      <c r="AI277" s="237">
        <f ca="1">IF(Configurações!$G$10="Ligado",SUMIFS(C277:AH277,$C$4:$AH$4,"&lt;="&amp;Configurações!$C$5,$C$4:$AH$4,"&lt;="&amp;$AI$3),"")</f>
        <v>0</v>
      </c>
      <c r="AJ277" s="244" t="str">
        <f ca="1">IF(Configurações!$G$12="Ligado",IF(AI277&lt;=0,"Vazio",IF(Configurações!$G$11="Dia",IF(C274="",BAIXAS!AI277/(Configurações!$C$5),BAIXAS!AI277/(Configurações!$C$5+1)),BAIXAS!AI277/BAIXAS!A277)),"")</f>
        <v>Vazio</v>
      </c>
    </row>
    <row r="278" spans="1:36" ht="21">
      <c r="A278" s="243">
        <f ca="1">COUNT(INDEX($C:$AH,ROW(),1):INDEX($C:$AH,ROW(),$AI$3+1))</f>
        <v>3</v>
      </c>
      <c r="B278" s="231" t="str">
        <f>INDEX(Cadastro_Limpeza[[#All],[Colunas4]],MATCH(ROW()-5,Cadastro_Limpeza[[#All],[Colunas2]],0))</f>
        <v>Lustra Móveis 500ML</v>
      </c>
      <c r="C278" s="238"/>
      <c r="D278" s="238"/>
      <c r="E278" s="238">
        <v>1</v>
      </c>
      <c r="F278" s="238"/>
      <c r="G278" s="238"/>
      <c r="H278" s="238"/>
      <c r="I278" s="238"/>
      <c r="J278" s="238">
        <v>1</v>
      </c>
      <c r="K278" s="238"/>
      <c r="L278" s="238"/>
      <c r="M278" s="238"/>
      <c r="N278" s="238"/>
      <c r="O278" s="238"/>
      <c r="P278" s="238"/>
      <c r="Q278" s="238"/>
      <c r="R278" s="238"/>
      <c r="S278" s="238"/>
      <c r="T278" s="238"/>
      <c r="U278" s="238"/>
      <c r="V278" s="238"/>
      <c r="W278" s="238"/>
      <c r="X278" s="238">
        <v>1</v>
      </c>
      <c r="Y278" s="238"/>
      <c r="Z278" s="238"/>
      <c r="AA278" s="238"/>
      <c r="AB278" s="238"/>
      <c r="AC278" s="238"/>
      <c r="AD278" s="238"/>
      <c r="AE278" s="238"/>
      <c r="AF278" s="238"/>
      <c r="AG278" s="238"/>
      <c r="AH278" s="238"/>
      <c r="AI278" s="237">
        <f ca="1">IF(Configurações!$G$10="Ligado",SUMIFS(C278:AH278,$C$4:$AH$4,"&lt;="&amp;Configurações!$C$5,$C$4:$AH$4,"&lt;="&amp;$AI$3),"")</f>
        <v>3</v>
      </c>
      <c r="AJ278" s="244">
        <f ca="1">IF(Configurações!$G$12="Ligado",IF(AI278&lt;=0,"Vazio",IF(Configurações!$G$11="Dia",IF(C275="",BAIXAS!AI278/(Configurações!$C$5),BAIXAS!AI278/(Configurações!$C$5+1)),BAIXAS!AI278/BAIXAS!A278)),"")</f>
        <v>0.125</v>
      </c>
    </row>
    <row r="279" spans="1:36" ht="21">
      <c r="A279" s="243">
        <f ca="1">COUNT(INDEX($C:$AH,ROW(),1):INDEX($C:$AH,ROW(),$AI$3+1))</f>
        <v>13</v>
      </c>
      <c r="B279" s="230" t="str">
        <f>INDEX(Cadastro_Limpeza[[#All],[Colunas4]],MATCH(ROW()-5,Cadastro_Limpeza[[#All],[Colunas2]],0))</f>
        <v>Luva Latex cx c/ 100</v>
      </c>
      <c r="C279" s="239"/>
      <c r="D279" s="239"/>
      <c r="E279" s="239">
        <v>1</v>
      </c>
      <c r="F279" s="239">
        <v>1</v>
      </c>
      <c r="G279" s="239">
        <v>1</v>
      </c>
      <c r="H279" s="239">
        <v>1</v>
      </c>
      <c r="I279" s="239">
        <v>2</v>
      </c>
      <c r="J279" s="239"/>
      <c r="K279" s="239"/>
      <c r="L279" s="239"/>
      <c r="M279" s="239"/>
      <c r="N279" s="239">
        <v>4</v>
      </c>
      <c r="O279" s="239">
        <v>2</v>
      </c>
      <c r="P279" s="239"/>
      <c r="Q279" s="239">
        <v>1</v>
      </c>
      <c r="R279" s="239"/>
      <c r="S279" s="239">
        <v>1</v>
      </c>
      <c r="T279" s="239"/>
      <c r="U279" s="239">
        <v>1</v>
      </c>
      <c r="V279" s="239">
        <v>1</v>
      </c>
      <c r="W279" s="239"/>
      <c r="X279" s="239">
        <v>2</v>
      </c>
      <c r="Y279" s="239"/>
      <c r="Z279" s="239">
        <v>1</v>
      </c>
      <c r="AA279" s="239"/>
      <c r="AB279" s="239"/>
      <c r="AC279" s="239"/>
      <c r="AD279" s="239"/>
      <c r="AE279" s="239"/>
      <c r="AF279" s="239"/>
      <c r="AG279" s="239"/>
      <c r="AH279" s="239"/>
      <c r="AI279" s="237">
        <f ca="1">IF(Configurações!$G$10="Ligado",SUMIFS(C279:AH279,$C$4:$AH$4,"&lt;="&amp;Configurações!$C$5,$C$4:$AH$4,"&lt;="&amp;$AI$3),"")</f>
        <v>19</v>
      </c>
      <c r="AJ279" s="244">
        <f ca="1">IF(Configurações!$G$12="Ligado",IF(AI279&lt;=0,"Vazio",IF(Configurações!$G$11="Dia",IF(C276="",BAIXAS!AI279/(Configurações!$C$5),BAIXAS!AI279/(Configurações!$C$5+1)),BAIXAS!AI279/BAIXAS!A279)),"")</f>
        <v>0.79166666666666663</v>
      </c>
    </row>
    <row r="280" spans="1:36" ht="21">
      <c r="A280" s="243">
        <f ca="1">COUNT(INDEX($C:$AH,ROW(),1):INDEX($C:$AH,ROW(),$AI$3+1))</f>
        <v>1</v>
      </c>
      <c r="B280" s="231" t="str">
        <f>INDEX(Cadastro_Limpeza[[#All],[Colunas4]],MATCH(ROW()-5,Cadastro_Limpeza[[#All],[Colunas2]],0))</f>
        <v>Luva Limpeza</v>
      </c>
      <c r="C280" s="238"/>
      <c r="D280" s="238"/>
      <c r="E280" s="238"/>
      <c r="F280" s="238"/>
      <c r="G280" s="238"/>
      <c r="H280" s="238"/>
      <c r="I280" s="238"/>
      <c r="J280" s="238"/>
      <c r="K280" s="238"/>
      <c r="L280" s="238"/>
      <c r="M280" s="238">
        <v>2</v>
      </c>
      <c r="N280" s="238"/>
      <c r="O280" s="238"/>
      <c r="P280" s="238"/>
      <c r="Q280" s="238"/>
      <c r="R280" s="238"/>
      <c r="S280" s="238"/>
      <c r="T280" s="238"/>
      <c r="U280" s="238"/>
      <c r="V280" s="238"/>
      <c r="W280" s="238"/>
      <c r="X280" s="238"/>
      <c r="Y280" s="238"/>
      <c r="Z280" s="238"/>
      <c r="AA280" s="238"/>
      <c r="AB280" s="238"/>
      <c r="AC280" s="238"/>
      <c r="AD280" s="238"/>
      <c r="AE280" s="238"/>
      <c r="AF280" s="238"/>
      <c r="AG280" s="238"/>
      <c r="AH280" s="238"/>
      <c r="AI280" s="237">
        <f ca="1">IF(Configurações!$G$10="Ligado",SUMIFS(C280:AH280,$C$4:$AH$4,"&lt;="&amp;Configurações!$C$5,$C$4:$AH$4,"&lt;="&amp;$AI$3),"")</f>
        <v>2</v>
      </c>
      <c r="AJ280" s="244">
        <f ca="1">IF(Configurações!$G$12="Ligado",IF(AI280&lt;=0,"Vazio",IF(Configurações!$G$11="Dia",IF(C277="",BAIXAS!AI280/(Configurações!$C$5),BAIXAS!AI280/(Configurações!$C$5+1)),BAIXAS!AI280/BAIXAS!A280)),"")</f>
        <v>8.3333333333333329E-2</v>
      </c>
    </row>
    <row r="281" spans="1:36" ht="21">
      <c r="A281" s="243">
        <f ca="1">COUNT(INDEX($C:$AH,ROW(),1):INDEX($C:$AH,ROW(),$AI$3+1))</f>
        <v>0</v>
      </c>
      <c r="B281" s="230" t="str">
        <f>INDEX(Cadastro_Limpeza[[#All],[Colunas4]],MATCH(ROW()-5,Cadastro_Limpeza[[#All],[Colunas2]],0))</f>
        <v>Mascara de Proteção</v>
      </c>
      <c r="C281" s="239"/>
      <c r="D281" s="239"/>
      <c r="E281" s="239"/>
      <c r="F281" s="239"/>
      <c r="G281" s="239"/>
      <c r="H281" s="239"/>
      <c r="I281" s="239"/>
      <c r="J281" s="239"/>
      <c r="K281" s="239"/>
      <c r="L281" s="239"/>
      <c r="M281" s="239"/>
      <c r="N281" s="239"/>
      <c r="O281" s="239"/>
      <c r="P281" s="239"/>
      <c r="Q281" s="239"/>
      <c r="R281" s="239"/>
      <c r="S281" s="239"/>
      <c r="T281" s="239"/>
      <c r="U281" s="239"/>
      <c r="V281" s="239"/>
      <c r="W281" s="239"/>
      <c r="X281" s="239"/>
      <c r="Y281" s="239"/>
      <c r="Z281" s="239"/>
      <c r="AA281" s="239"/>
      <c r="AB281" s="239"/>
      <c r="AC281" s="239"/>
      <c r="AD281" s="239"/>
      <c r="AE281" s="239"/>
      <c r="AF281" s="239"/>
      <c r="AG281" s="239"/>
      <c r="AH281" s="239"/>
      <c r="AI281" s="237">
        <f ca="1">IF(Configurações!$G$10="Ligado",SUMIFS(C281:AH281,$C$4:$AH$4,"&lt;="&amp;Configurações!$C$5,$C$4:$AH$4,"&lt;="&amp;$AI$3),"")</f>
        <v>0</v>
      </c>
      <c r="AJ281" s="244" t="str">
        <f ca="1">IF(Configurações!$G$12="Ligado",IF(AI281&lt;=0,"Vazio",IF(Configurações!$G$11="Dia",IF(C278="",BAIXAS!AI281/(Configurações!$C$5),BAIXAS!AI281/(Configurações!$C$5+1)),BAIXAS!AI281/BAIXAS!A281)),"")</f>
        <v>Vazio</v>
      </c>
    </row>
    <row r="282" spans="1:36" ht="21">
      <c r="A282" s="243">
        <f ca="1">COUNT(INDEX($C:$AH,ROW(),1):INDEX($C:$AH,ROW(),$AI$3+1))</f>
        <v>2</v>
      </c>
      <c r="B282" s="231" t="str">
        <f>INDEX(Cadastro_Limpeza[[#All],[Colunas4]],MATCH(ROW()-5,Cadastro_Limpeza[[#All],[Colunas2]],0))</f>
        <v>Pá de lixo</v>
      </c>
      <c r="C282" s="238"/>
      <c r="D282" s="238"/>
      <c r="E282" s="238"/>
      <c r="F282" s="238">
        <v>2</v>
      </c>
      <c r="G282" s="238">
        <v>1</v>
      </c>
      <c r="H282" s="238"/>
      <c r="I282" s="238"/>
      <c r="J282" s="238"/>
      <c r="K282" s="238"/>
      <c r="L282" s="238"/>
      <c r="M282" s="238"/>
      <c r="N282" s="238"/>
      <c r="O282" s="238"/>
      <c r="P282" s="238"/>
      <c r="Q282" s="238"/>
      <c r="R282" s="238"/>
      <c r="S282" s="238"/>
      <c r="T282" s="238"/>
      <c r="U282" s="238"/>
      <c r="V282" s="238"/>
      <c r="W282" s="238"/>
      <c r="X282" s="238"/>
      <c r="Y282" s="238"/>
      <c r="Z282" s="238"/>
      <c r="AA282" s="238"/>
      <c r="AB282" s="238"/>
      <c r="AC282" s="238"/>
      <c r="AD282" s="238"/>
      <c r="AE282" s="238"/>
      <c r="AF282" s="238"/>
      <c r="AG282" s="238"/>
      <c r="AH282" s="238"/>
      <c r="AI282" s="237">
        <f ca="1">IF(Configurações!$G$10="Ligado",SUMIFS(C282:AH282,$C$4:$AH$4,"&lt;="&amp;Configurações!$C$5,$C$4:$AH$4,"&lt;="&amp;$AI$3),"")</f>
        <v>3</v>
      </c>
      <c r="AJ282" s="244">
        <f ca="1">IF(Configurações!$G$12="Ligado",IF(AI282&lt;=0,"Vazio",IF(Configurações!$G$11="Dia",IF(C279="",BAIXAS!AI282/(Configurações!$C$5),BAIXAS!AI282/(Configurações!$C$5+1)),BAIXAS!AI282/BAIXAS!A282)),"")</f>
        <v>0.125</v>
      </c>
    </row>
    <row r="283" spans="1:36" ht="21">
      <c r="A283" s="243">
        <f ca="1">COUNT(INDEX($C:$AH,ROW(),1):INDEX($C:$AH,ROW(),$AI$3+1))</f>
        <v>0</v>
      </c>
      <c r="B283" s="230" t="str">
        <f>INDEX(Cadastro_Limpeza[[#All],[Colunas4]],MATCH(ROW()-5,Cadastro_Limpeza[[#All],[Colunas2]],0))</f>
        <v>Palheta(colher descartavel)</v>
      </c>
      <c r="C283" s="239"/>
      <c r="D283" s="239"/>
      <c r="E283" s="239"/>
      <c r="F283" s="239"/>
      <c r="G283" s="239"/>
      <c r="H283" s="239"/>
      <c r="I283" s="239"/>
      <c r="J283" s="239"/>
      <c r="K283" s="239"/>
      <c r="L283" s="239"/>
      <c r="M283" s="239"/>
      <c r="N283" s="239"/>
      <c r="O283" s="239"/>
      <c r="P283" s="239"/>
      <c r="Q283" s="239"/>
      <c r="R283" s="239"/>
      <c r="S283" s="239"/>
      <c r="T283" s="239"/>
      <c r="U283" s="239"/>
      <c r="V283" s="239"/>
      <c r="W283" s="239"/>
      <c r="X283" s="239"/>
      <c r="Y283" s="239"/>
      <c r="Z283" s="239"/>
      <c r="AA283" s="239"/>
      <c r="AB283" s="239"/>
      <c r="AC283" s="239"/>
      <c r="AD283" s="239"/>
      <c r="AE283" s="239"/>
      <c r="AF283" s="239"/>
      <c r="AG283" s="239"/>
      <c r="AH283" s="239"/>
      <c r="AI283" s="237">
        <f ca="1">IF(Configurações!$G$10="Ligado",SUMIFS(C283:AH283,$C$4:$AH$4,"&lt;="&amp;Configurações!$C$5,$C$4:$AH$4,"&lt;="&amp;$AI$3),"")</f>
        <v>0</v>
      </c>
      <c r="AJ283" s="244" t="str">
        <f ca="1">IF(Configurações!$G$12="Ligado",IF(AI283&lt;=0,"Vazio",IF(Configurações!$G$11="Dia",IF(C280="",BAIXAS!AI283/(Configurações!$C$5),BAIXAS!AI283/(Configurações!$C$5+1)),BAIXAS!AI283/BAIXAS!A283)),"")</f>
        <v>Vazio</v>
      </c>
    </row>
    <row r="284" spans="1:36" ht="21">
      <c r="A284" s="243">
        <f ca="1">COUNT(INDEX($C:$AH,ROW(),1):INDEX($C:$AH,ROW(),$AI$3+1))</f>
        <v>0</v>
      </c>
      <c r="B284" s="231" t="str">
        <f>INDEX(Cadastro_Limpeza[[#All],[Colunas4]],MATCH(ROW()-5,Cadastro_Limpeza[[#All],[Colunas2]],0))</f>
        <v>Palito de dente cx 5000</v>
      </c>
      <c r="C284" s="238"/>
      <c r="D284" s="238"/>
      <c r="E284" s="238"/>
      <c r="F284" s="238"/>
      <c r="G284" s="238"/>
      <c r="H284" s="238"/>
      <c r="I284" s="238"/>
      <c r="J284" s="238"/>
      <c r="K284" s="238"/>
      <c r="L284" s="238"/>
      <c r="M284" s="238"/>
      <c r="N284" s="238"/>
      <c r="O284" s="238"/>
      <c r="P284" s="238"/>
      <c r="Q284" s="238"/>
      <c r="R284" s="238"/>
      <c r="S284" s="238"/>
      <c r="T284" s="238"/>
      <c r="U284" s="238"/>
      <c r="V284" s="238"/>
      <c r="W284" s="238"/>
      <c r="X284" s="238"/>
      <c r="Y284" s="238"/>
      <c r="Z284" s="238"/>
      <c r="AA284" s="238"/>
      <c r="AB284" s="238"/>
      <c r="AC284" s="238"/>
      <c r="AD284" s="238"/>
      <c r="AE284" s="238"/>
      <c r="AF284" s="238"/>
      <c r="AG284" s="238"/>
      <c r="AH284" s="238"/>
      <c r="AI284" s="237">
        <f ca="1">IF(Configurações!$G$10="Ligado",SUMIFS(C284:AH284,$C$4:$AH$4,"&lt;="&amp;Configurações!$C$5,$C$4:$AH$4,"&lt;="&amp;$AI$3),"")</f>
        <v>0</v>
      </c>
      <c r="AJ284" s="244" t="str">
        <f ca="1">IF(Configurações!$G$12="Ligado",IF(AI284&lt;=0,"Vazio",IF(Configurações!$G$11="Dia",IF(C281="",BAIXAS!AI284/(Configurações!$C$5),BAIXAS!AI284/(Configurações!$C$5+1)),BAIXAS!AI284/BAIXAS!A284)),"")</f>
        <v>Vazio</v>
      </c>
    </row>
    <row r="285" spans="1:36" ht="21">
      <c r="A285" s="243">
        <f ca="1">COUNT(INDEX($C:$AH,ROW(),1):INDEX($C:$AH,ROW(),$AI$3+1))</f>
        <v>0</v>
      </c>
      <c r="B285" s="230" t="str">
        <f>INDEX(Cadastro_Limpeza[[#All],[Colunas4]],MATCH(ROW()-5,Cadastro_Limpeza[[#All],[Colunas2]],0))</f>
        <v>Palito de dente sachê</v>
      </c>
      <c r="C285" s="239"/>
      <c r="D285" s="239"/>
      <c r="E285" s="239"/>
      <c r="F285" s="239"/>
      <c r="G285" s="239"/>
      <c r="H285" s="239"/>
      <c r="I285" s="239"/>
      <c r="J285" s="239"/>
      <c r="K285" s="239"/>
      <c r="L285" s="239"/>
      <c r="M285" s="239"/>
      <c r="N285" s="239"/>
      <c r="O285" s="239"/>
      <c r="P285" s="239"/>
      <c r="Q285" s="239"/>
      <c r="R285" s="239"/>
      <c r="S285" s="239"/>
      <c r="T285" s="239"/>
      <c r="U285" s="239"/>
      <c r="V285" s="239"/>
      <c r="W285" s="239"/>
      <c r="X285" s="239"/>
      <c r="Y285" s="239"/>
      <c r="Z285" s="239"/>
      <c r="AA285" s="239"/>
      <c r="AB285" s="239"/>
      <c r="AC285" s="239"/>
      <c r="AD285" s="239"/>
      <c r="AE285" s="239"/>
      <c r="AF285" s="239"/>
      <c r="AG285" s="239"/>
      <c r="AH285" s="239"/>
      <c r="AI285" s="237">
        <f ca="1">IF(Configurações!$G$10="Ligado",SUMIFS(C285:AH285,$C$4:$AH$4,"&lt;="&amp;Configurações!$C$5,$C$4:$AH$4,"&lt;="&amp;$AI$3),"")</f>
        <v>0</v>
      </c>
      <c r="AJ285" s="244" t="str">
        <f ca="1">IF(Configurações!$G$12="Ligado",IF(AI285&lt;=0,"Vazio",IF(Configurações!$G$11="Dia",IF(C282="",BAIXAS!AI285/(Configurações!$C$5),BAIXAS!AI285/(Configurações!$C$5+1)),BAIXAS!AI285/BAIXAS!A285)),"")</f>
        <v>Vazio</v>
      </c>
    </row>
    <row r="286" spans="1:36" ht="21">
      <c r="A286" s="243">
        <f ca="1">COUNT(INDEX($C:$AH,ROW(),1):INDEX($C:$AH,ROW(),$AI$3+1))</f>
        <v>0</v>
      </c>
      <c r="B286" s="231" t="str">
        <f>INDEX(Cadastro_Limpeza[[#All],[Colunas4]],MATCH(ROW()-5,Cadastro_Limpeza[[#All],[Colunas2]],0))</f>
        <v>Pano de chão</v>
      </c>
      <c r="C286" s="238"/>
      <c r="D286" s="238"/>
      <c r="E286" s="238"/>
      <c r="F286" s="238"/>
      <c r="G286" s="238"/>
      <c r="H286" s="238"/>
      <c r="I286" s="238"/>
      <c r="J286" s="238"/>
      <c r="K286" s="238"/>
      <c r="L286" s="238"/>
      <c r="M286" s="238"/>
      <c r="N286" s="238"/>
      <c r="O286" s="238"/>
      <c r="P286" s="238"/>
      <c r="Q286" s="238"/>
      <c r="R286" s="238"/>
      <c r="S286" s="238"/>
      <c r="T286" s="238"/>
      <c r="U286" s="238"/>
      <c r="V286" s="238"/>
      <c r="W286" s="238"/>
      <c r="X286" s="238"/>
      <c r="Y286" s="238"/>
      <c r="Z286" s="238"/>
      <c r="AA286" s="238"/>
      <c r="AB286" s="238"/>
      <c r="AC286" s="238"/>
      <c r="AD286" s="238"/>
      <c r="AE286" s="238"/>
      <c r="AF286" s="238"/>
      <c r="AG286" s="238"/>
      <c r="AH286" s="238"/>
      <c r="AI286" s="237">
        <f ca="1">IF(Configurações!$G$10="Ligado",SUMIFS(C286:AH286,$C$4:$AH$4,"&lt;="&amp;Configurações!$C$5,$C$4:$AH$4,"&lt;="&amp;$AI$3),"")</f>
        <v>0</v>
      </c>
      <c r="AJ286" s="244" t="str">
        <f ca="1">IF(Configurações!$G$12="Ligado",IF(AI286&lt;=0,"Vazio",IF(Configurações!$G$11="Dia",IF(C283="",BAIXAS!AI286/(Configurações!$C$5),BAIXAS!AI286/(Configurações!$C$5+1)),BAIXAS!AI286/BAIXAS!A286)),"")</f>
        <v>Vazio</v>
      </c>
    </row>
    <row r="287" spans="1:36" ht="21">
      <c r="A287" s="243">
        <f ca="1">COUNT(INDEX($C:$AH,ROW(),1):INDEX($C:$AH,ROW(),$AI$3+1))</f>
        <v>1</v>
      </c>
      <c r="B287" s="230" t="str">
        <f>INDEX(Cadastro_Limpeza[[#All],[Colunas4]],MATCH(ROW()-5,Cadastro_Limpeza[[#All],[Colunas2]],0))</f>
        <v>Papel alumínio</v>
      </c>
      <c r="C287" s="239"/>
      <c r="D287" s="239"/>
      <c r="E287" s="239"/>
      <c r="F287" s="239"/>
      <c r="G287" s="239"/>
      <c r="H287" s="239"/>
      <c r="I287" s="239"/>
      <c r="J287" s="239"/>
      <c r="K287" s="239"/>
      <c r="L287" s="239"/>
      <c r="M287" s="239"/>
      <c r="N287" s="239"/>
      <c r="O287" s="239"/>
      <c r="P287" s="239"/>
      <c r="Q287" s="239"/>
      <c r="R287" s="239"/>
      <c r="S287" s="239"/>
      <c r="T287" s="239"/>
      <c r="U287" s="239"/>
      <c r="V287" s="239"/>
      <c r="W287" s="239"/>
      <c r="X287" s="239"/>
      <c r="Y287" s="239"/>
      <c r="Z287" s="239">
        <v>1</v>
      </c>
      <c r="AA287" s="239"/>
      <c r="AB287" s="239"/>
      <c r="AC287" s="239"/>
      <c r="AD287" s="239"/>
      <c r="AE287" s="239"/>
      <c r="AF287" s="239"/>
      <c r="AG287" s="239"/>
      <c r="AH287" s="239"/>
      <c r="AI287" s="237">
        <f ca="1">IF(Configurações!$G$10="Ligado",SUMIFS(C287:AH287,$C$4:$AH$4,"&lt;="&amp;Configurações!$C$5,$C$4:$AH$4,"&lt;="&amp;$AI$3),"")</f>
        <v>1</v>
      </c>
      <c r="AJ287" s="244">
        <f ca="1">IF(Configurações!$G$12="Ligado",IF(AI287&lt;=0,"Vazio",IF(Configurações!$G$11="Dia",IF(C284="",BAIXAS!AI287/(Configurações!$C$5),BAIXAS!AI287/(Configurações!$C$5+1)),BAIXAS!AI287/BAIXAS!A287)),"")</f>
        <v>4.1666666666666664E-2</v>
      </c>
    </row>
    <row r="288" spans="1:36" ht="21">
      <c r="A288" s="243">
        <f ca="1">COUNT(INDEX($C:$AH,ROW(),1):INDEX($C:$AH,ROW(),$AI$3+1))</f>
        <v>5</v>
      </c>
      <c r="B288" s="231" t="str">
        <f>INDEX(Cadastro_Limpeza[[#All],[Colunas4]],MATCH(ROW()-5,Cadastro_Limpeza[[#All],[Colunas2]],0))</f>
        <v>Papel Higiênico</v>
      </c>
      <c r="C288" s="238"/>
      <c r="D288" s="238"/>
      <c r="E288" s="238"/>
      <c r="F288" s="238">
        <v>1</v>
      </c>
      <c r="G288" s="238">
        <v>1</v>
      </c>
      <c r="H288" s="238"/>
      <c r="I288" s="238"/>
      <c r="J288" s="238"/>
      <c r="K288" s="238"/>
      <c r="L288" s="238"/>
      <c r="M288" s="238"/>
      <c r="N288" s="238"/>
      <c r="O288" s="238"/>
      <c r="P288" s="238">
        <v>1</v>
      </c>
      <c r="Q288" s="238"/>
      <c r="R288" s="238"/>
      <c r="S288" s="238"/>
      <c r="T288" s="238"/>
      <c r="U288" s="238">
        <v>1</v>
      </c>
      <c r="V288" s="238">
        <v>3</v>
      </c>
      <c r="W288" s="238"/>
      <c r="X288" s="238"/>
      <c r="Y288" s="238"/>
      <c r="Z288" s="238"/>
      <c r="AA288" s="238"/>
      <c r="AB288" s="238"/>
      <c r="AC288" s="238"/>
      <c r="AD288" s="238"/>
      <c r="AE288" s="238"/>
      <c r="AF288" s="238"/>
      <c r="AG288" s="238"/>
      <c r="AH288" s="238"/>
      <c r="AI288" s="237">
        <f ca="1">IF(Configurações!$G$10="Ligado",SUMIFS(C288:AH288,$C$4:$AH$4,"&lt;="&amp;Configurações!$C$5,$C$4:$AH$4,"&lt;="&amp;$AI$3),"")</f>
        <v>7</v>
      </c>
      <c r="AJ288" s="244">
        <f ca="1">IF(Configurações!$G$12="Ligado",IF(AI288&lt;=0,"Vazio",IF(Configurações!$G$11="Dia",IF(C285="",BAIXAS!AI288/(Configurações!$C$5),BAIXAS!AI288/(Configurações!$C$5+1)),BAIXAS!AI288/BAIXAS!A288)),"")</f>
        <v>0.29166666666666669</v>
      </c>
    </row>
    <row r="289" spans="1:36" ht="21">
      <c r="A289" s="243">
        <f ca="1">COUNT(INDEX($C:$AH,ROW(),1):INDEX($C:$AH,ROW(),$AI$3+1))</f>
        <v>0</v>
      </c>
      <c r="B289" s="230" t="str">
        <f>INDEX(Cadastro_Limpeza[[#All],[Colunas4]],MATCH(ROW()-5,Cadastro_Limpeza[[#All],[Colunas2]],0))</f>
        <v xml:space="preserve">Papel Interfolha </v>
      </c>
      <c r="C289" s="239"/>
      <c r="D289" s="239"/>
      <c r="E289" s="239"/>
      <c r="F289" s="239"/>
      <c r="G289" s="239"/>
      <c r="H289" s="239"/>
      <c r="I289" s="239"/>
      <c r="J289" s="239"/>
      <c r="K289" s="239"/>
      <c r="L289" s="239"/>
      <c r="M289" s="239"/>
      <c r="N289" s="239"/>
      <c r="O289" s="239"/>
      <c r="P289" s="239"/>
      <c r="Q289" s="239"/>
      <c r="R289" s="239"/>
      <c r="S289" s="239"/>
      <c r="T289" s="239"/>
      <c r="U289" s="239"/>
      <c r="V289" s="239"/>
      <c r="W289" s="239"/>
      <c r="X289" s="239"/>
      <c r="Y289" s="239"/>
      <c r="Z289" s="239"/>
      <c r="AA289" s="239"/>
      <c r="AB289" s="239"/>
      <c r="AC289" s="239"/>
      <c r="AD289" s="239"/>
      <c r="AE289" s="239"/>
      <c r="AF289" s="239"/>
      <c r="AG289" s="239"/>
      <c r="AH289" s="239"/>
      <c r="AI289" s="237">
        <f ca="1">IF(Configurações!$G$10="Ligado",SUMIFS(C289:AH289,$C$4:$AH$4,"&lt;="&amp;Configurações!$C$5,$C$4:$AH$4,"&lt;="&amp;$AI$3),"")</f>
        <v>0</v>
      </c>
      <c r="AJ289" s="244" t="str">
        <f ca="1">IF(Configurações!$G$12="Ligado",IF(AI289&lt;=0,"Vazio",IF(Configurações!$G$11="Dia",IF(C286="",BAIXAS!AI289/(Configurações!$C$5),BAIXAS!AI289/(Configurações!$C$5+1)),BAIXAS!AI289/BAIXAS!A289)),"")</f>
        <v>Vazio</v>
      </c>
    </row>
    <row r="290" spans="1:36" ht="21">
      <c r="A290" s="243">
        <f ca="1">COUNT(INDEX($C:$AH,ROW(),1):INDEX($C:$AH,ROW(),$AI$3+1))</f>
        <v>0</v>
      </c>
      <c r="B290" s="231" t="str">
        <f>INDEX(Cadastro_Limpeza[[#All],[Colunas4]],MATCH(ROW()-5,Cadastro_Limpeza[[#All],[Colunas2]],0))</f>
        <v>Papel Toalha bobinha (Lavabo)</v>
      </c>
      <c r="C290" s="238"/>
      <c r="D290" s="238"/>
      <c r="E290" s="238"/>
      <c r="F290" s="238"/>
      <c r="G290" s="238"/>
      <c r="H290" s="238"/>
      <c r="I290" s="238"/>
      <c r="J290" s="238"/>
      <c r="K290" s="238"/>
      <c r="L290" s="238"/>
      <c r="M290" s="238"/>
      <c r="N290" s="238"/>
      <c r="O290" s="238"/>
      <c r="P290" s="238"/>
      <c r="Q290" s="238"/>
      <c r="R290" s="238"/>
      <c r="S290" s="238"/>
      <c r="T290" s="238"/>
      <c r="U290" s="238"/>
      <c r="V290" s="238"/>
      <c r="W290" s="238"/>
      <c r="X290" s="238"/>
      <c r="Y290" s="238"/>
      <c r="Z290" s="238"/>
      <c r="AA290" s="238"/>
      <c r="AB290" s="238"/>
      <c r="AC290" s="238"/>
      <c r="AD290" s="238"/>
      <c r="AE290" s="238"/>
      <c r="AF290" s="238"/>
      <c r="AG290" s="238"/>
      <c r="AH290" s="238"/>
      <c r="AI290" s="237">
        <f ca="1">IF(Configurações!$G$10="Ligado",SUMIFS(C290:AH290,$C$4:$AH$4,"&lt;="&amp;Configurações!$C$5,$C$4:$AH$4,"&lt;="&amp;$AI$3),"")</f>
        <v>0</v>
      </c>
      <c r="AJ290" s="244" t="str">
        <f ca="1">IF(Configurações!$G$12="Ligado",IF(AI290&lt;=0,"Vazio",IF(Configurações!$G$11="Dia",IF(C287="",BAIXAS!AI290/(Configurações!$C$5),BAIXAS!AI290/(Configurações!$C$5+1)),BAIXAS!AI290/BAIXAS!A290)),"")</f>
        <v>Vazio</v>
      </c>
    </row>
    <row r="291" spans="1:36" ht="21">
      <c r="A291" s="243">
        <f ca="1">COUNT(INDEX($C:$AH,ROW(),1):INDEX($C:$AH,ROW(),$AI$3+1))</f>
        <v>2</v>
      </c>
      <c r="B291" s="230" t="str">
        <f>INDEX(Cadastro_Limpeza[[#All],[Colunas4]],MATCH(ROW()-5,Cadastro_Limpeza[[#All],[Colunas2]],0))</f>
        <v>Perfex</v>
      </c>
      <c r="C291" s="239"/>
      <c r="D291" s="239">
        <v>1</v>
      </c>
      <c r="E291" s="239">
        <v>1</v>
      </c>
      <c r="F291" s="239"/>
      <c r="G291" s="239"/>
      <c r="H291" s="239"/>
      <c r="I291" s="239"/>
      <c r="J291" s="239"/>
      <c r="K291" s="239"/>
      <c r="L291" s="239"/>
      <c r="M291" s="239"/>
      <c r="N291" s="239"/>
      <c r="O291" s="239"/>
      <c r="P291" s="239"/>
      <c r="Q291" s="239"/>
      <c r="R291" s="239"/>
      <c r="S291" s="239"/>
      <c r="T291" s="239"/>
      <c r="U291" s="239"/>
      <c r="V291" s="239"/>
      <c r="W291" s="239"/>
      <c r="X291" s="239"/>
      <c r="Y291" s="239"/>
      <c r="Z291" s="239"/>
      <c r="AA291" s="239"/>
      <c r="AB291" s="239"/>
      <c r="AC291" s="239"/>
      <c r="AD291" s="239"/>
      <c r="AE291" s="239"/>
      <c r="AF291" s="239"/>
      <c r="AG291" s="239"/>
      <c r="AH291" s="239"/>
      <c r="AI291" s="237">
        <f ca="1">IF(Configurações!$G$10="Ligado",SUMIFS(C291:AH291,$C$4:$AH$4,"&lt;="&amp;Configurações!$C$5,$C$4:$AH$4,"&lt;="&amp;$AI$3),"")</f>
        <v>2</v>
      </c>
      <c r="AJ291" s="244">
        <f ca="1">IF(Configurações!$G$12="Ligado",IF(AI291&lt;=0,"Vazio",IF(Configurações!$G$11="Dia",IF(C288="",BAIXAS!AI291/(Configurações!$C$5),BAIXAS!AI291/(Configurações!$C$5+1)),BAIXAS!AI291/BAIXAS!A291)),"")</f>
        <v>8.3333333333333329E-2</v>
      </c>
    </row>
    <row r="292" spans="1:36" ht="21">
      <c r="A292" s="243">
        <f ca="1">COUNT(INDEX($C:$AH,ROW(),1):INDEX($C:$AH,ROW(),$AI$3+1))</f>
        <v>3</v>
      </c>
      <c r="B292" s="231" t="str">
        <f>INDEX(Cadastro_Limpeza[[#All],[Colunas4]],MATCH(ROW()-5,Cadastro_Limpeza[[#All],[Colunas2]],0))</f>
        <v>Pulverizador</v>
      </c>
      <c r="C292" s="238"/>
      <c r="D292" s="238"/>
      <c r="E292" s="238"/>
      <c r="F292" s="238">
        <v>2</v>
      </c>
      <c r="G292" s="238">
        <v>2</v>
      </c>
      <c r="H292" s="238"/>
      <c r="I292" s="238"/>
      <c r="J292" s="238"/>
      <c r="K292" s="238"/>
      <c r="L292" s="238"/>
      <c r="M292" s="238"/>
      <c r="N292" s="238"/>
      <c r="O292" s="238"/>
      <c r="P292" s="238"/>
      <c r="Q292" s="238"/>
      <c r="R292" s="238"/>
      <c r="S292" s="238"/>
      <c r="T292" s="238"/>
      <c r="U292" s="238"/>
      <c r="V292" s="238"/>
      <c r="W292" s="238"/>
      <c r="X292" s="238">
        <v>1</v>
      </c>
      <c r="Y292" s="238"/>
      <c r="Z292" s="238"/>
      <c r="AA292" s="238"/>
      <c r="AB292" s="238"/>
      <c r="AC292" s="238"/>
      <c r="AD292" s="238"/>
      <c r="AE292" s="238"/>
      <c r="AF292" s="238"/>
      <c r="AG292" s="238"/>
      <c r="AH292" s="238"/>
      <c r="AI292" s="237">
        <f ca="1">IF(Configurações!$G$10="Ligado",SUMIFS(C292:AH292,$C$4:$AH$4,"&lt;="&amp;Configurações!$C$5,$C$4:$AH$4,"&lt;="&amp;$AI$3),"")</f>
        <v>5</v>
      </c>
      <c r="AJ292" s="244">
        <f ca="1">IF(Configurações!$G$12="Ligado",IF(AI292&lt;=0,"Vazio",IF(Configurações!$G$11="Dia",IF(C289="",BAIXAS!AI292/(Configurações!$C$5),BAIXAS!AI292/(Configurações!$C$5+1)),BAIXAS!AI292/BAIXAS!A292)),"")</f>
        <v>0.20833333333333334</v>
      </c>
    </row>
    <row r="293" spans="1:36" ht="21">
      <c r="A293" s="243">
        <f ca="1">COUNT(INDEX($C:$AH,ROW(),1):INDEX($C:$AH,ROW(),$AI$3+1))</f>
        <v>0</v>
      </c>
      <c r="B293" s="230" t="str">
        <f>INDEX(Cadastro_Limpeza[[#All],[Colunas4]],MATCH(ROW()-5,Cadastro_Limpeza[[#All],[Colunas2]],0))</f>
        <v>Removedor</v>
      </c>
      <c r="C293" s="239"/>
      <c r="D293" s="239"/>
      <c r="E293" s="239"/>
      <c r="F293" s="239"/>
      <c r="G293" s="239"/>
      <c r="H293" s="239"/>
      <c r="I293" s="239"/>
      <c r="J293" s="239"/>
      <c r="K293" s="239"/>
      <c r="L293" s="239"/>
      <c r="M293" s="239"/>
      <c r="N293" s="239"/>
      <c r="O293" s="239"/>
      <c r="P293" s="239"/>
      <c r="Q293" s="239"/>
      <c r="R293" s="239"/>
      <c r="S293" s="239"/>
      <c r="T293" s="239"/>
      <c r="U293" s="239"/>
      <c r="V293" s="239"/>
      <c r="W293" s="239"/>
      <c r="X293" s="239"/>
      <c r="Y293" s="239"/>
      <c r="Z293" s="239"/>
      <c r="AA293" s="239"/>
      <c r="AB293" s="239"/>
      <c r="AC293" s="239"/>
      <c r="AD293" s="239"/>
      <c r="AE293" s="239"/>
      <c r="AF293" s="239"/>
      <c r="AG293" s="239"/>
      <c r="AH293" s="239"/>
      <c r="AI293" s="237">
        <f ca="1">IF(Configurações!$G$10="Ligado",SUMIFS(C293:AH293,$C$4:$AH$4,"&lt;="&amp;Configurações!$C$5,$C$4:$AH$4,"&lt;="&amp;$AI$3),"")</f>
        <v>0</v>
      </c>
      <c r="AJ293" s="244" t="str">
        <f ca="1">IF(Configurações!$G$12="Ligado",IF(AI293&lt;=0,"Vazio",IF(Configurações!$G$11="Dia",IF(C290="",BAIXAS!AI293/(Configurações!$C$5),BAIXAS!AI293/(Configurações!$C$5+1)),BAIXAS!AI293/BAIXAS!A293)),"")</f>
        <v>Vazio</v>
      </c>
    </row>
    <row r="294" spans="1:36" ht="21">
      <c r="A294" s="243">
        <f ca="1">COUNT(INDEX($C:$AH,ROW(),1):INDEX($C:$AH,ROW(),$AI$3+1))</f>
        <v>2</v>
      </c>
      <c r="B294" s="231" t="str">
        <f>INDEX(Cadastro_Limpeza[[#All],[Colunas4]],MATCH(ROW()-5,Cadastro_Limpeza[[#All],[Colunas2]],0))</f>
        <v>Rodo Grande</v>
      </c>
      <c r="C294" s="238"/>
      <c r="D294" s="238"/>
      <c r="E294" s="238"/>
      <c r="F294" s="238">
        <v>1</v>
      </c>
      <c r="G294" s="238">
        <v>1</v>
      </c>
      <c r="H294" s="238"/>
      <c r="I294" s="238"/>
      <c r="J294" s="238"/>
      <c r="K294" s="238"/>
      <c r="L294" s="238"/>
      <c r="M294" s="238"/>
      <c r="N294" s="238"/>
      <c r="O294" s="238"/>
      <c r="P294" s="238"/>
      <c r="Q294" s="238"/>
      <c r="R294" s="238"/>
      <c r="S294" s="238"/>
      <c r="T294" s="238"/>
      <c r="U294" s="238"/>
      <c r="V294" s="238"/>
      <c r="W294" s="238"/>
      <c r="X294" s="238"/>
      <c r="Y294" s="238"/>
      <c r="Z294" s="238"/>
      <c r="AA294" s="238"/>
      <c r="AB294" s="238"/>
      <c r="AC294" s="238"/>
      <c r="AD294" s="238"/>
      <c r="AE294" s="238"/>
      <c r="AF294" s="238"/>
      <c r="AG294" s="238"/>
      <c r="AH294" s="238"/>
      <c r="AI294" s="237">
        <f ca="1">IF(Configurações!$G$10="Ligado",SUMIFS(C294:AH294,$C$4:$AH$4,"&lt;="&amp;Configurações!$C$5,$C$4:$AH$4,"&lt;="&amp;$AI$3),"")</f>
        <v>2</v>
      </c>
      <c r="AJ294" s="244">
        <f ca="1">IF(Configurações!$G$12="Ligado",IF(AI294&lt;=0,"Vazio",IF(Configurações!$G$11="Dia",IF(C291="",BAIXAS!AI294/(Configurações!$C$5),BAIXAS!AI294/(Configurações!$C$5+1)),BAIXAS!AI294/BAIXAS!A294)),"")</f>
        <v>8.3333333333333329E-2</v>
      </c>
    </row>
    <row r="295" spans="1:36" ht="21">
      <c r="A295" s="243">
        <f ca="1">COUNT(INDEX($C:$AH,ROW(),1):INDEX($C:$AH,ROW(),$AI$3+1))</f>
        <v>0</v>
      </c>
      <c r="B295" s="230" t="str">
        <f>INDEX(Cadastro_Limpeza[[#All],[Colunas4]],MATCH(ROW()-5,Cadastro_Limpeza[[#All],[Colunas2]],0))</f>
        <v>Rodo Limpa Vidros</v>
      </c>
      <c r="C295" s="239"/>
      <c r="D295" s="239"/>
      <c r="E295" s="239"/>
      <c r="F295" s="239"/>
      <c r="G295" s="239"/>
      <c r="H295" s="239"/>
      <c r="I295" s="239"/>
      <c r="J295" s="239"/>
      <c r="K295" s="239"/>
      <c r="L295" s="239"/>
      <c r="M295" s="239"/>
      <c r="N295" s="239"/>
      <c r="O295" s="239"/>
      <c r="P295" s="239"/>
      <c r="Q295" s="239"/>
      <c r="R295" s="239"/>
      <c r="S295" s="239"/>
      <c r="T295" s="239"/>
      <c r="U295" s="239"/>
      <c r="V295" s="239"/>
      <c r="W295" s="239"/>
      <c r="X295" s="239"/>
      <c r="Y295" s="239"/>
      <c r="Z295" s="239"/>
      <c r="AA295" s="239"/>
      <c r="AB295" s="239"/>
      <c r="AC295" s="239"/>
      <c r="AD295" s="239"/>
      <c r="AE295" s="239"/>
      <c r="AF295" s="239"/>
      <c r="AG295" s="239"/>
      <c r="AH295" s="239"/>
      <c r="AI295" s="237">
        <f ca="1">IF(Configurações!$G$10="Ligado",SUMIFS(C295:AH295,$C$4:$AH$4,"&lt;="&amp;Configurações!$C$5,$C$4:$AH$4,"&lt;="&amp;$AI$3),"")</f>
        <v>0</v>
      </c>
      <c r="AJ295" s="244" t="str">
        <f ca="1">IF(Configurações!$G$12="Ligado",IF(AI295&lt;=0,"Vazio",IF(Configurações!$G$11="Dia",IF(C292="",BAIXAS!AI295/(Configurações!$C$5),BAIXAS!AI295/(Configurações!$C$5+1)),BAIXAS!AI295/BAIXAS!A295)),"")</f>
        <v>Vazio</v>
      </c>
    </row>
    <row r="296" spans="1:36" ht="21">
      <c r="A296" s="243">
        <f ca="1">COUNT(INDEX($C:$AH,ROW(),1):INDEX($C:$AH,ROW(),$AI$3+1))</f>
        <v>1</v>
      </c>
      <c r="B296" s="231" t="str">
        <f>INDEX(Cadastro_Limpeza[[#All],[Colunas4]],MATCH(ROW()-5,Cadastro_Limpeza[[#All],[Colunas2]],0))</f>
        <v>Rodo Pequeno</v>
      </c>
      <c r="C296" s="238"/>
      <c r="D296" s="238"/>
      <c r="E296" s="238"/>
      <c r="F296" s="238"/>
      <c r="G296" s="238"/>
      <c r="H296" s="238"/>
      <c r="I296" s="238"/>
      <c r="J296" s="238"/>
      <c r="K296" s="238"/>
      <c r="L296" s="238"/>
      <c r="M296" s="238">
        <v>1</v>
      </c>
      <c r="N296" s="238"/>
      <c r="O296" s="238"/>
      <c r="P296" s="238"/>
      <c r="Q296" s="238"/>
      <c r="R296" s="238"/>
      <c r="S296" s="238"/>
      <c r="T296" s="238"/>
      <c r="U296" s="238"/>
      <c r="V296" s="238"/>
      <c r="W296" s="238"/>
      <c r="X296" s="238"/>
      <c r="Y296" s="238"/>
      <c r="Z296" s="238"/>
      <c r="AA296" s="238"/>
      <c r="AB296" s="238"/>
      <c r="AC296" s="238"/>
      <c r="AD296" s="238"/>
      <c r="AE296" s="238"/>
      <c r="AF296" s="238"/>
      <c r="AG296" s="238"/>
      <c r="AH296" s="238"/>
      <c r="AI296" s="237">
        <f ca="1">IF(Configurações!$G$10="Ligado",SUMIFS(C296:AH296,$C$4:$AH$4,"&lt;="&amp;Configurações!$C$5,$C$4:$AH$4,"&lt;="&amp;$AI$3),"")</f>
        <v>1</v>
      </c>
      <c r="AJ296" s="244">
        <f ca="1">IF(Configurações!$G$12="Ligado",IF(AI296&lt;=0,"Vazio",IF(Configurações!$G$11="Dia",IF(C293="",BAIXAS!AI296/(Configurações!$C$5),BAIXAS!AI296/(Configurações!$C$5+1)),BAIXAS!AI296/BAIXAS!A296)),"")</f>
        <v>4.1666666666666664E-2</v>
      </c>
    </row>
    <row r="297" spans="1:36" ht="21">
      <c r="A297" s="243">
        <f ca="1">COUNT(INDEX($C:$AH,ROW(),1):INDEX($C:$AH,ROW(),$AI$3+1))</f>
        <v>5</v>
      </c>
      <c r="B297" s="230" t="str">
        <f>INDEX(Cadastro_Limpeza[[#All],[Colunas4]],MATCH(ROW()-5,Cadastro_Limpeza[[#All],[Colunas2]],0))</f>
        <v>Sabão em pedra</v>
      </c>
      <c r="C297" s="239"/>
      <c r="D297" s="239"/>
      <c r="E297" s="239"/>
      <c r="F297" s="239">
        <v>1</v>
      </c>
      <c r="G297" s="239"/>
      <c r="H297" s="239"/>
      <c r="I297" s="239">
        <v>1</v>
      </c>
      <c r="J297" s="239"/>
      <c r="K297" s="239"/>
      <c r="L297" s="239"/>
      <c r="M297" s="239"/>
      <c r="N297" s="239">
        <v>1</v>
      </c>
      <c r="O297" s="239"/>
      <c r="P297" s="239">
        <v>1</v>
      </c>
      <c r="Q297" s="239"/>
      <c r="R297" s="239"/>
      <c r="S297" s="239"/>
      <c r="T297" s="239"/>
      <c r="U297" s="239"/>
      <c r="V297" s="239">
        <v>5</v>
      </c>
      <c r="W297" s="239"/>
      <c r="X297" s="239"/>
      <c r="Y297" s="239"/>
      <c r="Z297" s="239"/>
      <c r="AA297" s="239"/>
      <c r="AB297" s="239"/>
      <c r="AC297" s="239"/>
      <c r="AD297" s="239"/>
      <c r="AE297" s="239"/>
      <c r="AF297" s="239"/>
      <c r="AG297" s="239"/>
      <c r="AH297" s="239"/>
      <c r="AI297" s="237">
        <f ca="1">IF(Configurações!$G$10="Ligado",SUMIFS(C297:AH297,$C$4:$AH$4,"&lt;="&amp;Configurações!$C$5,$C$4:$AH$4,"&lt;="&amp;$AI$3),"")</f>
        <v>9</v>
      </c>
      <c r="AJ297" s="244">
        <f ca="1">IF(Configurações!$G$12="Ligado",IF(AI297&lt;=0,"Vazio",IF(Configurações!$G$11="Dia",IF(C294="",BAIXAS!AI297/(Configurações!$C$5),BAIXAS!AI297/(Configurações!$C$5+1)),BAIXAS!AI297/BAIXAS!A297)),"")</f>
        <v>0.375</v>
      </c>
    </row>
    <row r="298" spans="1:36" ht="21">
      <c r="A298" s="243">
        <f ca="1">COUNT(INDEX($C:$AH,ROW(),1):INDEX($C:$AH,ROW(),$AI$3+1))</f>
        <v>5</v>
      </c>
      <c r="B298" s="231" t="str">
        <f>INDEX(Cadastro_Limpeza[[#All],[Colunas4]],MATCH(ROW()-5,Cadastro_Limpeza[[#All],[Colunas2]],0))</f>
        <v>Sabão em pó 5kg</v>
      </c>
      <c r="C298" s="238"/>
      <c r="D298" s="238"/>
      <c r="E298" s="238"/>
      <c r="F298" s="238">
        <v>1</v>
      </c>
      <c r="G298" s="238"/>
      <c r="H298" s="238"/>
      <c r="I298" s="238"/>
      <c r="J298" s="238"/>
      <c r="K298" s="238"/>
      <c r="L298" s="238"/>
      <c r="M298" s="238"/>
      <c r="N298" s="238">
        <v>1</v>
      </c>
      <c r="O298" s="238">
        <v>1</v>
      </c>
      <c r="P298" s="238"/>
      <c r="Q298" s="238"/>
      <c r="R298" s="238"/>
      <c r="S298" s="238">
        <v>1</v>
      </c>
      <c r="T298" s="238"/>
      <c r="U298" s="238"/>
      <c r="V298" s="238"/>
      <c r="W298" s="238"/>
      <c r="X298" s="238">
        <v>1</v>
      </c>
      <c r="Y298" s="238"/>
      <c r="Z298" s="238"/>
      <c r="AA298" s="238"/>
      <c r="AB298" s="238"/>
      <c r="AC298" s="238"/>
      <c r="AD298" s="238"/>
      <c r="AE298" s="238"/>
      <c r="AF298" s="238"/>
      <c r="AG298" s="238"/>
      <c r="AH298" s="238"/>
      <c r="AI298" s="237">
        <f ca="1">IF(Configurações!$G$10="Ligado",SUMIFS(C298:AH298,$C$4:$AH$4,"&lt;="&amp;Configurações!$C$5,$C$4:$AH$4,"&lt;="&amp;$AI$3),"")</f>
        <v>5</v>
      </c>
      <c r="AJ298" s="244">
        <f ca="1">IF(Configurações!$G$12="Ligado",IF(AI298&lt;=0,"Vazio",IF(Configurações!$G$11="Dia",IF(C295="",BAIXAS!AI298/(Configurações!$C$5),BAIXAS!AI298/(Configurações!$C$5+1)),BAIXAS!AI298/BAIXAS!A298)),"")</f>
        <v>0.20833333333333334</v>
      </c>
    </row>
    <row r="299" spans="1:36" ht="21">
      <c r="A299" s="243">
        <f ca="1">COUNT(INDEX($C:$AH,ROW(),1):INDEX($C:$AH,ROW(),$AI$3+1))</f>
        <v>1</v>
      </c>
      <c r="B299" s="230" t="str">
        <f>INDEX(Cadastro_Limpeza[[#All],[Colunas4]],MATCH(ROW()-5,Cadastro_Limpeza[[#All],[Colunas2]],0))</f>
        <v xml:space="preserve">Sabonete </v>
      </c>
      <c r="C299" s="239"/>
      <c r="D299" s="239"/>
      <c r="E299" s="239"/>
      <c r="F299" s="239">
        <v>5</v>
      </c>
      <c r="G299" s="239"/>
      <c r="H299" s="239"/>
      <c r="I299" s="239"/>
      <c r="J299" s="239"/>
      <c r="K299" s="239"/>
      <c r="L299" s="239"/>
      <c r="M299" s="239"/>
      <c r="N299" s="239"/>
      <c r="O299" s="239"/>
      <c r="P299" s="239"/>
      <c r="Q299" s="239"/>
      <c r="R299" s="239"/>
      <c r="S299" s="239"/>
      <c r="T299" s="239"/>
      <c r="U299" s="239"/>
      <c r="V299" s="239"/>
      <c r="W299" s="239"/>
      <c r="X299" s="239"/>
      <c r="Y299" s="239"/>
      <c r="Z299" s="239"/>
      <c r="AA299" s="239"/>
      <c r="AB299" s="239"/>
      <c r="AC299" s="239"/>
      <c r="AD299" s="239"/>
      <c r="AE299" s="239"/>
      <c r="AF299" s="239"/>
      <c r="AG299" s="239"/>
      <c r="AH299" s="239"/>
      <c r="AI299" s="237">
        <f ca="1">IF(Configurações!$G$10="Ligado",SUMIFS(C299:AH299,$C$4:$AH$4,"&lt;="&amp;Configurações!$C$5,$C$4:$AH$4,"&lt;="&amp;$AI$3),"")</f>
        <v>5</v>
      </c>
      <c r="AJ299" s="244">
        <f ca="1">IF(Configurações!$G$12="Ligado",IF(AI299&lt;=0,"Vazio",IF(Configurações!$G$11="Dia",IF(C296="",BAIXAS!AI299/(Configurações!$C$5),BAIXAS!AI299/(Configurações!$C$5+1)),BAIXAS!AI299/BAIXAS!A299)),"")</f>
        <v>0.20833333333333334</v>
      </c>
    </row>
    <row r="300" spans="1:36" ht="21">
      <c r="A300" s="243">
        <f ca="1">COUNT(INDEX($C:$AH,ROW(),1):INDEX($C:$AH,ROW(),$AI$3+1))</f>
        <v>1</v>
      </c>
      <c r="B300" s="231" t="str">
        <f>INDEX(Cadastro_Limpeza[[#All],[Colunas4]],MATCH(ROW()-5,Cadastro_Limpeza[[#All],[Colunas2]],0))</f>
        <v>Saco 20x30 Tolha rosto</v>
      </c>
      <c r="C300" s="238"/>
      <c r="D300" s="238"/>
      <c r="E300" s="238">
        <v>1</v>
      </c>
      <c r="F300" s="238"/>
      <c r="G300" s="238"/>
      <c r="H300" s="238"/>
      <c r="I300" s="238"/>
      <c r="J300" s="238"/>
      <c r="K300" s="238"/>
      <c r="L300" s="238"/>
      <c r="M300" s="238"/>
      <c r="N300" s="238"/>
      <c r="O300" s="238"/>
      <c r="P300" s="238"/>
      <c r="Q300" s="238"/>
      <c r="R300" s="238"/>
      <c r="S300" s="238"/>
      <c r="T300" s="238"/>
      <c r="U300" s="238"/>
      <c r="V300" s="238"/>
      <c r="W300" s="238"/>
      <c r="X300" s="238"/>
      <c r="Y300" s="238"/>
      <c r="Z300" s="238"/>
      <c r="AA300" s="238"/>
      <c r="AB300" s="238"/>
      <c r="AC300" s="238"/>
      <c r="AD300" s="238"/>
      <c r="AE300" s="238"/>
      <c r="AF300" s="238"/>
      <c r="AG300" s="238"/>
      <c r="AH300" s="238"/>
      <c r="AI300" s="237">
        <f ca="1">IF(Configurações!$G$10="Ligado",SUMIFS(C300:AH300,$C$4:$AH$4,"&lt;="&amp;Configurações!$C$5,$C$4:$AH$4,"&lt;="&amp;$AI$3),"")</f>
        <v>1</v>
      </c>
      <c r="AJ300" s="244">
        <f ca="1">IF(Configurações!$G$12="Ligado",IF(AI300&lt;=0,"Vazio",IF(Configurações!$G$11="Dia",IF(C297="",BAIXAS!AI300/(Configurações!$C$5),BAIXAS!AI300/(Configurações!$C$5+1)),BAIXAS!AI300/BAIXAS!A300)),"")</f>
        <v>4.1666666666666664E-2</v>
      </c>
    </row>
    <row r="301" spans="1:36" ht="21">
      <c r="A301" s="243">
        <f ca="1">COUNT(INDEX($C:$AH,ROW(),1):INDEX($C:$AH,ROW(),$AI$3+1))</f>
        <v>0</v>
      </c>
      <c r="B301" s="230" t="str">
        <f>INDEX(Cadastro_Limpeza[[#All],[Colunas4]],MATCH(ROW()-5,Cadastro_Limpeza[[#All],[Colunas2]],0))</f>
        <v>Saco 60x80 cobertor</v>
      </c>
      <c r="C301" s="239"/>
      <c r="D301" s="239"/>
      <c r="E301" s="239"/>
      <c r="F301" s="239"/>
      <c r="G301" s="239"/>
      <c r="H301" s="239"/>
      <c r="I301" s="239"/>
      <c r="J301" s="239"/>
      <c r="K301" s="239"/>
      <c r="L301" s="239"/>
      <c r="M301" s="239"/>
      <c r="N301" s="239"/>
      <c r="O301" s="239"/>
      <c r="P301" s="239"/>
      <c r="Q301" s="239"/>
      <c r="R301" s="239"/>
      <c r="S301" s="239"/>
      <c r="T301" s="239"/>
      <c r="U301" s="239"/>
      <c r="V301" s="239"/>
      <c r="W301" s="239"/>
      <c r="X301" s="239"/>
      <c r="Y301" s="239"/>
      <c r="Z301" s="239"/>
      <c r="AA301" s="239"/>
      <c r="AB301" s="239"/>
      <c r="AC301" s="239"/>
      <c r="AD301" s="239"/>
      <c r="AE301" s="239"/>
      <c r="AF301" s="239"/>
      <c r="AG301" s="239"/>
      <c r="AH301" s="239"/>
      <c r="AI301" s="237">
        <f ca="1">IF(Configurações!$G$10="Ligado",SUMIFS(C301:AH301,$C$4:$AH$4,"&lt;="&amp;Configurações!$C$5,$C$4:$AH$4,"&lt;="&amp;$AI$3),"")</f>
        <v>0</v>
      </c>
      <c r="AJ301" s="244" t="str">
        <f ca="1">IF(Configurações!$G$12="Ligado",IF(AI301&lt;=0,"Vazio",IF(Configurações!$G$11="Dia",IF(C298="",BAIXAS!AI301/(Configurações!$C$5),BAIXAS!AI301/(Configurações!$C$5+1)),BAIXAS!AI301/BAIXAS!A301)),"")</f>
        <v>Vazio</v>
      </c>
    </row>
    <row r="302" spans="1:36" ht="21">
      <c r="A302" s="243">
        <f ca="1">COUNT(INDEX($C:$AH,ROW(),1):INDEX($C:$AH,ROW(),$AI$3+1))</f>
        <v>4</v>
      </c>
      <c r="B302" s="231" t="str">
        <f>INDEX(Cadastro_Limpeza[[#All],[Colunas4]],MATCH(ROW()-5,Cadastro_Limpeza[[#All],[Colunas2]],0))</f>
        <v>Saco de lixo 15 lt</v>
      </c>
      <c r="C302" s="238"/>
      <c r="D302" s="238"/>
      <c r="E302" s="238"/>
      <c r="F302" s="238">
        <v>1</v>
      </c>
      <c r="G302" s="238">
        <v>1</v>
      </c>
      <c r="H302" s="238"/>
      <c r="I302" s="238"/>
      <c r="J302" s="238"/>
      <c r="K302" s="238"/>
      <c r="L302" s="238"/>
      <c r="M302" s="238"/>
      <c r="N302" s="238"/>
      <c r="O302" s="238"/>
      <c r="P302" s="238"/>
      <c r="Q302" s="238">
        <v>1</v>
      </c>
      <c r="R302" s="238"/>
      <c r="S302" s="238"/>
      <c r="T302" s="238"/>
      <c r="U302" s="238">
        <v>1</v>
      </c>
      <c r="V302" s="238"/>
      <c r="W302" s="238"/>
      <c r="X302" s="238"/>
      <c r="Y302" s="238"/>
      <c r="Z302" s="238"/>
      <c r="AA302" s="238"/>
      <c r="AB302" s="238"/>
      <c r="AC302" s="238"/>
      <c r="AD302" s="238"/>
      <c r="AE302" s="238"/>
      <c r="AF302" s="238"/>
      <c r="AG302" s="238"/>
      <c r="AH302" s="238"/>
      <c r="AI302" s="237">
        <f ca="1">IF(Configurações!$G$10="Ligado",SUMIFS(C302:AH302,$C$4:$AH$4,"&lt;="&amp;Configurações!$C$5,$C$4:$AH$4,"&lt;="&amp;$AI$3),"")</f>
        <v>4</v>
      </c>
      <c r="AJ302" s="244">
        <f ca="1">IF(Configurações!$G$12="Ligado",IF(AI302&lt;=0,"Vazio",IF(Configurações!$G$11="Dia",IF(C299="",BAIXAS!AI302/(Configurações!$C$5),BAIXAS!AI302/(Configurações!$C$5+1)),BAIXAS!AI302/BAIXAS!A302)),"")</f>
        <v>0.16666666666666666</v>
      </c>
    </row>
    <row r="303" spans="1:36" ht="21">
      <c r="A303" s="243">
        <f ca="1">COUNT(INDEX($C:$AH,ROW(),1):INDEX($C:$AH,ROW(),$AI$3+1))</f>
        <v>3</v>
      </c>
      <c r="B303" s="230" t="str">
        <f>INDEX(Cadastro_Limpeza[[#All],[Colunas4]],MATCH(ROW()-5,Cadastro_Limpeza[[#All],[Colunas2]],0))</f>
        <v xml:space="preserve">Saco lixo 100 Lt. </v>
      </c>
      <c r="C303" s="239"/>
      <c r="D303" s="239"/>
      <c r="E303" s="239"/>
      <c r="F303" s="239">
        <v>1</v>
      </c>
      <c r="G303" s="239"/>
      <c r="H303" s="239"/>
      <c r="I303" s="239"/>
      <c r="J303" s="239"/>
      <c r="K303" s="239"/>
      <c r="L303" s="239"/>
      <c r="M303" s="239"/>
      <c r="N303" s="239"/>
      <c r="O303" s="239"/>
      <c r="P303" s="239">
        <v>1</v>
      </c>
      <c r="Q303" s="239"/>
      <c r="R303" s="239"/>
      <c r="S303" s="239"/>
      <c r="T303" s="239"/>
      <c r="U303" s="239">
        <v>1</v>
      </c>
      <c r="V303" s="239"/>
      <c r="W303" s="239"/>
      <c r="X303" s="239"/>
      <c r="Y303" s="239"/>
      <c r="Z303" s="239"/>
      <c r="AA303" s="239"/>
      <c r="AB303" s="239"/>
      <c r="AC303" s="239"/>
      <c r="AD303" s="239"/>
      <c r="AE303" s="239"/>
      <c r="AF303" s="239"/>
      <c r="AG303" s="239"/>
      <c r="AH303" s="239"/>
      <c r="AI303" s="237">
        <f ca="1">IF(Configurações!$G$10="Ligado",SUMIFS(C303:AH303,$C$4:$AH$4,"&lt;="&amp;Configurações!$C$5,$C$4:$AH$4,"&lt;="&amp;$AI$3),"")</f>
        <v>3</v>
      </c>
      <c r="AJ303" s="244">
        <f ca="1">IF(Configurações!$G$12="Ligado",IF(AI303&lt;=0,"Vazio",IF(Configurações!$G$11="Dia",IF(C300="",BAIXAS!AI303/(Configurações!$C$5),BAIXAS!AI303/(Configurações!$C$5+1)),BAIXAS!AI303/BAIXAS!A303)),"")</f>
        <v>0.125</v>
      </c>
    </row>
    <row r="304" spans="1:36" ht="21">
      <c r="A304" s="243">
        <f ca="1">COUNT(INDEX($C:$AH,ROW(),1):INDEX($C:$AH,ROW(),$AI$3+1))</f>
        <v>2</v>
      </c>
      <c r="B304" s="231" t="str">
        <f>INDEX(Cadastro_Limpeza[[#All],[Colunas4]],MATCH(ROW()-5,Cadastro_Limpeza[[#All],[Colunas2]],0))</f>
        <v>Saco lixo 200 lt</v>
      </c>
      <c r="C304" s="238"/>
      <c r="D304" s="238"/>
      <c r="E304" s="238"/>
      <c r="F304" s="238">
        <v>1</v>
      </c>
      <c r="G304" s="238"/>
      <c r="H304" s="238"/>
      <c r="I304" s="238"/>
      <c r="J304" s="238"/>
      <c r="K304" s="238"/>
      <c r="L304" s="238"/>
      <c r="M304" s="238"/>
      <c r="N304" s="238"/>
      <c r="O304" s="238"/>
      <c r="P304" s="238"/>
      <c r="Q304" s="238"/>
      <c r="R304" s="238"/>
      <c r="S304" s="238"/>
      <c r="T304" s="238"/>
      <c r="U304" s="238"/>
      <c r="V304" s="238">
        <v>1</v>
      </c>
      <c r="W304" s="238"/>
      <c r="X304" s="238"/>
      <c r="Y304" s="238"/>
      <c r="Z304" s="238"/>
      <c r="AA304" s="238"/>
      <c r="AB304" s="238"/>
      <c r="AC304" s="238"/>
      <c r="AD304" s="238"/>
      <c r="AE304" s="238"/>
      <c r="AF304" s="238"/>
      <c r="AG304" s="238"/>
      <c r="AH304" s="238"/>
      <c r="AI304" s="237">
        <f ca="1">IF(Configurações!$G$10="Ligado",SUMIFS(C304:AH304,$C$4:$AH$4,"&lt;="&amp;Configurações!$C$5,$C$4:$AH$4,"&lt;="&amp;$AI$3),"")</f>
        <v>2</v>
      </c>
      <c r="AJ304" s="244">
        <f ca="1">IF(Configurações!$G$12="Ligado",IF(AI304&lt;=0,"Vazio",IF(Configurações!$G$11="Dia",IF(C301="",BAIXAS!AI304/(Configurações!$C$5),BAIXAS!AI304/(Configurações!$C$5+1)),BAIXAS!AI304/BAIXAS!A304)),"")</f>
        <v>8.3333333333333329E-2</v>
      </c>
    </row>
    <row r="305" spans="1:36" ht="21">
      <c r="A305" s="243">
        <f ca="1">COUNT(INDEX($C:$AH,ROW(),1):INDEX($C:$AH,ROW(),$AI$3+1))</f>
        <v>4</v>
      </c>
      <c r="B305" s="230" t="str">
        <f>INDEX(Cadastro_Limpeza[[#All],[Colunas4]],MATCH(ROW()-5,Cadastro_Limpeza[[#All],[Colunas2]],0))</f>
        <v>Saco lixo 50 Lt</v>
      </c>
      <c r="C305" s="239"/>
      <c r="D305" s="239"/>
      <c r="E305" s="239"/>
      <c r="F305" s="239"/>
      <c r="G305" s="239">
        <v>1</v>
      </c>
      <c r="H305" s="239"/>
      <c r="I305" s="239"/>
      <c r="J305" s="239"/>
      <c r="K305" s="239"/>
      <c r="L305" s="239"/>
      <c r="M305" s="239"/>
      <c r="N305" s="239"/>
      <c r="O305" s="239">
        <v>1</v>
      </c>
      <c r="P305" s="239"/>
      <c r="Q305" s="239"/>
      <c r="R305" s="239"/>
      <c r="S305" s="239"/>
      <c r="T305" s="239"/>
      <c r="U305" s="239">
        <v>1</v>
      </c>
      <c r="V305" s="239"/>
      <c r="W305" s="239"/>
      <c r="X305" s="239">
        <v>1</v>
      </c>
      <c r="Y305" s="239"/>
      <c r="Z305" s="239"/>
      <c r="AA305" s="239"/>
      <c r="AB305" s="239"/>
      <c r="AC305" s="239"/>
      <c r="AD305" s="239"/>
      <c r="AE305" s="239"/>
      <c r="AF305" s="239"/>
      <c r="AG305" s="239"/>
      <c r="AH305" s="239"/>
      <c r="AI305" s="237">
        <f ca="1">IF(Configurações!$G$10="Ligado",SUMIFS(C305:AH305,$C$4:$AH$4,"&lt;="&amp;Configurações!$C$5,$C$4:$AH$4,"&lt;="&amp;$AI$3),"")</f>
        <v>4</v>
      </c>
      <c r="AJ305" s="244">
        <f ca="1">IF(Configurações!$G$12="Ligado",IF(AI305&lt;=0,"Vazio",IF(Configurações!$G$11="Dia",IF(C302="",BAIXAS!AI305/(Configurações!$C$5),BAIXAS!AI305/(Configurações!$C$5+1)),BAIXAS!AI305/BAIXAS!A305)),"")</f>
        <v>0.16666666666666666</v>
      </c>
    </row>
    <row r="306" spans="1:36" ht="21">
      <c r="A306" s="243">
        <f ca="1">COUNT(INDEX($C:$AH,ROW(),1):INDEX($C:$AH,ROW(),$AI$3+1))</f>
        <v>2</v>
      </c>
      <c r="B306" s="231" t="str">
        <f>INDEX(Cadastro_Limpeza[[#All],[Colunas4]],MATCH(ROW()-5,Cadastro_Limpeza[[#All],[Colunas2]],0))</f>
        <v>Saco p/ embalar  30x40</v>
      </c>
      <c r="C306" s="238"/>
      <c r="D306" s="238"/>
      <c r="E306" s="238">
        <v>1</v>
      </c>
      <c r="F306" s="238"/>
      <c r="G306" s="238"/>
      <c r="H306" s="238"/>
      <c r="I306" s="238"/>
      <c r="J306" s="238"/>
      <c r="K306" s="238"/>
      <c r="L306" s="238"/>
      <c r="M306" s="238"/>
      <c r="N306" s="238"/>
      <c r="O306" s="238">
        <v>2</v>
      </c>
      <c r="P306" s="238"/>
      <c r="Q306" s="238"/>
      <c r="R306" s="238"/>
      <c r="S306" s="238"/>
      <c r="T306" s="238"/>
      <c r="U306" s="238"/>
      <c r="V306" s="238"/>
      <c r="W306" s="238"/>
      <c r="X306" s="238"/>
      <c r="Y306" s="238"/>
      <c r="Z306" s="238"/>
      <c r="AA306" s="238"/>
      <c r="AB306" s="238"/>
      <c r="AC306" s="238"/>
      <c r="AD306" s="238"/>
      <c r="AE306" s="238"/>
      <c r="AF306" s="238"/>
      <c r="AG306" s="238"/>
      <c r="AH306" s="238"/>
      <c r="AI306" s="237">
        <f ca="1">IF(Configurações!$G$10="Ligado",SUMIFS(C306:AH306,$C$4:$AH$4,"&lt;="&amp;Configurações!$C$5,$C$4:$AH$4,"&lt;="&amp;$AI$3),"")</f>
        <v>3</v>
      </c>
      <c r="AJ306" s="244">
        <f ca="1">IF(Configurações!$G$12="Ligado",IF(AI306&lt;=0,"Vazio",IF(Configurações!$G$11="Dia",IF(C303="",BAIXAS!AI306/(Configurações!$C$5),BAIXAS!AI306/(Configurações!$C$5+1)),BAIXAS!AI306/BAIXAS!A306)),"")</f>
        <v>0.125</v>
      </c>
    </row>
    <row r="307" spans="1:36" ht="21">
      <c r="A307" s="243">
        <f ca="1">COUNT(INDEX($C:$AH,ROW(),1):INDEX($C:$AH,ROW(),$AI$3+1))</f>
        <v>1</v>
      </c>
      <c r="B307" s="230" t="str">
        <f>INDEX(Cadastro_Limpeza[[#All],[Colunas4]],MATCH(ROW()-5,Cadastro_Limpeza[[#All],[Colunas2]],0))</f>
        <v>Saco p/ embalar  40x60</v>
      </c>
      <c r="C307" s="239"/>
      <c r="D307" s="239"/>
      <c r="E307" s="239">
        <v>1</v>
      </c>
      <c r="F307" s="239"/>
      <c r="G307" s="239"/>
      <c r="H307" s="239"/>
      <c r="I307" s="239"/>
      <c r="J307" s="239"/>
      <c r="K307" s="239"/>
      <c r="L307" s="239"/>
      <c r="M307" s="239"/>
      <c r="N307" s="239"/>
      <c r="O307" s="239"/>
      <c r="P307" s="239"/>
      <c r="Q307" s="239"/>
      <c r="R307" s="239"/>
      <c r="S307" s="239"/>
      <c r="T307" s="239"/>
      <c r="U307" s="239"/>
      <c r="V307" s="239"/>
      <c r="W307" s="239"/>
      <c r="X307" s="239"/>
      <c r="Y307" s="239"/>
      <c r="Z307" s="239"/>
      <c r="AA307" s="239"/>
      <c r="AB307" s="239"/>
      <c r="AC307" s="239"/>
      <c r="AD307" s="239"/>
      <c r="AE307" s="239"/>
      <c r="AF307" s="239"/>
      <c r="AG307" s="239"/>
      <c r="AH307" s="239"/>
      <c r="AI307" s="237">
        <f ca="1">IF(Configurações!$G$10="Ligado",SUMIFS(C307:AH307,$C$4:$AH$4,"&lt;="&amp;Configurações!$C$5,$C$4:$AH$4,"&lt;="&amp;$AI$3),"")</f>
        <v>1</v>
      </c>
      <c r="AJ307" s="244">
        <f ca="1">IF(Configurações!$G$12="Ligado",IF(AI307&lt;=0,"Vazio",IF(Configurações!$G$11="Dia",IF(C304="",BAIXAS!AI307/(Configurações!$C$5),BAIXAS!AI307/(Configurações!$C$5+1)),BAIXAS!AI307/BAIXAS!A307)),"")</f>
        <v>4.1666666666666664E-2</v>
      </c>
    </row>
    <row r="308" spans="1:36" ht="21">
      <c r="A308" s="243">
        <f ca="1">COUNT(INDEX($C:$AH,ROW(),1):INDEX($C:$AH,ROW(),$AI$3+1))</f>
        <v>1</v>
      </c>
      <c r="B308" s="231" t="str">
        <f>INDEX(Cadastro_Limpeza[[#All],[Colunas4]],MATCH(ROW()-5,Cadastro_Limpeza[[#All],[Colunas2]],0))</f>
        <v>Sapólio 300g</v>
      </c>
      <c r="C308" s="238"/>
      <c r="D308" s="238"/>
      <c r="E308" s="238"/>
      <c r="F308" s="238"/>
      <c r="G308" s="238"/>
      <c r="H308" s="238"/>
      <c r="I308" s="238"/>
      <c r="J308" s="238">
        <v>1</v>
      </c>
      <c r="K308" s="238"/>
      <c r="L308" s="238"/>
      <c r="M308" s="238"/>
      <c r="N308" s="238"/>
      <c r="O308" s="238"/>
      <c r="P308" s="238"/>
      <c r="Q308" s="238"/>
      <c r="R308" s="238"/>
      <c r="S308" s="238"/>
      <c r="T308" s="238"/>
      <c r="U308" s="238"/>
      <c r="V308" s="238"/>
      <c r="W308" s="238"/>
      <c r="X308" s="238"/>
      <c r="Y308" s="238"/>
      <c r="Z308" s="238"/>
      <c r="AA308" s="238"/>
      <c r="AB308" s="238"/>
      <c r="AC308" s="238"/>
      <c r="AD308" s="238"/>
      <c r="AE308" s="238"/>
      <c r="AF308" s="238"/>
      <c r="AG308" s="238"/>
      <c r="AH308" s="238"/>
      <c r="AI308" s="237">
        <f ca="1">IF(Configurações!$G$10="Ligado",SUMIFS(C308:AH308,$C$4:$AH$4,"&lt;="&amp;Configurações!$C$5,$C$4:$AH$4,"&lt;="&amp;$AI$3),"")</f>
        <v>1</v>
      </c>
      <c r="AJ308" s="244">
        <f ca="1">IF(Configurações!$G$12="Ligado",IF(AI308&lt;=0,"Vazio",IF(Configurações!$G$11="Dia",IF(C305="",BAIXAS!AI308/(Configurações!$C$5),BAIXAS!AI308/(Configurações!$C$5+1)),BAIXAS!AI308/BAIXAS!A308)),"")</f>
        <v>4.1666666666666664E-2</v>
      </c>
    </row>
    <row r="309" spans="1:36" ht="21">
      <c r="A309" s="243">
        <f ca="1">COUNT(INDEX($C:$AH,ROW(),1):INDEX($C:$AH,ROW(),$AI$3+1))</f>
        <v>0</v>
      </c>
      <c r="B309" s="230" t="str">
        <f>INDEX(Cadastro_Limpeza[[#All],[Colunas4]],MATCH(ROW()-5,Cadastro_Limpeza[[#All],[Colunas2]],0))</f>
        <v>Sóda Cáustica 1 kg</v>
      </c>
      <c r="C309" s="239"/>
      <c r="D309" s="239"/>
      <c r="E309" s="239"/>
      <c r="F309" s="239"/>
      <c r="G309" s="239"/>
      <c r="H309" s="239"/>
      <c r="I309" s="239"/>
      <c r="J309" s="239"/>
      <c r="K309" s="239"/>
      <c r="L309" s="239"/>
      <c r="M309" s="239"/>
      <c r="N309" s="239"/>
      <c r="O309" s="239"/>
      <c r="P309" s="239"/>
      <c r="Q309" s="239"/>
      <c r="R309" s="239"/>
      <c r="S309" s="239"/>
      <c r="T309" s="239"/>
      <c r="U309" s="239"/>
      <c r="V309" s="239"/>
      <c r="W309" s="239"/>
      <c r="X309" s="239"/>
      <c r="Y309" s="239"/>
      <c r="Z309" s="239"/>
      <c r="AA309" s="239"/>
      <c r="AB309" s="239"/>
      <c r="AC309" s="239"/>
      <c r="AD309" s="239"/>
      <c r="AE309" s="239"/>
      <c r="AF309" s="239"/>
      <c r="AG309" s="239"/>
      <c r="AH309" s="239"/>
      <c r="AI309" s="237">
        <f ca="1">IF(Configurações!$G$10="Ligado",SUMIFS(C309:AH309,$C$4:$AH$4,"&lt;="&amp;Configurações!$C$5,$C$4:$AH$4,"&lt;="&amp;$AI$3),"")</f>
        <v>0</v>
      </c>
      <c r="AJ309" s="244" t="str">
        <f ca="1">IF(Configurações!$G$12="Ligado",IF(AI309&lt;=0,"Vazio",IF(Configurações!$G$11="Dia",IF(C306="",BAIXAS!AI309/(Configurações!$C$5),BAIXAS!AI309/(Configurações!$C$5+1)),BAIXAS!AI309/BAIXAS!A309)),"")</f>
        <v>Vazio</v>
      </c>
    </row>
    <row r="310" spans="1:36" ht="21">
      <c r="A310" s="243">
        <f ca="1">COUNT(INDEX($C:$AH,ROW(),1):INDEX($C:$AH,ROW(),$AI$3+1))</f>
        <v>0</v>
      </c>
      <c r="B310" s="231" t="str">
        <f>INDEX(Cadastro_Limpeza[[#All],[Colunas4]],MATCH(ROW()-5,Cadastro_Limpeza[[#All],[Colunas2]],0))</f>
        <v>Tapetinho de Banheiro</v>
      </c>
      <c r="C310" s="238"/>
      <c r="D310" s="238"/>
      <c r="E310" s="238"/>
      <c r="F310" s="238"/>
      <c r="G310" s="238"/>
      <c r="H310" s="238"/>
      <c r="I310" s="238"/>
      <c r="J310" s="238"/>
      <c r="K310" s="238"/>
      <c r="L310" s="238"/>
      <c r="M310" s="238"/>
      <c r="N310" s="238"/>
      <c r="O310" s="238"/>
      <c r="P310" s="238"/>
      <c r="Q310" s="238"/>
      <c r="R310" s="238"/>
      <c r="S310" s="238"/>
      <c r="T310" s="238"/>
      <c r="U310" s="238"/>
      <c r="V310" s="238"/>
      <c r="W310" s="238"/>
      <c r="X310" s="238"/>
      <c r="Y310" s="238"/>
      <c r="Z310" s="238"/>
      <c r="AA310" s="238"/>
      <c r="AB310" s="238"/>
      <c r="AC310" s="238"/>
      <c r="AD310" s="238"/>
      <c r="AE310" s="238"/>
      <c r="AF310" s="238"/>
      <c r="AG310" s="238"/>
      <c r="AH310" s="238"/>
      <c r="AI310" s="237">
        <f ca="1">IF(Configurações!$G$10="Ligado",SUMIFS(C310:AH310,$C$4:$AH$4,"&lt;="&amp;Configurações!$C$5,$C$4:$AH$4,"&lt;="&amp;$AI$3),"")</f>
        <v>0</v>
      </c>
      <c r="AJ310" s="244" t="str">
        <f ca="1">IF(Configurações!$G$12="Ligado",IF(AI310&lt;=0,"Vazio",IF(Configurações!$G$11="Dia",IF(C307="",BAIXAS!AI310/(Configurações!$C$5),BAIXAS!AI310/(Configurações!$C$5+1)),BAIXAS!AI310/BAIXAS!A310)),"")</f>
        <v>Vazio</v>
      </c>
    </row>
    <row r="311" spans="1:36" ht="21">
      <c r="A311" s="243">
        <f ca="1">COUNT(INDEX($C:$AH,ROW(),1):INDEX($C:$AH,ROW(),$AI$3+1))</f>
        <v>0</v>
      </c>
      <c r="B311" s="230" t="str">
        <f>INDEX(Cadastro_Limpeza[[#All],[Colunas4]],MATCH(ROW()-5,Cadastro_Limpeza[[#All],[Colunas2]],0))</f>
        <v>Tira ferrugem</v>
      </c>
      <c r="C311" s="239"/>
      <c r="D311" s="239"/>
      <c r="E311" s="239"/>
      <c r="F311" s="239"/>
      <c r="G311" s="239"/>
      <c r="H311" s="239"/>
      <c r="I311" s="239"/>
      <c r="J311" s="239"/>
      <c r="K311" s="239"/>
      <c r="L311" s="239"/>
      <c r="M311" s="239"/>
      <c r="N311" s="239"/>
      <c r="O311" s="239"/>
      <c r="P311" s="239"/>
      <c r="Q311" s="239"/>
      <c r="R311" s="239"/>
      <c r="S311" s="239"/>
      <c r="T311" s="239"/>
      <c r="U311" s="239"/>
      <c r="V311" s="239"/>
      <c r="W311" s="239"/>
      <c r="X311" s="239"/>
      <c r="Y311" s="239"/>
      <c r="Z311" s="239"/>
      <c r="AA311" s="239"/>
      <c r="AB311" s="239"/>
      <c r="AC311" s="239"/>
      <c r="AD311" s="239"/>
      <c r="AE311" s="239"/>
      <c r="AF311" s="239"/>
      <c r="AG311" s="239"/>
      <c r="AH311" s="239"/>
      <c r="AI311" s="237">
        <f ca="1">IF(Configurações!$G$10="Ligado",SUMIFS(C311:AH311,$C$4:$AH$4,"&lt;="&amp;Configurações!$C$5,$C$4:$AH$4,"&lt;="&amp;$AI$3),"")</f>
        <v>0</v>
      </c>
      <c r="AJ311" s="244" t="str">
        <f ca="1">IF(Configurações!$G$12="Ligado",IF(AI311&lt;=0,"Vazio",IF(Configurações!$G$11="Dia",IF(C308="",BAIXAS!AI311/(Configurações!$C$5),BAIXAS!AI311/(Configurações!$C$5+1)),BAIXAS!AI311/BAIXAS!A311)),"")</f>
        <v>Vazio</v>
      </c>
    </row>
    <row r="312" spans="1:36" ht="21">
      <c r="A312" s="243">
        <f ca="1">COUNT(INDEX($C:$AH,ROW(),1):INDEX($C:$AH,ROW(),$AI$3+1))</f>
        <v>1</v>
      </c>
      <c r="B312" s="231" t="str">
        <f>INDEX(Cadastro_Limpeza[[#All],[Colunas4]],MATCH(ROW()-5,Cadastro_Limpeza[[#All],[Colunas2]],0))</f>
        <v>Touca descártavel cx c/ 100</v>
      </c>
      <c r="C312" s="238"/>
      <c r="D312" s="238"/>
      <c r="E312" s="238"/>
      <c r="F312" s="238"/>
      <c r="G312" s="238"/>
      <c r="H312" s="238"/>
      <c r="I312" s="238"/>
      <c r="J312" s="238"/>
      <c r="K312" s="238"/>
      <c r="L312" s="238"/>
      <c r="M312" s="238"/>
      <c r="N312" s="238"/>
      <c r="O312" s="238"/>
      <c r="P312" s="238">
        <v>1</v>
      </c>
      <c r="Q312" s="238"/>
      <c r="R312" s="238"/>
      <c r="S312" s="238"/>
      <c r="T312" s="238"/>
      <c r="U312" s="238"/>
      <c r="V312" s="238"/>
      <c r="W312" s="238"/>
      <c r="X312" s="238"/>
      <c r="Y312" s="238"/>
      <c r="Z312" s="238"/>
      <c r="AA312" s="238"/>
      <c r="AB312" s="238"/>
      <c r="AC312" s="238"/>
      <c r="AD312" s="238"/>
      <c r="AE312" s="238"/>
      <c r="AF312" s="238"/>
      <c r="AG312" s="238"/>
      <c r="AH312" s="238"/>
      <c r="AI312" s="237">
        <f ca="1">IF(Configurações!$G$10="Ligado",SUMIFS(C312:AH312,$C$4:$AH$4,"&lt;="&amp;Configurações!$C$5,$C$4:$AH$4,"&lt;="&amp;$AI$3),"")</f>
        <v>1</v>
      </c>
      <c r="AJ312" s="244">
        <f ca="1">IF(Configurações!$G$12="Ligado",IF(AI312&lt;=0,"Vazio",IF(Configurações!$G$11="Dia",IF(C309="",BAIXAS!AI312/(Configurações!$C$5),BAIXAS!AI312/(Configurações!$C$5+1)),BAIXAS!AI312/BAIXAS!A312)),"")</f>
        <v>4.1666666666666664E-2</v>
      </c>
    </row>
    <row r="313" spans="1:36" ht="21">
      <c r="A313" s="243">
        <f ca="1">COUNT(INDEX($C:$AH,ROW(),1):INDEX($C:$AH,ROW(),$AI$3+1))</f>
        <v>0</v>
      </c>
      <c r="B313" s="230" t="str">
        <f>INDEX(Cadastro_Limpeza[[#All],[Colunas4]],MATCH(ROW()-5,Cadastro_Limpeza[[#All],[Colunas2]],0))</f>
        <v>Vaselina</v>
      </c>
      <c r="C313" s="239"/>
      <c r="D313" s="239"/>
      <c r="E313" s="239"/>
      <c r="F313" s="239"/>
      <c r="G313" s="239"/>
      <c r="H313" s="239"/>
      <c r="I313" s="239"/>
      <c r="J313" s="239"/>
      <c r="K313" s="239"/>
      <c r="L313" s="239"/>
      <c r="M313" s="239"/>
      <c r="N313" s="239"/>
      <c r="O313" s="239"/>
      <c r="P313" s="239"/>
      <c r="Q313" s="239"/>
      <c r="R313" s="239"/>
      <c r="S313" s="239"/>
      <c r="T313" s="239"/>
      <c r="U313" s="239"/>
      <c r="V313" s="239"/>
      <c r="W313" s="239"/>
      <c r="X313" s="239"/>
      <c r="Y313" s="239"/>
      <c r="Z313" s="239"/>
      <c r="AA313" s="239"/>
      <c r="AB313" s="239"/>
      <c r="AC313" s="239"/>
      <c r="AD313" s="239"/>
      <c r="AE313" s="239"/>
      <c r="AF313" s="239"/>
      <c r="AG313" s="239"/>
      <c r="AH313" s="239"/>
      <c r="AI313" s="237">
        <f ca="1">IF(Configurações!$G$10="Ligado",SUMIFS(C313:AH313,$C$4:$AH$4,"&lt;="&amp;Configurações!$C$5,$C$4:$AH$4,"&lt;="&amp;$AI$3),"")</f>
        <v>0</v>
      </c>
      <c r="AJ313" s="244" t="str">
        <f ca="1">IF(Configurações!$G$12="Ligado",IF(AI313&lt;=0,"Vazio",IF(Configurações!$G$11="Dia",IF(C310="",BAIXAS!AI313/(Configurações!$C$5),BAIXAS!AI313/(Configurações!$C$5+1)),BAIXAS!AI313/BAIXAS!A313)),"")</f>
        <v>Vazio</v>
      </c>
    </row>
    <row r="314" spans="1:36" ht="21">
      <c r="A314" s="243">
        <f ca="1">COUNT(INDEX($C:$AH,ROW(),1):INDEX($C:$AH,ROW(),$AI$3+1))</f>
        <v>0</v>
      </c>
      <c r="B314" s="231" t="str">
        <f>INDEX(Cadastro_Limpeza[[#All],[Colunas4]],MATCH(ROW()-5,Cadastro_Limpeza[[#All],[Colunas2]],0))</f>
        <v>Vassoura de Pêlo</v>
      </c>
      <c r="C314" s="238"/>
      <c r="D314" s="238"/>
      <c r="E314" s="238"/>
      <c r="F314" s="238"/>
      <c r="G314" s="238"/>
      <c r="H314" s="238"/>
      <c r="I314" s="238"/>
      <c r="J314" s="238"/>
      <c r="K314" s="238"/>
      <c r="L314" s="238"/>
      <c r="M314" s="238"/>
      <c r="N314" s="238"/>
      <c r="O314" s="238"/>
      <c r="P314" s="238"/>
      <c r="Q314" s="238"/>
      <c r="R314" s="238"/>
      <c r="S314" s="238"/>
      <c r="T314" s="238"/>
      <c r="U314" s="238"/>
      <c r="V314" s="238"/>
      <c r="W314" s="238"/>
      <c r="X314" s="238"/>
      <c r="Y314" s="238"/>
      <c r="Z314" s="238"/>
      <c r="AA314" s="238"/>
      <c r="AB314" s="238"/>
      <c r="AC314" s="238"/>
      <c r="AD314" s="238"/>
      <c r="AE314" s="238"/>
      <c r="AF314" s="238"/>
      <c r="AG314" s="238"/>
      <c r="AH314" s="238"/>
      <c r="AI314" s="237">
        <f ca="1">IF(Configurações!$G$10="Ligado",SUMIFS(C314:AH314,$C$4:$AH$4,"&lt;="&amp;Configurações!$C$5,$C$4:$AH$4,"&lt;="&amp;$AI$3),"")</f>
        <v>0</v>
      </c>
      <c r="AJ314" s="244" t="str">
        <f ca="1">IF(Configurações!$G$12="Ligado",IF(AI314&lt;=0,"Vazio",IF(Configurações!$G$11="Dia",IF(C311="",BAIXAS!AI314/(Configurações!$C$5),BAIXAS!AI314/(Configurações!$C$5+1)),BAIXAS!AI314/BAIXAS!A314)),"")</f>
        <v>Vazio</v>
      </c>
    </row>
    <row r="315" spans="1:36" ht="21">
      <c r="A315" s="245">
        <f ca="1">COUNT(INDEX($C:$AH,ROW(),1):INDEX($C:$AH,ROW(),$AI$3+1))</f>
        <v>2</v>
      </c>
      <c r="B315" s="233" t="str">
        <f>INDEX(Cadastro_Limpeza[[#All],[Colunas4]],MATCH(ROW()-5,Cadastro_Limpeza[[#All],[Colunas2]],0))</f>
        <v>Vassoura de Piaçava</v>
      </c>
      <c r="C315" s="240"/>
      <c r="D315" s="240"/>
      <c r="E315" s="240"/>
      <c r="F315" s="240">
        <v>1</v>
      </c>
      <c r="G315" s="240">
        <v>3</v>
      </c>
      <c r="H315" s="240"/>
      <c r="I315" s="240"/>
      <c r="J315" s="240"/>
      <c r="K315" s="240"/>
      <c r="L315" s="240"/>
      <c r="M315" s="240"/>
      <c r="N315" s="240"/>
      <c r="O315" s="240"/>
      <c r="P315" s="240"/>
      <c r="Q315" s="240"/>
      <c r="R315" s="240"/>
      <c r="S315" s="240"/>
      <c r="T315" s="240"/>
      <c r="U315" s="240"/>
      <c r="V315" s="240"/>
      <c r="W315" s="240"/>
      <c r="X315" s="240"/>
      <c r="Y315" s="240"/>
      <c r="Z315" s="240"/>
      <c r="AA315" s="240"/>
      <c r="AB315" s="240"/>
      <c r="AC315" s="240"/>
      <c r="AD315" s="240"/>
      <c r="AE315" s="240"/>
      <c r="AF315" s="240"/>
      <c r="AG315" s="240"/>
      <c r="AH315" s="240"/>
      <c r="AI315" s="246">
        <f ca="1">IF(Configurações!$G$10="Ligado",SUMIFS(C315:AH315,$C$4:$AH$4,"&lt;="&amp;Configurações!$C$5,$C$4:$AH$4,"&lt;="&amp;$AI$3),"")</f>
        <v>4</v>
      </c>
      <c r="AJ315" s="247">
        <f ca="1">IF(Configurações!$G$12="Ligado",IF(AI315&lt;=0,"Vazio",IF(Configurações!$G$11="Dia",IF(C312="",BAIXAS!AI315/(Configurações!$C$5),BAIXAS!AI315/(Configurações!$C$5+1)),BAIXAS!AI315/BAIXAS!A315)),"")</f>
        <v>0.16666666666666666</v>
      </c>
    </row>
    <row r="316" spans="1:36" ht="15.75" thickBot="1"/>
    <row r="317" spans="1:36" ht="24" thickBot="1">
      <c r="B317" s="448" t="s">
        <v>428</v>
      </c>
      <c r="C317" s="449"/>
      <c r="D317" s="449"/>
      <c r="E317" s="449"/>
      <c r="F317" s="449"/>
      <c r="G317" s="449"/>
      <c r="H317" s="449"/>
      <c r="I317" s="449"/>
      <c r="J317" s="449"/>
      <c r="K317" s="449"/>
      <c r="L317" s="449"/>
      <c r="M317" s="449"/>
      <c r="N317" s="449"/>
      <c r="O317" s="449"/>
      <c r="P317" s="449"/>
      <c r="Q317" s="449"/>
      <c r="R317" s="449"/>
      <c r="S317" s="449"/>
      <c r="T317" s="449"/>
      <c r="U317" s="449"/>
      <c r="V317" s="449"/>
      <c r="W317" s="449"/>
      <c r="X317" s="449"/>
      <c r="Y317" s="449"/>
      <c r="Z317" s="449"/>
      <c r="AA317" s="449"/>
      <c r="AB317" s="449"/>
      <c r="AC317" s="449"/>
      <c r="AD317" s="449"/>
      <c r="AE317" s="449"/>
      <c r="AF317" s="449"/>
      <c r="AG317" s="449"/>
      <c r="AH317" s="449"/>
      <c r="AI317" s="449"/>
      <c r="AJ317" s="450"/>
    </row>
    <row r="318" spans="1:36" ht="21">
      <c r="A318" s="236">
        <f ca="1">COUNT(INDEX($C:$AH,ROW(),1):INDEX($C:$AH,ROW(),$AI$3+1))</f>
        <v>0</v>
      </c>
      <c r="B318" s="254" t="str">
        <f>INDEX(Cadastro_Piscina[[#All],[Colunas4]],MATCH(ROW()-5,Cadastro_Piscina[[#All],[Colunas2]],0))</f>
        <v xml:space="preserve">Algicida </v>
      </c>
      <c r="C318" s="259"/>
      <c r="D318" s="259"/>
      <c r="E318" s="259"/>
      <c r="F318" s="259"/>
      <c r="G318" s="259"/>
      <c r="H318" s="259"/>
      <c r="I318" s="259"/>
      <c r="J318" s="259"/>
      <c r="K318" s="259"/>
      <c r="L318" s="259"/>
      <c r="M318" s="259"/>
      <c r="N318" s="259"/>
      <c r="O318" s="259"/>
      <c r="P318" s="259"/>
      <c r="Q318" s="259"/>
      <c r="R318" s="259"/>
      <c r="S318" s="259"/>
      <c r="T318" s="259"/>
      <c r="U318" s="259"/>
      <c r="V318" s="259"/>
      <c r="W318" s="259"/>
      <c r="X318" s="259"/>
      <c r="Y318" s="259"/>
      <c r="Z318" s="259"/>
      <c r="AA318" s="259"/>
      <c r="AB318" s="259"/>
      <c r="AC318" s="259"/>
      <c r="AD318" s="259"/>
      <c r="AE318" s="259"/>
      <c r="AF318" s="259"/>
      <c r="AG318" s="259"/>
      <c r="AH318" s="259"/>
      <c r="AI318" s="256">
        <f ca="1">IF(Configurações!$G$10="Ligado",SUMIFS(C318:AH318,$C$4:$AH$4,"&lt;="&amp;Configurações!$C$5,$C$4:$AH$4,"&lt;="&amp;$AI$3),"")</f>
        <v>0</v>
      </c>
      <c r="AJ318" s="112" t="str">
        <f ca="1">IF(Configurações!$G$12="Ligado",IF(AI318&lt;=0,"Vazio",IF(Configurações!$G$11="Dia",IF(C318="",BAIXAS!AI318/(Configurações!$C$5),BAIXAS!AI318/(Configurações!$C$5+1)),BAIXAS!AI318/BAIXAS!A318)),"")</f>
        <v>Vazio</v>
      </c>
    </row>
    <row r="319" spans="1:36" ht="21">
      <c r="A319" s="243">
        <f ca="1">COUNT(INDEX($C:$AH,ROW(),1):INDEX($C:$AH,ROW(),$AI$3+1))</f>
        <v>0</v>
      </c>
      <c r="B319" s="255" t="str">
        <f>INDEX(Cadastro_Piscina[[#All],[Colunas4]],MATCH(ROW()-5,Cadastro_Piscina[[#All],[Colunas2]],0))</f>
        <v>Água sanitária</v>
      </c>
      <c r="C319" s="263"/>
      <c r="D319" s="263"/>
      <c r="E319" s="263"/>
      <c r="F319" s="263"/>
      <c r="G319" s="263"/>
      <c r="H319" s="263"/>
      <c r="I319" s="263"/>
      <c r="J319" s="263"/>
      <c r="K319" s="263"/>
      <c r="L319" s="263"/>
      <c r="M319" s="263"/>
      <c r="N319" s="263"/>
      <c r="O319" s="263"/>
      <c r="P319" s="263"/>
      <c r="Q319" s="263"/>
      <c r="R319" s="263"/>
      <c r="S319" s="263"/>
      <c r="T319" s="263"/>
      <c r="U319" s="263"/>
      <c r="V319" s="263"/>
      <c r="W319" s="263"/>
      <c r="X319" s="263"/>
      <c r="Y319" s="263"/>
      <c r="Z319" s="263"/>
      <c r="AA319" s="263"/>
      <c r="AB319" s="263"/>
      <c r="AC319" s="263"/>
      <c r="AD319" s="263"/>
      <c r="AE319" s="263"/>
      <c r="AF319" s="263"/>
      <c r="AG319" s="263"/>
      <c r="AH319" s="263"/>
      <c r="AI319" s="256">
        <f ca="1">IF(Configurações!$G$10="Ligado",SUMIFS(C319:AH319,$C$4:$AH$4,"&lt;="&amp;Configurações!$C$5,$C$4:$AH$4,"&lt;="&amp;$AI$3),"")</f>
        <v>0</v>
      </c>
      <c r="AJ319" s="112" t="str">
        <f ca="1">IF(Configurações!$G$12="Ligado",IF(AI319&lt;=0,"Vazio",IF(Configurações!$G$11="Dia",IF(C319="",BAIXAS!AI319/(Configurações!$C$5),BAIXAS!AI319/(Configurações!$C$5+1)),BAIXAS!AI319/BAIXAS!A319)),"")</f>
        <v>Vazio</v>
      </c>
    </row>
    <row r="320" spans="1:36" ht="21">
      <c r="A320" s="243">
        <f ca="1">COUNT(INDEX($C:$AH,ROW(),1):INDEX($C:$AH,ROW(),$AI$3+1))</f>
        <v>0</v>
      </c>
      <c r="B320" s="254" t="str">
        <f>INDEX(Cadastro_Piscina[[#All],[Colunas4]],MATCH(ROW()-5,Cadastro_Piscina[[#All],[Colunas2]],0))</f>
        <v xml:space="preserve">Barrilha </v>
      </c>
      <c r="C320" s="259"/>
      <c r="D320" s="259"/>
      <c r="E320" s="259"/>
      <c r="F320" s="259"/>
      <c r="G320" s="259"/>
      <c r="H320" s="259"/>
      <c r="I320" s="259"/>
      <c r="J320" s="259"/>
      <c r="K320" s="259"/>
      <c r="L320" s="259"/>
      <c r="M320" s="259"/>
      <c r="N320" s="259"/>
      <c r="O320" s="259"/>
      <c r="P320" s="259"/>
      <c r="Q320" s="259"/>
      <c r="R320" s="259"/>
      <c r="S320" s="259"/>
      <c r="T320" s="259"/>
      <c r="U320" s="259"/>
      <c r="V320" s="259"/>
      <c r="W320" s="259"/>
      <c r="X320" s="259"/>
      <c r="Y320" s="259"/>
      <c r="Z320" s="259"/>
      <c r="AA320" s="259"/>
      <c r="AB320" s="259"/>
      <c r="AC320" s="259"/>
      <c r="AD320" s="259"/>
      <c r="AE320" s="259"/>
      <c r="AF320" s="259"/>
      <c r="AG320" s="259"/>
      <c r="AH320" s="259"/>
      <c r="AI320" s="257">
        <f ca="1">IF(Configurações!$G$10="Ligado",SUMIFS(C320:AH320,$C$4:$AH$4,"&lt;="&amp;Configurações!$C$5,$C$4:$AH$4,"&lt;="&amp;$AI$3),"")</f>
        <v>0</v>
      </c>
      <c r="AJ320" s="258" t="str">
        <f ca="1">IF(Configurações!$G$12="Ligado",IF(AI320&lt;=0,"Vazio",IF(Configurações!$G$11="Dia",IF(C320="",BAIXAS!AI320/(Configurações!$C$5),BAIXAS!AI320/(Configurações!$C$5+1)),BAIXAS!AI320/BAIXAS!A320)),"")</f>
        <v>Vazio</v>
      </c>
    </row>
    <row r="321" spans="1:36" ht="21">
      <c r="A321" s="243">
        <f ca="1">COUNT(INDEX($C:$AH,ROW(),1):INDEX($C:$AH,ROW(),$AI$3+1))</f>
        <v>0</v>
      </c>
      <c r="B321" s="255" t="str">
        <f>INDEX(Cadastro_Piscina[[#All],[Colunas4]],MATCH(ROW()-5,Cadastro_Piscina[[#All],[Colunas2]],0))</f>
        <v xml:space="preserve">Clarificante </v>
      </c>
      <c r="C321" s="263"/>
      <c r="D321" s="263"/>
      <c r="E321" s="263"/>
      <c r="F321" s="263"/>
      <c r="G321" s="263"/>
      <c r="H321" s="263"/>
      <c r="I321" s="263"/>
      <c r="J321" s="263"/>
      <c r="K321" s="263"/>
      <c r="L321" s="263"/>
      <c r="M321" s="263"/>
      <c r="N321" s="263"/>
      <c r="O321" s="263"/>
      <c r="P321" s="263"/>
      <c r="Q321" s="263"/>
      <c r="R321" s="263"/>
      <c r="S321" s="263"/>
      <c r="T321" s="263"/>
      <c r="U321" s="263"/>
      <c r="V321" s="263"/>
      <c r="W321" s="263"/>
      <c r="X321" s="263"/>
      <c r="Y321" s="263"/>
      <c r="Z321" s="263"/>
      <c r="AA321" s="263"/>
      <c r="AB321" s="263"/>
      <c r="AC321" s="263"/>
      <c r="AD321" s="263"/>
      <c r="AE321" s="263"/>
      <c r="AF321" s="263"/>
      <c r="AG321" s="263"/>
      <c r="AH321" s="263"/>
      <c r="AI321" s="257">
        <f ca="1">IF(Configurações!$G$10="Ligado",SUMIFS(C321:AH321,$C$4:$AH$4,"&lt;="&amp;Configurações!$C$5,$C$4:$AH$4,"&lt;="&amp;$AI$3),"")</f>
        <v>0</v>
      </c>
      <c r="AJ321" s="258" t="str">
        <f ca="1">IF(Configurações!$G$12="Ligado",IF(AI321&lt;=0,"Vazio",IF(Configurações!$G$11="Dia",IF(C321="",BAIXAS!AI321/(Configurações!$C$5),BAIXAS!AI321/(Configurações!$C$5+1)),BAIXAS!AI321/BAIXAS!A321)),"")</f>
        <v>Vazio</v>
      </c>
    </row>
    <row r="322" spans="1:36" ht="21">
      <c r="A322" s="243">
        <f ca="1">COUNT(INDEX($C:$AH,ROW(),1):INDEX($C:$AH,ROW(),$AI$3+1))</f>
        <v>0</v>
      </c>
      <c r="B322" s="254" t="str">
        <f>INDEX(Cadastro_Piscina[[#All],[Colunas4]],MATCH(ROW()-5,Cadastro_Piscina[[#All],[Colunas2]],0))</f>
        <v xml:space="preserve">Cloro estabilizado granulado </v>
      </c>
      <c r="C322" s="259"/>
      <c r="D322" s="259"/>
      <c r="E322" s="259"/>
      <c r="F322" s="259"/>
      <c r="G322" s="259"/>
      <c r="H322" s="259"/>
      <c r="I322" s="259"/>
      <c r="J322" s="259"/>
      <c r="K322" s="259"/>
      <c r="L322" s="259"/>
      <c r="M322" s="259"/>
      <c r="N322" s="259"/>
      <c r="O322" s="259"/>
      <c r="P322" s="259"/>
      <c r="Q322" s="259"/>
      <c r="R322" s="259"/>
      <c r="S322" s="259"/>
      <c r="T322" s="259"/>
      <c r="U322" s="259"/>
      <c r="V322" s="259"/>
      <c r="W322" s="259"/>
      <c r="X322" s="259"/>
      <c r="Y322" s="259"/>
      <c r="Z322" s="259"/>
      <c r="AA322" s="259"/>
      <c r="AB322" s="259"/>
      <c r="AC322" s="259"/>
      <c r="AD322" s="259"/>
      <c r="AE322" s="259"/>
      <c r="AF322" s="259"/>
      <c r="AG322" s="259"/>
      <c r="AH322" s="259"/>
      <c r="AI322" s="257">
        <f ca="1">IF(Configurações!$G$10="Ligado",SUMIFS(C322:AH322,$C$4:$AH$4,"&lt;="&amp;Configurações!$C$5,$C$4:$AH$4,"&lt;="&amp;$AI$3),"")</f>
        <v>0</v>
      </c>
      <c r="AJ322" s="258" t="str">
        <f ca="1">IF(Configurações!$G$12="Ligado",IF(AI322&lt;=0,"Vazio",IF(Configurações!$G$11="Dia",IF(C322="",BAIXAS!AI322/(Configurações!$C$5),BAIXAS!AI322/(Configurações!$C$5+1)),BAIXAS!AI322/BAIXAS!A322)),"")</f>
        <v>Vazio</v>
      </c>
    </row>
    <row r="323" spans="1:36" ht="21">
      <c r="A323" s="243">
        <f ca="1">COUNT(INDEX($C:$AH,ROW(),1):INDEX($C:$AH,ROW(),$AI$3+1))</f>
        <v>0</v>
      </c>
      <c r="B323" s="255" t="str">
        <f>INDEX(Cadastro_Piscina[[#All],[Colunas4]],MATCH(ROW()-5,Cadastro_Piscina[[#All],[Colunas2]],0))</f>
        <v>Esponja dupla face unid</v>
      </c>
      <c r="C323" s="263"/>
      <c r="D323" s="263"/>
      <c r="E323" s="263"/>
      <c r="F323" s="263"/>
      <c r="G323" s="263"/>
      <c r="H323" s="263"/>
      <c r="I323" s="263"/>
      <c r="J323" s="263"/>
      <c r="K323" s="263"/>
      <c r="L323" s="263"/>
      <c r="M323" s="263"/>
      <c r="N323" s="263"/>
      <c r="O323" s="263"/>
      <c r="P323" s="263"/>
      <c r="Q323" s="263"/>
      <c r="R323" s="263"/>
      <c r="S323" s="263"/>
      <c r="T323" s="263"/>
      <c r="U323" s="263"/>
      <c r="V323" s="263"/>
      <c r="W323" s="263"/>
      <c r="X323" s="263"/>
      <c r="Y323" s="263"/>
      <c r="Z323" s="263"/>
      <c r="AA323" s="263"/>
      <c r="AB323" s="263"/>
      <c r="AC323" s="263"/>
      <c r="AD323" s="263"/>
      <c r="AE323" s="263"/>
      <c r="AF323" s="263"/>
      <c r="AG323" s="263"/>
      <c r="AH323" s="263"/>
      <c r="AI323" s="257">
        <f ca="1">IF(Configurações!$G$10="Ligado",SUMIFS(C323:AH323,$C$4:$AH$4,"&lt;="&amp;Configurações!$C$5,$C$4:$AH$4,"&lt;="&amp;$AI$3),"")</f>
        <v>0</v>
      </c>
      <c r="AJ323" s="258" t="str">
        <f ca="1">IF(Configurações!$G$12="Ligado",IF(AI323&lt;=0,"Vazio",IF(Configurações!$G$11="Dia",IF(C323="",BAIXAS!AI323/(Configurações!$C$5),BAIXAS!AI323/(Configurações!$C$5+1)),BAIXAS!AI323/BAIXAS!A323)),"")</f>
        <v>Vazio</v>
      </c>
    </row>
    <row r="324" spans="1:36" ht="21">
      <c r="A324" s="243">
        <f ca="1">COUNT(INDEX($C:$AH,ROW(),1):INDEX($C:$AH,ROW(),$AI$3+1))</f>
        <v>0</v>
      </c>
      <c r="B324" s="254" t="str">
        <f>INDEX(Cadastro_Piscina[[#All],[Colunas4]],MATCH(ROW()-5,Cadastro_Piscina[[#All],[Colunas2]],0))</f>
        <v xml:space="preserve">Limpa borda </v>
      </c>
      <c r="C324" s="259"/>
      <c r="D324" s="259"/>
      <c r="E324" s="259"/>
      <c r="F324" s="259"/>
      <c r="G324" s="259"/>
      <c r="H324" s="259"/>
      <c r="I324" s="259"/>
      <c r="J324" s="259"/>
      <c r="K324" s="259"/>
      <c r="L324" s="259"/>
      <c r="M324" s="259"/>
      <c r="N324" s="259"/>
      <c r="O324" s="259"/>
      <c r="P324" s="259"/>
      <c r="Q324" s="259"/>
      <c r="R324" s="259"/>
      <c r="S324" s="259"/>
      <c r="T324" s="259"/>
      <c r="U324" s="259"/>
      <c r="V324" s="259"/>
      <c r="W324" s="259"/>
      <c r="X324" s="259"/>
      <c r="Y324" s="259"/>
      <c r="Z324" s="259"/>
      <c r="AA324" s="259"/>
      <c r="AB324" s="259"/>
      <c r="AC324" s="259"/>
      <c r="AD324" s="259"/>
      <c r="AE324" s="259"/>
      <c r="AF324" s="259"/>
      <c r="AG324" s="259"/>
      <c r="AH324" s="259"/>
      <c r="AI324" s="257">
        <f ca="1">IF(Configurações!$G$10="Ligado",SUMIFS(C324:AH324,$C$4:$AH$4,"&lt;="&amp;Configurações!$C$5,$C$4:$AH$4,"&lt;="&amp;$AI$3),"")</f>
        <v>0</v>
      </c>
      <c r="AJ324" s="258" t="str">
        <f ca="1">IF(Configurações!$G$12="Ligado",IF(AI324&lt;=0,"Vazio",IF(Configurações!$G$11="Dia",IF(C324="",BAIXAS!AI324/(Configurações!$C$5),BAIXAS!AI324/(Configurações!$C$5+1)),BAIXAS!AI324/BAIXAS!A324)),"")</f>
        <v>Vazio</v>
      </c>
    </row>
    <row r="325" spans="1:36" ht="21">
      <c r="A325" s="243">
        <f ca="1">COUNT(INDEX($C:$AH,ROW(),1):INDEX($C:$AH,ROW(),$AI$3+1))</f>
        <v>0</v>
      </c>
      <c r="B325" s="255" t="str">
        <f>INDEX(Cadastro_Piscina[[#All],[Colunas4]],MATCH(ROW()-5,Cadastro_Piscina[[#All],[Colunas2]],0))</f>
        <v>Luva par</v>
      </c>
      <c r="C325" s="263"/>
      <c r="D325" s="263"/>
      <c r="E325" s="263"/>
      <c r="F325" s="263"/>
      <c r="G325" s="263"/>
      <c r="H325" s="263"/>
      <c r="I325" s="263"/>
      <c r="J325" s="263"/>
      <c r="K325" s="263"/>
      <c r="L325" s="263"/>
      <c r="M325" s="263"/>
      <c r="N325" s="263"/>
      <c r="O325" s="263"/>
      <c r="P325" s="263"/>
      <c r="Q325" s="263"/>
      <c r="R325" s="263"/>
      <c r="S325" s="263"/>
      <c r="T325" s="263"/>
      <c r="U325" s="263"/>
      <c r="V325" s="263"/>
      <c r="W325" s="263"/>
      <c r="X325" s="263"/>
      <c r="Y325" s="263"/>
      <c r="Z325" s="263"/>
      <c r="AA325" s="263"/>
      <c r="AB325" s="263"/>
      <c r="AC325" s="263"/>
      <c r="AD325" s="263"/>
      <c r="AE325" s="263"/>
      <c r="AF325" s="263"/>
      <c r="AG325" s="263"/>
      <c r="AH325" s="263"/>
      <c r="AI325" s="257">
        <f ca="1">IF(Configurações!$G$10="Ligado",SUMIFS(C325:AH325,$C$4:$AH$4,"&lt;="&amp;Configurações!$C$5,$C$4:$AH$4,"&lt;="&amp;$AI$3),"")</f>
        <v>0</v>
      </c>
      <c r="AJ325" s="258" t="str">
        <f ca="1">IF(Configurações!$G$12="Ligado",IF(AI325&lt;=0,"Vazio",IF(Configurações!$G$11="Dia",IF(C325="",BAIXAS!AI325/(Configurações!$C$5),BAIXAS!AI325/(Configurações!$C$5+1)),BAIXAS!AI325/BAIXAS!A325)),"")</f>
        <v>Vazio</v>
      </c>
    </row>
    <row r="326" spans="1:36" ht="21">
      <c r="A326" s="243">
        <f ca="1">COUNT(INDEX($C:$AH,ROW(),1):INDEX($C:$AH,ROW(),$AI$3+1))</f>
        <v>0</v>
      </c>
      <c r="B326" s="254" t="str">
        <f>INDEX(Cadastro_Piscina[[#All],[Colunas4]],MATCH(ROW()-5,Cadastro_Piscina[[#All],[Colunas2]],0))</f>
        <v xml:space="preserve">Mascara de proteção </v>
      </c>
      <c r="C326" s="259"/>
      <c r="D326" s="259"/>
      <c r="E326" s="259"/>
      <c r="F326" s="259"/>
      <c r="G326" s="259"/>
      <c r="H326" s="259"/>
      <c r="I326" s="259"/>
      <c r="J326" s="259"/>
      <c r="K326" s="259"/>
      <c r="L326" s="259"/>
      <c r="M326" s="259"/>
      <c r="N326" s="259"/>
      <c r="O326" s="259"/>
      <c r="P326" s="259"/>
      <c r="Q326" s="259"/>
      <c r="R326" s="259"/>
      <c r="S326" s="259"/>
      <c r="T326" s="259"/>
      <c r="U326" s="259"/>
      <c r="V326" s="259"/>
      <c r="W326" s="259"/>
      <c r="X326" s="259"/>
      <c r="Y326" s="259"/>
      <c r="Z326" s="259"/>
      <c r="AA326" s="259"/>
      <c r="AB326" s="259"/>
      <c r="AC326" s="259"/>
      <c r="AD326" s="259"/>
      <c r="AE326" s="259"/>
      <c r="AF326" s="259"/>
      <c r="AG326" s="259"/>
      <c r="AH326" s="259"/>
      <c r="AI326" s="257">
        <f ca="1">IF(Configurações!$G$10="Ligado",SUMIFS(C326:AH326,$C$4:$AH$4,"&lt;="&amp;Configurações!$C$5,$C$4:$AH$4,"&lt;="&amp;$AI$3),"")</f>
        <v>0</v>
      </c>
      <c r="AJ326" s="258" t="str">
        <f ca="1">IF(Configurações!$G$12="Ligado",IF(AI326&lt;=0,"Vazio",IF(Configurações!$G$11="Dia",IF(C326="",BAIXAS!AI326/(Configurações!$C$5),BAIXAS!AI326/(Configurações!$C$5+1)),BAIXAS!AI326/BAIXAS!A326)),"")</f>
        <v>Vazio</v>
      </c>
    </row>
    <row r="327" spans="1:36" ht="21">
      <c r="A327" s="243">
        <f ca="1">COUNT(INDEX($C:$AH,ROW(),1):INDEX($C:$AH,ROW(),$AI$3+1))</f>
        <v>0</v>
      </c>
      <c r="B327" s="255" t="str">
        <f>INDEX(Cadastro_Piscina[[#All],[Colunas4]],MATCH(ROW()-5,Cadastro_Piscina[[#All],[Colunas2]],0))</f>
        <v>Pastilha de cloro unid (cx c/ 72)</v>
      </c>
      <c r="C327" s="263"/>
      <c r="D327" s="263"/>
      <c r="E327" s="263"/>
      <c r="F327" s="263"/>
      <c r="G327" s="263"/>
      <c r="H327" s="263"/>
      <c r="I327" s="263"/>
      <c r="J327" s="263"/>
      <c r="K327" s="263"/>
      <c r="L327" s="263"/>
      <c r="M327" s="263"/>
      <c r="N327" s="263"/>
      <c r="O327" s="263"/>
      <c r="P327" s="263"/>
      <c r="Q327" s="263"/>
      <c r="R327" s="263"/>
      <c r="S327" s="263"/>
      <c r="T327" s="263"/>
      <c r="U327" s="263"/>
      <c r="V327" s="263"/>
      <c r="W327" s="263"/>
      <c r="X327" s="263"/>
      <c r="Y327" s="263"/>
      <c r="Z327" s="263"/>
      <c r="AA327" s="263"/>
      <c r="AB327" s="263"/>
      <c r="AC327" s="263"/>
      <c r="AD327" s="263"/>
      <c r="AE327" s="263"/>
      <c r="AF327" s="263"/>
      <c r="AG327" s="263"/>
      <c r="AH327" s="263"/>
      <c r="AI327" s="256">
        <f ca="1">IF(Configurações!$G$10="Ligado",SUMIFS(C327:AH327,$C$4:$AH$4,"&lt;="&amp;Configurações!$C$5,$C$4:$AH$4,"&lt;="&amp;$AI$3),"")</f>
        <v>0</v>
      </c>
      <c r="AJ327" s="112" t="str">
        <f ca="1">IF(Configurações!$G$12="Ligado",IF(AI327&lt;=0,"Vazio",IF(Configurações!$G$11="Dia",IF(C327="",BAIXAS!AI327/(Configurações!$C$5),BAIXAS!AI327/(Configurações!$C$5+1)),BAIXAS!AI327/BAIXAS!A327)),"")</f>
        <v>Vazio</v>
      </c>
    </row>
    <row r="328" spans="1:36" ht="21">
      <c r="A328" s="243">
        <f ca="1">COUNT(INDEX($C:$AH,ROW(),1):INDEX($C:$AH,ROW(),$AI$3+1))</f>
        <v>0</v>
      </c>
      <c r="B328" s="254" t="str">
        <f>INDEX(Cadastro_Piscina[[#All],[Colunas4]],MATCH(ROW()-5,Cadastro_Piscina[[#All],[Colunas2]],0))</f>
        <v xml:space="preserve">Reagente cloro Institucional </v>
      </c>
      <c r="C328" s="259"/>
      <c r="D328" s="259"/>
      <c r="E328" s="259"/>
      <c r="F328" s="259"/>
      <c r="G328" s="259"/>
      <c r="H328" s="259"/>
      <c r="I328" s="259"/>
      <c r="J328" s="259"/>
      <c r="K328" s="259"/>
      <c r="L328" s="259"/>
      <c r="M328" s="259"/>
      <c r="N328" s="259"/>
      <c r="O328" s="259"/>
      <c r="P328" s="259"/>
      <c r="Q328" s="259"/>
      <c r="R328" s="259"/>
      <c r="S328" s="259"/>
      <c r="T328" s="259"/>
      <c r="U328" s="259"/>
      <c r="V328" s="259"/>
      <c r="W328" s="259"/>
      <c r="X328" s="259"/>
      <c r="Y328" s="259"/>
      <c r="Z328" s="259"/>
      <c r="AA328" s="259"/>
      <c r="AB328" s="259"/>
      <c r="AC328" s="259"/>
      <c r="AD328" s="259"/>
      <c r="AE328" s="259"/>
      <c r="AF328" s="259"/>
      <c r="AG328" s="259"/>
      <c r="AH328" s="259"/>
      <c r="AI328" s="256">
        <f ca="1">IF(Configurações!$G$10="Ligado",SUMIFS(C328:AH328,$C$4:$AH$4,"&lt;="&amp;Configurações!$C$5,$C$4:$AH$4,"&lt;="&amp;$AI$3),"")</f>
        <v>0</v>
      </c>
      <c r="AJ328" s="112" t="str">
        <f ca="1">IF(Configurações!$G$12="Ligado",IF(AI328&lt;=0,"Vazio",IF(Configurações!$G$11="Dia",IF(C328="",BAIXAS!AI328/(Configurações!$C$5),BAIXAS!AI328/(Configurações!$C$5+1)),BAIXAS!AI328/BAIXAS!A328)),"")</f>
        <v>Vazio</v>
      </c>
    </row>
    <row r="329" spans="1:36" ht="21">
      <c r="A329" s="243">
        <f ca="1">COUNT(INDEX($C:$AH,ROW(),1):INDEX($C:$AH,ROW(),$AI$3+1))</f>
        <v>0</v>
      </c>
      <c r="B329" s="255" t="str">
        <f>INDEX(Cadastro_Piscina[[#All],[Colunas4]],MATCH(ROW()-5,Cadastro_Piscina[[#All],[Colunas2]],0))</f>
        <v xml:space="preserve">Reagente ph Institucional </v>
      </c>
      <c r="C329" s="263"/>
      <c r="D329" s="263"/>
      <c r="E329" s="263"/>
      <c r="F329" s="263"/>
      <c r="G329" s="263"/>
      <c r="H329" s="263"/>
      <c r="I329" s="263"/>
      <c r="J329" s="263"/>
      <c r="K329" s="263"/>
      <c r="L329" s="263"/>
      <c r="M329" s="263"/>
      <c r="N329" s="263"/>
      <c r="O329" s="263"/>
      <c r="P329" s="263"/>
      <c r="Q329" s="263"/>
      <c r="R329" s="263"/>
      <c r="S329" s="263"/>
      <c r="T329" s="263"/>
      <c r="U329" s="263"/>
      <c r="V329" s="263"/>
      <c r="W329" s="263"/>
      <c r="X329" s="263"/>
      <c r="Y329" s="263"/>
      <c r="Z329" s="263"/>
      <c r="AA329" s="263"/>
      <c r="AB329" s="263"/>
      <c r="AC329" s="263"/>
      <c r="AD329" s="263"/>
      <c r="AE329" s="263"/>
      <c r="AF329" s="263"/>
      <c r="AG329" s="263"/>
      <c r="AH329" s="263"/>
      <c r="AI329" s="257">
        <f ca="1">IF(Configurações!$G$10="Ligado",SUMIFS(C329:AH329,$C$4:$AH$4,"&lt;="&amp;Configurações!$C$5,$C$4:$AH$4,"&lt;="&amp;$AI$3),"")</f>
        <v>0</v>
      </c>
      <c r="AJ329" s="258" t="str">
        <f ca="1">IF(Configurações!$G$12="Ligado",IF(AI329&lt;=0,"Vazio",IF(Configurações!$G$11="Dia",IF(C329="",BAIXAS!AI329/(Configurações!$C$5),BAIXAS!AI329/(Configurações!$C$5+1)),BAIXAS!AI329/BAIXAS!A329)),"")</f>
        <v>Vazio</v>
      </c>
    </row>
    <row r="330" spans="1:36" ht="15.75" thickBot="1"/>
    <row r="331" spans="1:36" ht="24" thickBot="1">
      <c r="B331" s="445" t="s">
        <v>430</v>
      </c>
      <c r="C331" s="446"/>
      <c r="D331" s="446"/>
      <c r="E331" s="446"/>
      <c r="F331" s="446"/>
      <c r="G331" s="446"/>
      <c r="H331" s="446"/>
      <c r="I331" s="446"/>
      <c r="J331" s="446"/>
      <c r="K331" s="446"/>
      <c r="L331" s="446"/>
      <c r="M331" s="446"/>
      <c r="N331" s="446"/>
      <c r="O331" s="446"/>
      <c r="P331" s="446"/>
      <c r="Q331" s="446"/>
      <c r="R331" s="446"/>
      <c r="S331" s="446"/>
      <c r="T331" s="446"/>
      <c r="U331" s="446"/>
      <c r="V331" s="446"/>
      <c r="W331" s="446"/>
      <c r="X331" s="446"/>
      <c r="Y331" s="446"/>
      <c r="Z331" s="446"/>
      <c r="AA331" s="446"/>
      <c r="AB331" s="446"/>
      <c r="AC331" s="446"/>
      <c r="AD331" s="446"/>
      <c r="AE331" s="446"/>
      <c r="AF331" s="446"/>
      <c r="AG331" s="446"/>
      <c r="AH331" s="446"/>
      <c r="AI331" s="446"/>
      <c r="AJ331" s="447"/>
    </row>
    <row r="332" spans="1:36" ht="21">
      <c r="A332" s="266">
        <f ca="1">COUNT(INDEX($C:$AH,ROW(),1):INDEX($C:$AH,ROW(),$AI$3+1))</f>
        <v>0</v>
      </c>
      <c r="B332" s="267" t="str">
        <f>INDEX(Cadastro_covid[[#All],[Colunas4]],MATCH(ROW()-5,Cadastro_covid[[#All],[Colunas2]],0))</f>
        <v>Adesivo de destanciamento de chão</v>
      </c>
      <c r="C332" s="281"/>
      <c r="D332" s="282"/>
      <c r="E332" s="282"/>
      <c r="F332" s="282"/>
      <c r="G332" s="282"/>
      <c r="H332" s="282"/>
      <c r="I332" s="282"/>
      <c r="J332" s="282"/>
      <c r="K332" s="282"/>
      <c r="L332" s="282"/>
      <c r="M332" s="282"/>
      <c r="N332" s="282"/>
      <c r="O332" s="282"/>
      <c r="P332" s="282"/>
      <c r="Q332" s="282"/>
      <c r="R332" s="282"/>
      <c r="S332" s="282"/>
      <c r="T332" s="282"/>
      <c r="U332" s="282"/>
      <c r="V332" s="282"/>
      <c r="W332" s="282"/>
      <c r="X332" s="282"/>
      <c r="Y332" s="282"/>
      <c r="Z332" s="282"/>
      <c r="AA332" s="282"/>
      <c r="AB332" s="282"/>
      <c r="AC332" s="282"/>
      <c r="AD332" s="282"/>
      <c r="AE332" s="282"/>
      <c r="AF332" s="282"/>
      <c r="AG332" s="282"/>
      <c r="AH332" s="283"/>
      <c r="AI332" s="271">
        <f ca="1">IF(Configurações!$G$10="Ligado",SUMIFS(C332:AH332,$C$4:$AH$4,"&lt;="&amp;Configurações!$C$5,$C$4:$AH$4,"&lt;="&amp;$AI$3),"")</f>
        <v>0</v>
      </c>
      <c r="AJ332" s="273" t="str">
        <f ca="1">IF(Configurações!$G$12="Ligado",IF(AI332&lt;=0,"Vazio",IF(Configurações!$G$11="Dia",IF(C3332="",BAIXAS!AI332/(Configurações!$C$5),BAIXAS!AI332/(Configurações!$C$5+1)),BAIXAS!AI332/BAIXAS!A332)),"")</f>
        <v>Vazio</v>
      </c>
    </row>
    <row r="333" spans="1:36" ht="21">
      <c r="A333" s="266">
        <f ca="1">COUNT(INDEX($C:$AH,ROW(),1):INDEX($C:$AH,ROW(),$AI$3+1))</f>
        <v>0</v>
      </c>
      <c r="B333" s="268" t="str">
        <f>INDEX(Cadastro_covid[[#All],[Colunas4]],MATCH(ROW()-5,Cadastro_covid[[#All],[Colunas2]],0))</f>
        <v>Alcool gel antisseptico</v>
      </c>
      <c r="C333" s="284"/>
      <c r="D333" s="285"/>
      <c r="E333" s="285"/>
      <c r="F333" s="285"/>
      <c r="G333" s="285"/>
      <c r="H333" s="285"/>
      <c r="I333" s="285"/>
      <c r="J333" s="285"/>
      <c r="K333" s="285"/>
      <c r="L333" s="285"/>
      <c r="M333" s="285"/>
      <c r="N333" s="285"/>
      <c r="O333" s="285"/>
      <c r="P333" s="285"/>
      <c r="Q333" s="285"/>
      <c r="R333" s="285"/>
      <c r="S333" s="285"/>
      <c r="T333" s="285"/>
      <c r="U333" s="285"/>
      <c r="V333" s="285"/>
      <c r="W333" s="285"/>
      <c r="X333" s="285"/>
      <c r="Y333" s="285"/>
      <c r="Z333" s="285"/>
      <c r="AA333" s="285"/>
      <c r="AB333" s="285"/>
      <c r="AC333" s="285"/>
      <c r="AD333" s="285"/>
      <c r="AE333" s="285"/>
      <c r="AF333" s="285"/>
      <c r="AG333" s="285"/>
      <c r="AH333" s="286"/>
      <c r="AI333" s="272">
        <f ca="1">IF(Configurações!$G$10="Ligado",SUMIFS(C333:AH333,$C$4:$AH$4,"&lt;="&amp;Configurações!$C$5,$C$4:$AH$4,"&lt;="&amp;$AI$3),"")</f>
        <v>0</v>
      </c>
      <c r="AJ333" s="274" t="str">
        <f ca="1">IF(Configurações!$G$12="Ligado",IF(AI333&lt;=0,"Vazio",IF(Configurações!$G$11="Dia",IF(C3333="",BAIXAS!AI333/(Configurações!$C$5),BAIXAS!AI333/(Configurações!$C$5+1)),BAIXAS!AI333/BAIXAS!A333)),"")</f>
        <v>Vazio</v>
      </c>
    </row>
    <row r="334" spans="1:36" ht="21">
      <c r="A334" s="266">
        <f ca="1">COUNT(INDEX($C:$AH,ROW(),1):INDEX($C:$AH,ROW(),$AI$3+1))</f>
        <v>0</v>
      </c>
      <c r="B334" s="269" t="str">
        <f>INDEX(Cadastro_covid[[#All],[Colunas4]],MATCH(ROW()-5,Cadastro_covid[[#All],[Colunas2]],0))</f>
        <v xml:space="preserve">Placa use mascaras  </v>
      </c>
      <c r="C334" s="287"/>
      <c r="D334" s="288"/>
      <c r="E334" s="288"/>
      <c r="F334" s="288"/>
      <c r="G334" s="288"/>
      <c r="H334" s="288"/>
      <c r="I334" s="288"/>
      <c r="J334" s="288"/>
      <c r="K334" s="288"/>
      <c r="L334" s="288"/>
      <c r="M334" s="288"/>
      <c r="N334" s="288"/>
      <c r="O334" s="288"/>
      <c r="P334" s="288"/>
      <c r="Q334" s="288"/>
      <c r="R334" s="288"/>
      <c r="S334" s="288"/>
      <c r="T334" s="288"/>
      <c r="U334" s="288"/>
      <c r="V334" s="288"/>
      <c r="W334" s="288"/>
      <c r="X334" s="288"/>
      <c r="Y334" s="288"/>
      <c r="Z334" s="288"/>
      <c r="AA334" s="288"/>
      <c r="AB334" s="288"/>
      <c r="AC334" s="288"/>
      <c r="AD334" s="288"/>
      <c r="AE334" s="288"/>
      <c r="AF334" s="288"/>
      <c r="AG334" s="288"/>
      <c r="AH334" s="289"/>
      <c r="AI334" s="272">
        <f ca="1">IF(Configurações!$G$10="Ligado",SUMIFS(C334:AH334,$C$4:$AH$4,"&lt;="&amp;Configurações!$C$5,$C$4:$AH$4,"&lt;="&amp;$AI$3),"")</f>
        <v>0</v>
      </c>
      <c r="AJ334" s="274" t="str">
        <f ca="1">IF(Configurações!$G$12="Ligado",IF(AI334&lt;=0,"Vazio",IF(Configurações!$G$11="Dia",IF(C3334="",BAIXAS!AI334/(Configurações!$C$5),BAIXAS!AI334/(Configurações!$C$5+1)),BAIXAS!AI334/BAIXAS!A334)),"")</f>
        <v>Vazio</v>
      </c>
    </row>
    <row r="335" spans="1:36" ht="21">
      <c r="A335" s="266">
        <f ca="1">COUNT(INDEX($C:$AH,ROW(),1):INDEX($C:$AH,ROW(),$AI$3+1))</f>
        <v>0</v>
      </c>
      <c r="B335" s="268" t="str">
        <f>INDEX(Cadastro_covid[[#All],[Colunas4]],MATCH(ROW()-5,Cadastro_covid[[#All],[Colunas2]],0))</f>
        <v>Papel higienico</v>
      </c>
      <c r="C335" s="284"/>
      <c r="D335" s="285"/>
      <c r="E335" s="285"/>
      <c r="F335" s="285"/>
      <c r="G335" s="285"/>
      <c r="H335" s="285"/>
      <c r="I335" s="285"/>
      <c r="J335" s="285"/>
      <c r="K335" s="285"/>
      <c r="L335" s="285"/>
      <c r="M335" s="285"/>
      <c r="N335" s="285"/>
      <c r="O335" s="285"/>
      <c r="P335" s="285"/>
      <c r="Q335" s="285"/>
      <c r="R335" s="285"/>
      <c r="S335" s="285"/>
      <c r="T335" s="285"/>
      <c r="U335" s="285"/>
      <c r="V335" s="285"/>
      <c r="W335" s="285"/>
      <c r="X335" s="285"/>
      <c r="Y335" s="285"/>
      <c r="Z335" s="285"/>
      <c r="AA335" s="285"/>
      <c r="AB335" s="285"/>
      <c r="AC335" s="285"/>
      <c r="AD335" s="285"/>
      <c r="AE335" s="285"/>
      <c r="AF335" s="285"/>
      <c r="AG335" s="285"/>
      <c r="AH335" s="286"/>
      <c r="AI335" s="272">
        <f ca="1">IF(Configurações!$G$10="Ligado",SUMIFS(C335:AH335,$C$4:$AH$4,"&lt;="&amp;Configurações!$C$5,$C$4:$AH$4,"&lt;="&amp;$AI$3),"")</f>
        <v>0</v>
      </c>
      <c r="AJ335" s="274" t="str">
        <f ca="1">IF(Configurações!$G$12="Ligado",IF(AI335&lt;=0,"Vazio",IF(Configurações!$G$11="Dia",IF(C3335="",BAIXAS!AI335/(Configurações!$C$5),BAIXAS!AI335/(Configurações!$C$5+1)),BAIXAS!AI335/BAIXAS!A335)),"")</f>
        <v>Vazio</v>
      </c>
    </row>
    <row r="336" spans="1:36" ht="21">
      <c r="A336" s="266">
        <f ca="1">COUNT(INDEX($C:$AH,ROW(),1):INDEX($C:$AH,ROW(),$AI$3+1))</f>
        <v>0</v>
      </c>
      <c r="B336" s="269" t="str">
        <f>INDEX(Cadastro_covid[[#All],[Colunas4]],MATCH(ROW()-5,Cadastro_covid[[#All],[Colunas2]],0))</f>
        <v xml:space="preserve">Dispenser p/hig rolão </v>
      </c>
      <c r="C336" s="287"/>
      <c r="D336" s="288"/>
      <c r="E336" s="288"/>
      <c r="F336" s="288"/>
      <c r="G336" s="288"/>
      <c r="H336" s="288"/>
      <c r="I336" s="288"/>
      <c r="J336" s="288"/>
      <c r="K336" s="288"/>
      <c r="L336" s="288"/>
      <c r="M336" s="288"/>
      <c r="N336" s="288"/>
      <c r="O336" s="288"/>
      <c r="P336" s="288"/>
      <c r="Q336" s="288"/>
      <c r="R336" s="288"/>
      <c r="S336" s="288"/>
      <c r="T336" s="288"/>
      <c r="U336" s="288"/>
      <c r="V336" s="288"/>
      <c r="W336" s="288"/>
      <c r="X336" s="288"/>
      <c r="Y336" s="288"/>
      <c r="Z336" s="288"/>
      <c r="AA336" s="288"/>
      <c r="AB336" s="288"/>
      <c r="AC336" s="288"/>
      <c r="AD336" s="288"/>
      <c r="AE336" s="288"/>
      <c r="AF336" s="288"/>
      <c r="AG336" s="288"/>
      <c r="AH336" s="289"/>
      <c r="AI336" s="272">
        <f ca="1">IF(Configurações!$G$10="Ligado",SUMIFS(C336:AH336,$C$4:$AH$4,"&lt;="&amp;Configurações!$C$5,$C$4:$AH$4,"&lt;="&amp;$AI$3),"")</f>
        <v>0</v>
      </c>
      <c r="AJ336" s="274" t="str">
        <f ca="1">IF(Configurações!$G$12="Ligado",IF(AI336&lt;=0,"Vazio",IF(Configurações!$G$11="Dia",IF(C3336="",BAIXAS!AI336/(Configurações!$C$5),BAIXAS!AI336/(Configurações!$C$5+1)),BAIXAS!AI336/BAIXAS!A336)),"")</f>
        <v>Vazio</v>
      </c>
    </row>
    <row r="337" spans="1:36" ht="21">
      <c r="A337" s="266">
        <f ca="1">COUNT(INDEX($C:$AH,ROW(),1):INDEX($C:$AH,ROW(),$AI$3+1))</f>
        <v>0</v>
      </c>
      <c r="B337" s="268" t="str">
        <f>INDEX(Cadastro_covid[[#All],[Colunas4]],MATCH(ROW()-5,Cadastro_covid[[#All],[Colunas2]],0))</f>
        <v xml:space="preserve">Luva vinil </v>
      </c>
      <c r="C337" s="284"/>
      <c r="D337" s="285"/>
      <c r="E337" s="285"/>
      <c r="F337" s="285"/>
      <c r="G337" s="285"/>
      <c r="H337" s="285"/>
      <c r="I337" s="285"/>
      <c r="J337" s="285"/>
      <c r="K337" s="285"/>
      <c r="L337" s="285"/>
      <c r="M337" s="285"/>
      <c r="N337" s="285"/>
      <c r="O337" s="285"/>
      <c r="P337" s="285"/>
      <c r="Q337" s="285"/>
      <c r="R337" s="285"/>
      <c r="S337" s="285"/>
      <c r="T337" s="285"/>
      <c r="U337" s="285"/>
      <c r="V337" s="285"/>
      <c r="W337" s="285"/>
      <c r="X337" s="285"/>
      <c r="Y337" s="285"/>
      <c r="Z337" s="285"/>
      <c r="AA337" s="285"/>
      <c r="AB337" s="285"/>
      <c r="AC337" s="285"/>
      <c r="AD337" s="285"/>
      <c r="AE337" s="285"/>
      <c r="AF337" s="285"/>
      <c r="AG337" s="285"/>
      <c r="AH337" s="286"/>
      <c r="AI337" s="272">
        <f ca="1">IF(Configurações!$G$10="Ligado",SUMIFS(C337:AH337,$C$4:$AH$4,"&lt;="&amp;Configurações!$C$5,$C$4:$AH$4,"&lt;="&amp;$AI$3),"")</f>
        <v>0</v>
      </c>
      <c r="AJ337" s="274" t="str">
        <f ca="1">IF(Configurações!$G$12="Ligado",IF(AI337&lt;=0,"Vazio",IF(Configurações!$G$11="Dia",IF(C3337="",BAIXAS!AI337/(Configurações!$C$5),BAIXAS!AI337/(Configurações!$C$5+1)),BAIXAS!AI337/BAIXAS!A337)),"")</f>
        <v>Vazio</v>
      </c>
    </row>
    <row r="338" spans="1:36" ht="21">
      <c r="A338" s="266">
        <f ca="1">COUNT(INDEX($C:$AH,ROW(),1):INDEX($C:$AH,ROW(),$AI$3+1))</f>
        <v>0</v>
      </c>
      <c r="B338" s="269" t="str">
        <f>INDEX(Cadastro_covid[[#All],[Colunas4]],MATCH(ROW()-5,Cadastro_covid[[#All],[Colunas2]],0))</f>
        <v xml:space="preserve">Jaleco modelo cirurgico </v>
      </c>
      <c r="C338" s="287"/>
      <c r="D338" s="288"/>
      <c r="E338" s="288"/>
      <c r="F338" s="288"/>
      <c r="G338" s="288"/>
      <c r="H338" s="288"/>
      <c r="I338" s="288"/>
      <c r="J338" s="288"/>
      <c r="K338" s="288"/>
      <c r="L338" s="288"/>
      <c r="M338" s="288"/>
      <c r="N338" s="288"/>
      <c r="O338" s="288"/>
      <c r="P338" s="288"/>
      <c r="Q338" s="288"/>
      <c r="R338" s="288"/>
      <c r="S338" s="288"/>
      <c r="T338" s="288"/>
      <c r="U338" s="288"/>
      <c r="V338" s="288"/>
      <c r="W338" s="288"/>
      <c r="X338" s="288"/>
      <c r="Y338" s="288"/>
      <c r="Z338" s="288"/>
      <c r="AA338" s="288"/>
      <c r="AB338" s="288"/>
      <c r="AC338" s="288"/>
      <c r="AD338" s="288"/>
      <c r="AE338" s="288"/>
      <c r="AF338" s="288"/>
      <c r="AG338" s="288"/>
      <c r="AH338" s="289"/>
      <c r="AI338" s="272">
        <f ca="1">IF(Configurações!$G$10="Ligado",SUMIFS(C338:AH338,$C$4:$AH$4,"&lt;="&amp;Configurações!$C$5,$C$4:$AH$4,"&lt;="&amp;$AI$3),"")</f>
        <v>0</v>
      </c>
      <c r="AJ338" s="274" t="str">
        <f ca="1">IF(Configurações!$G$12="Ligado",IF(AI338&lt;=0,"Vazio",IF(Configurações!$G$11="Dia",IF(C3338="",BAIXAS!AI338/(Configurações!$C$5),BAIXAS!AI338/(Configurações!$C$5+1)),BAIXAS!AI338/BAIXAS!A338)),"")</f>
        <v>Vazio</v>
      </c>
    </row>
    <row r="339" spans="1:36" ht="21">
      <c r="A339" s="266">
        <f ca="1">COUNT(INDEX($C:$AH,ROW(),1):INDEX($C:$AH,ROW(),$AI$3+1))</f>
        <v>0</v>
      </c>
      <c r="B339" s="268" t="str">
        <f>INDEX(Cadastro_covid[[#All],[Colunas4]],MATCH(ROW()-5,Cadastro_covid[[#All],[Colunas2]],0))</f>
        <v xml:space="preserve">Touca tnt </v>
      </c>
      <c r="C339" s="284"/>
      <c r="D339" s="285"/>
      <c r="E339" s="285"/>
      <c r="F339" s="285"/>
      <c r="G339" s="285"/>
      <c r="H339" s="285"/>
      <c r="I339" s="285"/>
      <c r="J339" s="285"/>
      <c r="K339" s="285"/>
      <c r="L339" s="285"/>
      <c r="M339" s="285"/>
      <c r="N339" s="285"/>
      <c r="O339" s="285"/>
      <c r="P339" s="285"/>
      <c r="Q339" s="285"/>
      <c r="R339" s="285"/>
      <c r="S339" s="285"/>
      <c r="T339" s="285"/>
      <c r="U339" s="285"/>
      <c r="V339" s="285"/>
      <c r="W339" s="285"/>
      <c r="X339" s="285"/>
      <c r="Y339" s="285"/>
      <c r="Z339" s="285"/>
      <c r="AA339" s="285"/>
      <c r="AB339" s="285"/>
      <c r="AC339" s="285"/>
      <c r="AD339" s="285"/>
      <c r="AE339" s="285"/>
      <c r="AF339" s="285"/>
      <c r="AG339" s="285"/>
      <c r="AH339" s="286"/>
      <c r="AI339" s="272">
        <f ca="1">IF(Configurações!$G$10="Ligado",SUMIFS(C339:AH339,$C$4:$AH$4,"&lt;="&amp;Configurações!$C$5,$C$4:$AH$4,"&lt;="&amp;$AI$3),"")</f>
        <v>0</v>
      </c>
      <c r="AJ339" s="274" t="str">
        <f ca="1">IF(Configurações!$G$12="Ligado",IF(AI339&lt;=0,"Vazio",IF(Configurações!$G$11="Dia",IF(C3339="",BAIXAS!AI339/(Configurações!$C$5),BAIXAS!AI339/(Configurações!$C$5+1)),BAIXAS!AI339/BAIXAS!A339)),"")</f>
        <v>Vazio</v>
      </c>
    </row>
    <row r="340" spans="1:36" ht="21">
      <c r="A340" s="266">
        <f ca="1">COUNT(INDEX($C:$AH,ROW(),1):INDEX($C:$AH,ROW(),$AI$3+1))</f>
        <v>0</v>
      </c>
      <c r="B340" s="269" t="str">
        <f>INDEX(Cadastro_covid[[#All],[Colunas4]],MATCH(ROW()-5,Cadastro_covid[[#All],[Colunas2]],0))</f>
        <v xml:space="preserve">Dispenser para alcool gel </v>
      </c>
      <c r="C340" s="287"/>
      <c r="D340" s="288"/>
      <c r="E340" s="288"/>
      <c r="F340" s="288"/>
      <c r="G340" s="288"/>
      <c r="H340" s="288"/>
      <c r="I340" s="288"/>
      <c r="J340" s="288"/>
      <c r="K340" s="288"/>
      <c r="L340" s="288"/>
      <c r="M340" s="288"/>
      <c r="N340" s="288"/>
      <c r="O340" s="288"/>
      <c r="P340" s="288"/>
      <c r="Q340" s="288"/>
      <c r="R340" s="288"/>
      <c r="S340" s="288"/>
      <c r="T340" s="288"/>
      <c r="U340" s="288"/>
      <c r="V340" s="288"/>
      <c r="W340" s="288"/>
      <c r="X340" s="288"/>
      <c r="Y340" s="288"/>
      <c r="Z340" s="288"/>
      <c r="AA340" s="288"/>
      <c r="AB340" s="288"/>
      <c r="AC340" s="288"/>
      <c r="AD340" s="288"/>
      <c r="AE340" s="288"/>
      <c r="AF340" s="288"/>
      <c r="AG340" s="288"/>
      <c r="AH340" s="289"/>
      <c r="AI340" s="272">
        <f ca="1">IF(Configurações!$G$10="Ligado",SUMIFS(C340:AH340,$C$4:$AH$4,"&lt;="&amp;Configurações!$C$5,$C$4:$AH$4,"&lt;="&amp;$AI$3),"")</f>
        <v>0</v>
      </c>
      <c r="AJ340" s="274" t="str">
        <f ca="1">IF(Configurações!$G$12="Ligado",IF(AI340&lt;=0,"Vazio",IF(Configurações!$G$11="Dia",IF(C3340="",BAIXAS!AI340/(Configurações!$C$5),BAIXAS!AI340/(Configurações!$C$5+1)),BAIXAS!AI340/BAIXAS!A340)),"")</f>
        <v>Vazio</v>
      </c>
    </row>
    <row r="341" spans="1:36" ht="21">
      <c r="A341" s="266">
        <f ca="1">COUNT(INDEX($C:$AH,ROW(),1):INDEX($C:$AH,ROW(),$AI$3+1))</f>
        <v>0</v>
      </c>
      <c r="B341" s="268" t="str">
        <f>INDEX(Cadastro_covid[[#All],[Colunas4]],MATCH(ROW()-5,Cadastro_covid[[#All],[Colunas2]],0))</f>
        <v xml:space="preserve">Saco p talher </v>
      </c>
      <c r="C341" s="284"/>
      <c r="D341" s="285"/>
      <c r="E341" s="285"/>
      <c r="F341" s="285"/>
      <c r="G341" s="285"/>
      <c r="H341" s="285"/>
      <c r="I341" s="285"/>
      <c r="J341" s="285"/>
      <c r="K341" s="285"/>
      <c r="L341" s="285"/>
      <c r="M341" s="285"/>
      <c r="N341" s="285"/>
      <c r="O341" s="285"/>
      <c r="P341" s="285"/>
      <c r="Q341" s="285"/>
      <c r="R341" s="285"/>
      <c r="S341" s="285"/>
      <c r="T341" s="285"/>
      <c r="U341" s="285"/>
      <c r="V341" s="285"/>
      <c r="W341" s="285"/>
      <c r="X341" s="285"/>
      <c r="Y341" s="285"/>
      <c r="Z341" s="285"/>
      <c r="AA341" s="285"/>
      <c r="AB341" s="285"/>
      <c r="AC341" s="285"/>
      <c r="AD341" s="285"/>
      <c r="AE341" s="285"/>
      <c r="AF341" s="285"/>
      <c r="AG341" s="285"/>
      <c r="AH341" s="286"/>
      <c r="AI341" s="272">
        <f ca="1">IF(Configurações!$G$10="Ligado",SUMIFS(C341:AH341,$C$4:$AH$4,"&lt;="&amp;Configurações!$C$5,$C$4:$AH$4,"&lt;="&amp;$AI$3),"")</f>
        <v>0</v>
      </c>
      <c r="AJ341" s="274" t="str">
        <f ca="1">IF(Configurações!$G$12="Ligado",IF(AI341&lt;=0,"Vazio",IF(Configurações!$G$11="Dia",IF(C3341="",BAIXAS!AI341/(Configurações!$C$5),BAIXAS!AI341/(Configurações!$C$5+1)),BAIXAS!AI341/BAIXAS!A341)),"")</f>
        <v>Vazio</v>
      </c>
    </row>
    <row r="342" spans="1:36" ht="21">
      <c r="A342" s="266">
        <f ca="1">COUNT(INDEX($C:$AH,ROW(),1):INDEX($C:$AH,ROW(),$AI$3+1))</f>
        <v>0</v>
      </c>
      <c r="B342" s="269" t="str">
        <f>INDEX(Cadastro_covid[[#All],[Colunas4]],MATCH(ROW()-5,Cadastro_covid[[#All],[Colunas2]],0))</f>
        <v>Luva plastica</v>
      </c>
      <c r="C342" s="287"/>
      <c r="D342" s="288"/>
      <c r="E342" s="288"/>
      <c r="F342" s="288"/>
      <c r="G342" s="288"/>
      <c r="H342" s="288"/>
      <c r="I342" s="288"/>
      <c r="J342" s="288"/>
      <c r="K342" s="288"/>
      <c r="L342" s="288"/>
      <c r="M342" s="288"/>
      <c r="N342" s="288"/>
      <c r="O342" s="288"/>
      <c r="P342" s="288"/>
      <c r="Q342" s="288"/>
      <c r="R342" s="288"/>
      <c r="S342" s="288"/>
      <c r="T342" s="288"/>
      <c r="U342" s="288"/>
      <c r="V342" s="288"/>
      <c r="W342" s="288"/>
      <c r="X342" s="288"/>
      <c r="Y342" s="288"/>
      <c r="Z342" s="288"/>
      <c r="AA342" s="288"/>
      <c r="AB342" s="288"/>
      <c r="AC342" s="288"/>
      <c r="AD342" s="288"/>
      <c r="AE342" s="288"/>
      <c r="AF342" s="288"/>
      <c r="AG342" s="288"/>
      <c r="AH342" s="289"/>
      <c r="AI342" s="272">
        <f ca="1">IF(Configurações!$G$10="Ligado",SUMIFS(C342:AH342,$C$4:$AH$4,"&lt;="&amp;Configurações!$C$5,$C$4:$AH$4,"&lt;="&amp;$AI$3),"")</f>
        <v>0</v>
      </c>
      <c r="AJ342" s="274" t="str">
        <f ca="1">IF(Configurações!$G$12="Ligado",IF(AI342&lt;=0,"Vazio",IF(Configurações!$G$11="Dia",IF(C3342="",BAIXAS!AI342/(Configurações!$C$5),BAIXAS!AI342/(Configurações!$C$5+1)),BAIXAS!AI342/BAIXAS!A342)),"")</f>
        <v>Vazio</v>
      </c>
    </row>
    <row r="343" spans="1:36" ht="21">
      <c r="A343" s="266">
        <f ca="1">COUNT(INDEX($C:$AH,ROW(),1):INDEX($C:$AH,ROW(),$AI$3+1))</f>
        <v>0</v>
      </c>
      <c r="B343" s="268" t="str">
        <f>INDEX(Cadastro_covid[[#All],[Colunas4]],MATCH(ROW()-5,Cadastro_covid[[#All],[Colunas2]],0))</f>
        <v xml:space="preserve">Alcool gel  </v>
      </c>
      <c r="C343" s="284"/>
      <c r="D343" s="285"/>
      <c r="E343" s="285"/>
      <c r="F343" s="285"/>
      <c r="G343" s="285"/>
      <c r="H343" s="285"/>
      <c r="I343" s="285"/>
      <c r="J343" s="285"/>
      <c r="K343" s="285"/>
      <c r="L343" s="285"/>
      <c r="M343" s="285"/>
      <c r="N343" s="285"/>
      <c r="O343" s="285"/>
      <c r="P343" s="285"/>
      <c r="Q343" s="285"/>
      <c r="R343" s="285"/>
      <c r="S343" s="285"/>
      <c r="T343" s="285"/>
      <c r="U343" s="285"/>
      <c r="V343" s="285"/>
      <c r="W343" s="285"/>
      <c r="X343" s="285"/>
      <c r="Y343" s="285"/>
      <c r="Z343" s="285"/>
      <c r="AA343" s="285"/>
      <c r="AB343" s="285"/>
      <c r="AC343" s="285"/>
      <c r="AD343" s="285"/>
      <c r="AE343" s="285"/>
      <c r="AF343" s="285"/>
      <c r="AG343" s="285"/>
      <c r="AH343" s="286"/>
      <c r="AI343" s="272">
        <f ca="1">IF(Configurações!$G$10="Ligado",SUMIFS(C343:AH343,$C$4:$AH$4,"&lt;="&amp;Configurações!$C$5,$C$4:$AH$4,"&lt;="&amp;$AI$3),"")</f>
        <v>0</v>
      </c>
      <c r="AJ343" s="274" t="str">
        <f ca="1">IF(Configurações!$G$12="Ligado",IF(AI343&lt;=0,"Vazio",IF(Configurações!$G$11="Dia",IF(C3343="",BAIXAS!AI343/(Configurações!$C$5),BAIXAS!AI343/(Configurações!$C$5+1)),BAIXAS!AI343/BAIXAS!A343)),"")</f>
        <v>Vazio</v>
      </c>
    </row>
    <row r="344" spans="1:36" ht="21">
      <c r="A344" s="266">
        <f ca="1">COUNT(INDEX($C:$AH,ROW(),1):INDEX($C:$AH,ROW(),$AI$3+1))</f>
        <v>0</v>
      </c>
      <c r="B344" s="269" t="str">
        <f>INDEX(Cadastro_covid[[#All],[Colunas4]],MATCH(ROW()-5,Cadastro_covid[[#All],[Colunas2]],0))</f>
        <v>Viseira plastica</v>
      </c>
      <c r="C344" s="287"/>
      <c r="D344" s="288"/>
      <c r="E344" s="288"/>
      <c r="F344" s="288"/>
      <c r="G344" s="288"/>
      <c r="H344" s="288"/>
      <c r="I344" s="288"/>
      <c r="J344" s="288"/>
      <c r="K344" s="288"/>
      <c r="L344" s="288"/>
      <c r="M344" s="288"/>
      <c r="N344" s="288"/>
      <c r="O344" s="288"/>
      <c r="P344" s="288"/>
      <c r="Q344" s="288"/>
      <c r="R344" s="288"/>
      <c r="S344" s="288"/>
      <c r="T344" s="288"/>
      <c r="U344" s="288"/>
      <c r="V344" s="288"/>
      <c r="W344" s="288"/>
      <c r="X344" s="288"/>
      <c r="Y344" s="288"/>
      <c r="Z344" s="288"/>
      <c r="AA344" s="288"/>
      <c r="AB344" s="288"/>
      <c r="AC344" s="288"/>
      <c r="AD344" s="288"/>
      <c r="AE344" s="288"/>
      <c r="AF344" s="288"/>
      <c r="AG344" s="288"/>
      <c r="AH344" s="289"/>
      <c r="AI344" s="272">
        <f ca="1">IF(Configurações!$G$10="Ligado",SUMIFS(C344:AH344,$C$4:$AH$4,"&lt;="&amp;Configurações!$C$5,$C$4:$AH$4,"&lt;="&amp;$AI$3),"")</f>
        <v>0</v>
      </c>
      <c r="AJ344" s="274" t="str">
        <f ca="1">IF(Configurações!$G$12="Ligado",IF(AI344&lt;=0,"Vazio",IF(Configurações!$G$11="Dia",IF(C3344="",BAIXAS!AI344/(Configurações!$C$5),BAIXAS!AI344/(Configurações!$C$5+1)),BAIXAS!AI344/BAIXAS!A344)),"")</f>
        <v>Vazio</v>
      </c>
    </row>
    <row r="345" spans="1:36" ht="21">
      <c r="A345" s="266">
        <f ca="1">COUNT(INDEX($C:$AH,ROW(),1):INDEX($C:$AH,ROW(),$AI$3+1))</f>
        <v>0</v>
      </c>
      <c r="B345" s="268" t="str">
        <f>INDEX(Cadastro_covid[[#All],[Colunas4]],MATCH(ROW()-5,Cadastro_covid[[#All],[Colunas2]],0))</f>
        <v>Rodo magico</v>
      </c>
      <c r="C345" s="284"/>
      <c r="D345" s="285"/>
      <c r="E345" s="285"/>
      <c r="F345" s="285"/>
      <c r="G345" s="285"/>
      <c r="H345" s="285"/>
      <c r="I345" s="285"/>
      <c r="J345" s="285"/>
      <c r="K345" s="285"/>
      <c r="L345" s="285"/>
      <c r="M345" s="285"/>
      <c r="N345" s="285"/>
      <c r="O345" s="285"/>
      <c r="P345" s="285"/>
      <c r="Q345" s="285"/>
      <c r="R345" s="285"/>
      <c r="S345" s="285"/>
      <c r="T345" s="285"/>
      <c r="U345" s="285"/>
      <c r="V345" s="285"/>
      <c r="W345" s="285"/>
      <c r="X345" s="285"/>
      <c r="Y345" s="285"/>
      <c r="Z345" s="285"/>
      <c r="AA345" s="285"/>
      <c r="AB345" s="285"/>
      <c r="AC345" s="285"/>
      <c r="AD345" s="285"/>
      <c r="AE345" s="285"/>
      <c r="AF345" s="285"/>
      <c r="AG345" s="285"/>
      <c r="AH345" s="286"/>
      <c r="AI345" s="272">
        <f ca="1">IF(Configurações!$G$10="Ligado",SUMIFS(C345:AH345,$C$4:$AH$4,"&lt;="&amp;Configurações!$C$5,$C$4:$AH$4,"&lt;="&amp;$AI$3),"")</f>
        <v>0</v>
      </c>
      <c r="AJ345" s="274" t="str">
        <f ca="1">IF(Configurações!$G$12="Ligado",IF(AI345&lt;=0,"Vazio",IF(Configurações!$G$11="Dia",IF(C3345="",BAIXAS!AI345/(Configurações!$C$5),BAIXAS!AI345/(Configurações!$C$5+1)),BAIXAS!AI345/BAIXAS!A345)),"")</f>
        <v>Vazio</v>
      </c>
    </row>
    <row r="346" spans="1:36" ht="21">
      <c r="A346" s="266">
        <f ca="1">COUNT(INDEX($C:$AH,ROW(),1):INDEX($C:$AH,ROW(),$AI$3+1))</f>
        <v>0</v>
      </c>
      <c r="B346" s="269" t="str">
        <f>INDEX(Cadastro_covid[[#All],[Colunas4]],MATCH(ROW()-5,Cadastro_covid[[#All],[Colunas2]],0))</f>
        <v>Tatepe sanitizante pediluvio 60/40</v>
      </c>
      <c r="C346" s="287"/>
      <c r="D346" s="288"/>
      <c r="E346" s="288"/>
      <c r="F346" s="288"/>
      <c r="G346" s="288"/>
      <c r="H346" s="288"/>
      <c r="I346" s="288"/>
      <c r="J346" s="288"/>
      <c r="K346" s="288"/>
      <c r="L346" s="288"/>
      <c r="M346" s="288"/>
      <c r="N346" s="288"/>
      <c r="O346" s="288"/>
      <c r="P346" s="288"/>
      <c r="Q346" s="288"/>
      <c r="R346" s="288"/>
      <c r="S346" s="288"/>
      <c r="T346" s="288"/>
      <c r="U346" s="288"/>
      <c r="V346" s="288"/>
      <c r="W346" s="288"/>
      <c r="X346" s="288"/>
      <c r="Y346" s="288"/>
      <c r="Z346" s="288"/>
      <c r="AA346" s="288"/>
      <c r="AB346" s="288"/>
      <c r="AC346" s="288"/>
      <c r="AD346" s="288"/>
      <c r="AE346" s="288"/>
      <c r="AF346" s="288"/>
      <c r="AG346" s="288"/>
      <c r="AH346" s="289"/>
      <c r="AI346" s="272">
        <f ca="1">IF(Configurações!$G$10="Ligado",SUMIFS(C346:AH346,$C$4:$AH$4,"&lt;="&amp;Configurações!$C$5,$C$4:$AH$4,"&lt;="&amp;$AI$3),"")</f>
        <v>0</v>
      </c>
      <c r="AJ346" s="274" t="str">
        <f ca="1">IF(Configurações!$G$12="Ligado",IF(AI346&lt;=0,"Vazio",IF(Configurações!$G$11="Dia",IF(C3346="",BAIXAS!AI346/(Configurações!$C$5),BAIXAS!AI346/(Configurações!$C$5+1)),BAIXAS!AI346/BAIXAS!A346)),"")</f>
        <v>Vazio</v>
      </c>
    </row>
    <row r="347" spans="1:36" ht="21.75" thickBot="1">
      <c r="A347" s="266">
        <f ca="1">COUNT(INDEX($C:$AH,ROW(),1):INDEX($C:$AH,ROW(),$AI$3+1))</f>
        <v>0</v>
      </c>
      <c r="B347" s="270" t="str">
        <f>INDEX(Cadastro_covid[[#All],[Colunas4]],MATCH(ROW()-5,Cadastro_covid[[#All],[Colunas2]],0))</f>
        <v>Dispenser plastico p/guard interfolhado</v>
      </c>
      <c r="C347" s="290"/>
      <c r="D347" s="291"/>
      <c r="E347" s="291"/>
      <c r="F347" s="291"/>
      <c r="G347" s="291"/>
      <c r="H347" s="291"/>
      <c r="I347" s="291"/>
      <c r="J347" s="291"/>
      <c r="K347" s="291"/>
      <c r="L347" s="291"/>
      <c r="M347" s="291"/>
      <c r="N347" s="291"/>
      <c r="O347" s="291"/>
      <c r="P347" s="291"/>
      <c r="Q347" s="291"/>
      <c r="R347" s="291"/>
      <c r="S347" s="291"/>
      <c r="T347" s="291"/>
      <c r="U347" s="291"/>
      <c r="V347" s="291"/>
      <c r="W347" s="291"/>
      <c r="X347" s="291"/>
      <c r="Y347" s="291"/>
      <c r="Z347" s="291"/>
      <c r="AA347" s="291"/>
      <c r="AB347" s="291"/>
      <c r="AC347" s="291"/>
      <c r="AD347" s="291"/>
      <c r="AE347" s="291"/>
      <c r="AF347" s="291"/>
      <c r="AG347" s="291"/>
      <c r="AH347" s="292"/>
      <c r="AI347" s="272">
        <f ca="1">IF(Configurações!$G$10="Ligado",SUMIFS(C347:AH347,$C$4:$AH$4,"&lt;="&amp;Configurações!$C$5,$C$4:$AH$4,"&lt;="&amp;$AI$3),"")</f>
        <v>0</v>
      </c>
      <c r="AJ347" s="275" t="str">
        <f ca="1">IF(Configurações!$G$12="Ligado",IF(AI347&lt;=0,"Vazio",IF(Configurações!$G$11="Dia",IF(C3347="",BAIXAS!AI347/(Configurações!$C$5),BAIXAS!AI347/(Configurações!$C$5+1)),BAIXAS!AI347/BAIXAS!A347)),"")</f>
        <v>Vazio</v>
      </c>
    </row>
  </sheetData>
  <sheetProtection password="C6E3" sheet="1" objects="1" scenarios="1" selectLockedCells="1"/>
  <mergeCells count="9">
    <mergeCell ref="B331:AJ331"/>
    <mergeCell ref="B317:AJ317"/>
    <mergeCell ref="B243:AJ243"/>
    <mergeCell ref="A4:A5"/>
    <mergeCell ref="B182:AJ182"/>
    <mergeCell ref="B5:AJ5"/>
    <mergeCell ref="B139:AJ139"/>
    <mergeCell ref="B175:AJ175"/>
    <mergeCell ref="B170:AJ170"/>
  </mergeCells>
  <conditionalFormatting sqref="D4:AH4">
    <cfRule type="cellIs" dxfId="1452" priority="83" operator="equal">
      <formula>$B$3</formula>
    </cfRule>
  </conditionalFormatting>
  <conditionalFormatting sqref="A6:A137 A140:A168 A171:A173 A176:A180 A183:A241 A244:A315 A318:A329 A332:A347">
    <cfRule type="cellIs" dxfId="1451" priority="11" operator="between">
      <formula>$B$3*10/100</formula>
      <formula>$B$3*50/100</formula>
    </cfRule>
    <cfRule type="cellIs" dxfId="1450" priority="12" operator="between">
      <formula>$B$3*50/100</formula>
      <formula>$B$3*70/100</formula>
    </cfRule>
    <cfRule type="cellIs" dxfId="1449" priority="13" operator="lessThan">
      <formula>$B$3*10/100</formula>
    </cfRule>
    <cfRule type="cellIs" dxfId="1448" priority="14" operator="greaterThan">
      <formula>$B$3*70/100</formula>
    </cfRule>
  </conditionalFormatting>
  <conditionalFormatting sqref="B6:B137 B140:B168 B171:B173 B176:B180 B183:B241 B244:B315 B318:B329">
    <cfRule type="expression" dxfId="1447" priority="10">
      <formula>CELL("lin")=ROW()</formula>
    </cfRule>
  </conditionalFormatting>
  <conditionalFormatting sqref="B332:B347">
    <cfRule type="expression" dxfId="1446" priority="9">
      <formula>CELL("lin")=ROW()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/>
  <dimension ref="A1:CZ347"/>
  <sheetViews>
    <sheetView showGridLines="0" zoomScale="85" zoomScaleNormal="85" workbookViewId="0">
      <pane ySplit="4" topLeftCell="A288" activePane="bottomLeft" state="frozen"/>
      <selection activeCell="B319" sqref="B319"/>
      <selection pane="bottomLeft" activeCell="Y304" sqref="Y304"/>
    </sheetView>
  </sheetViews>
  <sheetFormatPr defaultRowHeight="15"/>
  <cols>
    <col min="1" max="1" width="4.42578125" customWidth="1"/>
    <col min="2" max="2" width="53.140625" bestFit="1" customWidth="1"/>
    <col min="3" max="3" width="4" bestFit="1" customWidth="1"/>
    <col min="4" max="34" width="3.7109375" customWidth="1"/>
    <col min="35" max="35" width="7.28515625" customWidth="1"/>
    <col min="36" max="36" width="19.7109375" bestFit="1" customWidth="1"/>
    <col min="37" max="39" width="21.42578125" hidden="1" customWidth="1"/>
    <col min="40" max="40" width="20.7109375" hidden="1" customWidth="1"/>
  </cols>
  <sheetData>
    <row r="1" spans="1:42" hidden="1">
      <c r="B1">
        <f ca="1">IF(D1=100,3,IF(D1&gt;=60,2,IF(D1&gt;0,1,0)))</f>
        <v>2</v>
      </c>
      <c r="C1" s="63">
        <f ca="1">SUM(D2,K2,R2,Y2,AF2)</f>
        <v>4</v>
      </c>
      <c r="D1" s="63">
        <f ca="1">C1*100/B2</f>
        <v>80</v>
      </c>
    </row>
    <row r="2" spans="1:42" hidden="1">
      <c r="B2">
        <f ca="1">Configurações!Q11</f>
        <v>5</v>
      </c>
      <c r="D2">
        <f ca="1">IF(SUMIF(D4:J4,"&lt;="&amp;AI3,D3:J3)&lt;(Configurações!$C$8*COUNTIF(D4:J4,"&lt;="&amp;AI3)),1,0)</f>
        <v>1</v>
      </c>
      <c r="K2">
        <f ca="1">IF(SUMIF(K4:Q4,"&lt;="&amp;AI3,K3:Q3)&lt;(Configurações!$C$8*COUNTIF(K4:Q4,"&lt;="&amp;AI3)),1,0)</f>
        <v>1</v>
      </c>
      <c r="R2">
        <f ca="1">IF(SUMIF(R4:X4,"&lt;="&amp;AI3,R3:X3)&lt;(Configurações!$C$8*COUNTIF(R4:X4,"&lt;="&amp;AI3)),1,0)</f>
        <v>1</v>
      </c>
      <c r="Y2">
        <f ca="1">IF(SUMIF(Y4:AE4,"&lt;="&amp;AI3,Y3:AE3)&lt;(Configurações!$C$8*COUNTIF(Y4:AE4,"&lt;="&amp;AI3)),1,0)</f>
        <v>1</v>
      </c>
      <c r="AF2">
        <f ca="1">IF(SUMIF(AF4:AH4,"&lt;="&amp;AI3,AF3:AH3)&lt;(Configurações!$C$8*COUNTIF(AF4:AH4,"&lt;="&amp;AI3)),1,0)</f>
        <v>0</v>
      </c>
      <c r="AI2">
        <f ca="1">Configurações!M11</f>
        <v>5</v>
      </c>
    </row>
    <row r="3" spans="1:42" ht="21.75" hidden="1" customHeight="1" thickBot="1">
      <c r="B3" s="18">
        <f ca="1">IF(Configurações!G16="Ligado",IF(Configurações!M5="",DAY(Configurações!M6),DAY(Configurações!M5)),"")</f>
        <v>2</v>
      </c>
      <c r="C3">
        <f>COUNTBLANK(C$6:C$347)</f>
        <v>336</v>
      </c>
      <c r="D3">
        <f ca="1">IF(D4&lt;=DAY(Configurações!$C$4),COUNTBLANK(D$6:D$347),Configurações!$C$8)</f>
        <v>299</v>
      </c>
      <c r="E3">
        <f ca="1">IF(E4&lt;=DAY(Configurações!$C$4),COUNTBLANK(E$6:E$347),Configurações!$C$8)</f>
        <v>315</v>
      </c>
      <c r="F3">
        <f ca="1">IF(F4&lt;=DAY(Configurações!$C$4),COUNTBLANK(F$6:F$347),Configurações!$C$8)</f>
        <v>342</v>
      </c>
      <c r="G3">
        <f ca="1">IF(G4&lt;=DAY(Configurações!$C$4),COUNTBLANK(G$6:G$347),Configurações!$C$8)</f>
        <v>324</v>
      </c>
      <c r="H3">
        <f ca="1">IF(H4&lt;=DAY(Configurações!$C$4),COUNTBLANK(H$6:H$347),Configurações!$C$8)</f>
        <v>342</v>
      </c>
      <c r="I3">
        <f ca="1">IF(I4&lt;=DAY(Configurações!$C$4),COUNTBLANK(I$6:I$347),Configurações!$C$8)</f>
        <v>342</v>
      </c>
      <c r="J3">
        <f ca="1">IF(J4&lt;=DAY(Configurações!$C$4),COUNTBLANK(J$6:J$347),Configurações!$C$8)</f>
        <v>342</v>
      </c>
      <c r="K3">
        <f ca="1">IF(K4&lt;=DAY(Configurações!$C$4),COUNTBLANK(K$6:K$347),Configurações!$C$8)</f>
        <v>335</v>
      </c>
      <c r="L3">
        <f ca="1">IF(L4&lt;=DAY(Configurações!$C$4),COUNTBLANK(L$6:L$347),Configurações!$C$8)</f>
        <v>290</v>
      </c>
      <c r="M3">
        <f ca="1">IF(M4&lt;=DAY(Configurações!$C$4),COUNTBLANK(M$6:M$347),Configurações!$C$8)</f>
        <v>331</v>
      </c>
      <c r="N3">
        <f ca="1">IF(N4&lt;=DAY(Configurações!$C$4),COUNTBLANK(N$6:N$347),Configurações!$C$8)</f>
        <v>325</v>
      </c>
      <c r="O3">
        <f ca="1">IF(O4&lt;=DAY(Configurações!$C$4),COUNTBLANK(O$6:O$347),Configurações!$C$8)</f>
        <v>342</v>
      </c>
      <c r="P3">
        <f ca="1">IF(P4&lt;=DAY(Configurações!$C$4),COUNTBLANK(P$6:P$347),Configurações!$C$8)</f>
        <v>342</v>
      </c>
      <c r="Q3">
        <f ca="1">IF(Q4&lt;=DAY(Configurações!$C$4),COUNTBLANK(Q$6:Q$347),Configurações!$C$8)</f>
        <v>334</v>
      </c>
      <c r="R3">
        <f ca="1">IF(R4&lt;=DAY(Configurações!$C$4),COUNTBLANK(R$6:R$347),Configurações!$C$8)</f>
        <v>338</v>
      </c>
      <c r="S3">
        <f ca="1">IF(S4&lt;=DAY(Configurações!$C$4),COUNTBLANK(S$6:S$347),Configurações!$C$8)</f>
        <v>301</v>
      </c>
      <c r="T3">
        <f ca="1">IF(T4&lt;=DAY(Configurações!$C$4),COUNTBLANK(T$6:T$347),Configurações!$C$8)</f>
        <v>330</v>
      </c>
      <c r="U3">
        <f ca="1">IF(U4&lt;=DAY(Configurações!$C$4),COUNTBLANK(U$6:U$347),Configurações!$C$8)</f>
        <v>320</v>
      </c>
      <c r="V3">
        <f ca="1">IF(V4&lt;=DAY(Configurações!$C$4),COUNTBLANK(V$6:V$347),Configurações!$C$8)</f>
        <v>323</v>
      </c>
      <c r="W3">
        <f ca="1">IF(W4&lt;=DAY(Configurações!$C$4),COUNTBLANK(W$6:W$347),Configurações!$C$8)</f>
        <v>342</v>
      </c>
      <c r="X3">
        <f ca="1">IF(X4&lt;=DAY(Configurações!$C$4),COUNTBLANK(X$6:X$347),Configurações!$C$8)</f>
        <v>339</v>
      </c>
      <c r="Y3">
        <f ca="1">IF(Y4&lt;=DAY(Configurações!$C$4),COUNTBLANK(Y$6:Y$347),Configurações!$C$8)</f>
        <v>340</v>
      </c>
      <c r="Z3">
        <f ca="1">IF(Z4&lt;=DAY(Configurações!$C$4),COUNTBLANK(Z$6:Z$347),Configurações!$C$8)</f>
        <v>342</v>
      </c>
      <c r="AA3">
        <f ca="1">IF(AA4&lt;=DAY(Configurações!$C$4),COUNTBLANK(AA$6:AA$347),Configurações!$C$8)</f>
        <v>342</v>
      </c>
      <c r="AB3">
        <f ca="1">IF(AB4&lt;=DAY(Configurações!$C$4),COUNTBLANK(AB$6:AB$347),Configurações!$C$8)</f>
        <v>342</v>
      </c>
      <c r="AC3">
        <f ca="1">IF(AC4&lt;=DAY(Configurações!$C$4),COUNTBLANK(AC$6:AC$347),Configurações!$C$8)</f>
        <v>342</v>
      </c>
      <c r="AD3">
        <f ca="1">IF(AD4&lt;=DAY(Configurações!$C$4),COUNTBLANK(AD$6:AD$347),Configurações!$C$8)</f>
        <v>342</v>
      </c>
      <c r="AE3">
        <f ca="1">IF(AE4&lt;=DAY(Configurações!$C$4),COUNTBLANK(AE$6:AE$347),Configurações!$C$8)</f>
        <v>342</v>
      </c>
      <c r="AF3">
        <f ca="1">IF(AF4&lt;=DAY(Configurações!$C$4),COUNTBLANK(AF$6:AF$347),Configurações!$C$8)</f>
        <v>342</v>
      </c>
      <c r="AG3">
        <f ca="1">IF(AG4&lt;=DAY(Configurações!$C$4),COUNTBLANK(AG$6:AG$347),Configurações!$C$8)</f>
        <v>342</v>
      </c>
      <c r="AH3">
        <f ca="1">IF(AH4&lt;=DAY(Configurações!$C$4),COUNTBLANK(AH$6:AH$347),Configurações!$C$8)</f>
        <v>342</v>
      </c>
      <c r="AI3">
        <f ca="1">IF(Configurações!G16="Ligado",DAY(Configurações!C5),"")</f>
        <v>24</v>
      </c>
      <c r="AJ3" s="14">
        <f ca="1">DAY(Configurações!C14)</f>
        <v>31</v>
      </c>
    </row>
    <row r="4" spans="1:42" ht="18.75" thickBot="1">
      <c r="A4" s="454"/>
      <c r="B4" s="4" t="s">
        <v>132</v>
      </c>
      <c r="C4" s="210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>
        <v>16</v>
      </c>
      <c r="T4" s="6">
        <v>17</v>
      </c>
      <c r="U4" s="6">
        <v>18</v>
      </c>
      <c r="V4" s="6">
        <v>19</v>
      </c>
      <c r="W4" s="6">
        <v>20</v>
      </c>
      <c r="X4" s="6">
        <v>21</v>
      </c>
      <c r="Y4" s="6">
        <v>22</v>
      </c>
      <c r="Z4" s="6">
        <v>23</v>
      </c>
      <c r="AA4" s="6">
        <v>24</v>
      </c>
      <c r="AB4" s="6">
        <v>25</v>
      </c>
      <c r="AC4" s="6">
        <v>26</v>
      </c>
      <c r="AD4" s="6">
        <v>27</v>
      </c>
      <c r="AE4" s="6">
        <v>28</v>
      </c>
      <c r="AF4" s="6">
        <v>29</v>
      </c>
      <c r="AG4" s="7">
        <v>30</v>
      </c>
      <c r="AH4" s="8">
        <v>31</v>
      </c>
      <c r="AI4" s="9" t="s">
        <v>113</v>
      </c>
      <c r="AJ4" s="17" t="str">
        <f>CONCATENATE("Média por ",Configurações!G18)</f>
        <v>Média por Semana</v>
      </c>
      <c r="AK4" s="64"/>
      <c r="AL4" s="65"/>
      <c r="AM4" s="64"/>
      <c r="AN4" s="64"/>
      <c r="AO4" s="64"/>
    </row>
    <row r="5" spans="1:42" ht="24" thickBot="1">
      <c r="A5" s="471"/>
      <c r="B5" s="458" t="s">
        <v>118</v>
      </c>
      <c r="C5" s="459"/>
      <c r="D5" s="459"/>
      <c r="E5" s="459"/>
      <c r="F5" s="459"/>
      <c r="G5" s="459"/>
      <c r="H5" s="459"/>
      <c r="I5" s="459"/>
      <c r="J5" s="459"/>
      <c r="K5" s="459"/>
      <c r="L5" s="459"/>
      <c r="M5" s="459"/>
      <c r="N5" s="459"/>
      <c r="O5" s="459"/>
      <c r="P5" s="459"/>
      <c r="Q5" s="459"/>
      <c r="R5" s="459"/>
      <c r="S5" s="459"/>
      <c r="T5" s="459"/>
      <c r="U5" s="459"/>
      <c r="V5" s="459"/>
      <c r="W5" s="459"/>
      <c r="X5" s="459"/>
      <c r="Y5" s="459"/>
      <c r="Z5" s="459"/>
      <c r="AA5" s="459"/>
      <c r="AB5" s="459"/>
      <c r="AC5" s="459"/>
      <c r="AD5" s="459"/>
      <c r="AE5" s="459"/>
      <c r="AF5" s="459"/>
      <c r="AG5" s="459"/>
      <c r="AH5" s="459"/>
      <c r="AI5" s="459"/>
      <c r="AJ5" s="460"/>
      <c r="AK5" s="64"/>
      <c r="AL5" s="64"/>
      <c r="AM5" s="64"/>
      <c r="AN5" s="64"/>
      <c r="AO5" s="64"/>
    </row>
    <row r="6" spans="1:42" ht="21">
      <c r="A6" s="90">
        <f ca="1">COUNT(INDEX($C:$AH,ROW(),1):INDEX($C:$AH,ROW(),$AI$3+1))</f>
        <v>1</v>
      </c>
      <c r="B6" s="106" t="str">
        <f>INDEX(Cadastro_Mantimentos[[#All],[Colunas4]],MATCH(ROW()-5,Cadastro_Mantimentos[[#All],[Colunas2]],0))</f>
        <v>Abacaxi Em Calda</v>
      </c>
      <c r="C6" s="193"/>
      <c r="D6" s="193"/>
      <c r="E6" s="193"/>
      <c r="F6" s="193"/>
      <c r="G6" s="193"/>
      <c r="H6" s="193"/>
      <c r="I6" s="193"/>
      <c r="J6" s="193"/>
      <c r="K6" s="193"/>
      <c r="L6" s="193">
        <v>6</v>
      </c>
      <c r="M6" s="193"/>
      <c r="N6" s="193"/>
      <c r="O6" s="193"/>
      <c r="P6" s="193"/>
      <c r="Q6" s="193"/>
      <c r="R6" s="193"/>
      <c r="S6" s="193"/>
      <c r="T6" s="193"/>
      <c r="U6" s="193"/>
      <c r="V6" s="193"/>
      <c r="W6" s="193"/>
      <c r="X6" s="193"/>
      <c r="Y6" s="193"/>
      <c r="Z6" s="193"/>
      <c r="AA6" s="193"/>
      <c r="AB6" s="193"/>
      <c r="AC6" s="193"/>
      <c r="AD6" s="193"/>
      <c r="AE6" s="193"/>
      <c r="AF6" s="193"/>
      <c r="AG6" s="193"/>
      <c r="AH6" s="193"/>
      <c r="AI6" s="114">
        <f ca="1">IF(Configurações!$G$10="Ligado",SUMIFS(C6:AH6,$C$4:$AH$4,"&lt;="&amp;Configurações!$C$5,$C$4:$AH$4,"&lt;="&amp;$AI$3),"")</f>
        <v>6</v>
      </c>
      <c r="AJ6" s="119">
        <f ca="1">IF(Configurações!$G$20="Ligado",IF(AI6&lt;=0,"Vazio",IF(Configurações!$G$18="Semana",IF(Configurações!$G$19="Contar",ENTRADAS!AI6/Configurações!$C$18,AI6/SUM(AK6:AN6)),AI6/A6)),"")</f>
        <v>6</v>
      </c>
      <c r="AK6" s="70">
        <f>IF(SUM(C6:J6)&gt;0,1,0)</f>
        <v>0</v>
      </c>
      <c r="AL6" s="70">
        <f>IF(SUM(K6:Q6)&gt;0,1,0)</f>
        <v>1</v>
      </c>
      <c r="AM6" s="70">
        <f>IF(SUM(R6:X6)&gt;0,1,0)</f>
        <v>0</v>
      </c>
      <c r="AN6" s="70">
        <f ca="1">IF(SUMIF($Y$4:$AH$4,"&lt;=" &amp; $AJ$3,ENTRADAS!Y6:AH6)&gt;0,1,0)</f>
        <v>0</v>
      </c>
      <c r="AO6" s="64"/>
      <c r="AP6" s="69"/>
    </row>
    <row r="7" spans="1:42" ht="21">
      <c r="A7" s="68">
        <f ca="1">COUNT(INDEX($C:$AH,ROW(),1):INDEX($C:$AH,ROW(),$AI$3+1))</f>
        <v>0</v>
      </c>
      <c r="B7" s="106" t="str">
        <f>INDEX(Cadastro_Mantimentos[[#All],[Colunas4]],MATCH(ROW()-5,Cadastro_Mantimentos[[#All],[Colunas2]],0))</f>
        <v>Açafrão</v>
      </c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14">
        <f ca="1">IF(Configurações!$G$10="Ligado",SUMIFS(C7:AH7,$C$4:$AH$4,"&lt;="&amp;Configurações!$C$5,$C$4:$AH$4,"&lt;="&amp;$AI$3),"")</f>
        <v>0</v>
      </c>
      <c r="AJ7" s="119" t="str">
        <f ca="1">IF(Configurações!$G$20="Ligado",IF(AI7&lt;=0,"Vazio",IF(Configurações!$G$18="Semana",IF(Configurações!$G$19="Contar",ENTRADAS!AI7/Configurações!$C$18,AI7/SUM(AK7:AN7)),AI7/A7)),"")</f>
        <v>Vazio</v>
      </c>
      <c r="AK7" s="70">
        <f t="shared" ref="AK7:AK70" si="0">IF(SUM(C7:J7)&gt;0,1,0)</f>
        <v>0</v>
      </c>
      <c r="AL7" s="70">
        <f t="shared" ref="AL7:AL70" si="1">IF(SUM(K7:Q7)&gt;0,1,0)</f>
        <v>0</v>
      </c>
      <c r="AM7" s="70">
        <f t="shared" ref="AM7:AM70" si="2">IF(SUM(R7:X7)&gt;0,1,0)</f>
        <v>0</v>
      </c>
      <c r="AN7" s="70">
        <f ca="1">IF(SUMIF($Y$4:$AH$4,"&lt;=" &amp; $AJ$3,ENTRADAS!Y7:AH7)&gt;0,1,0)</f>
        <v>0</v>
      </c>
      <c r="AO7" s="64"/>
    </row>
    <row r="8" spans="1:42" ht="21">
      <c r="A8" s="68">
        <f ca="1">COUNT(INDEX($C:$AH,ROW(),1):INDEX($C:$AH,ROW(),$AI$3+1))</f>
        <v>2</v>
      </c>
      <c r="B8" s="106" t="str">
        <f>INDEX(Cadastro_Mantimentos[[#All],[Colunas4]],MATCH(ROW()-5,Cadastro_Mantimentos[[#All],[Colunas2]],0))</f>
        <v>Achocolatado</v>
      </c>
      <c r="C8" s="193"/>
      <c r="D8" s="193"/>
      <c r="E8" s="193"/>
      <c r="F8" s="193"/>
      <c r="G8" s="193"/>
      <c r="H8" s="193"/>
      <c r="I8" s="193"/>
      <c r="J8" s="193"/>
      <c r="K8" s="193"/>
      <c r="L8" s="193">
        <v>3</v>
      </c>
      <c r="M8" s="193"/>
      <c r="N8" s="193"/>
      <c r="O8" s="193"/>
      <c r="P8" s="193"/>
      <c r="Q8" s="193"/>
      <c r="R8" s="193"/>
      <c r="S8" s="193">
        <f>33*0.2</f>
        <v>6.6000000000000005</v>
      </c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14">
        <f ca="1">IF(Configurações!$G$10="Ligado",SUMIFS(C8:AH8,$C$4:$AH$4,"&lt;="&amp;Configurações!$C$5,$C$4:$AH$4,"&lt;="&amp;$AI$3),"")</f>
        <v>9.6000000000000014</v>
      </c>
      <c r="AJ8" s="119">
        <f ca="1">IF(Configurações!$G$20="Ligado",IF(AI8&lt;=0,"Vazio",IF(Configurações!$G$18="Semana",IF(Configurações!$G$19="Contar",ENTRADAS!AI8/Configurações!$C$18,AI8/SUM(AK8:AN8)),AI8/A8)),"")</f>
        <v>4.8000000000000007</v>
      </c>
      <c r="AK8" s="70">
        <f t="shared" si="0"/>
        <v>0</v>
      </c>
      <c r="AL8" s="70">
        <f t="shared" si="1"/>
        <v>1</v>
      </c>
      <c r="AM8" s="70">
        <f t="shared" si="2"/>
        <v>1</v>
      </c>
      <c r="AN8" s="70">
        <f ca="1">IF(SUMIF($Y$4:$AH$4,"&lt;=" &amp; $AJ$3,ENTRADAS!Y8:AH8)&gt;0,1,0)</f>
        <v>0</v>
      </c>
      <c r="AO8" s="64"/>
    </row>
    <row r="9" spans="1:42" ht="21">
      <c r="A9" s="68">
        <f ca="1">COUNT(INDEX($C:$AH,ROW(),1):INDEX($C:$AH,ROW(),$AI$3+1))</f>
        <v>1</v>
      </c>
      <c r="B9" s="106" t="str">
        <f>INDEX(Cadastro_Mantimentos[[#All],[Colunas4]],MATCH(ROW()-5,Cadastro_Mantimentos[[#All],[Colunas2]],0))</f>
        <v>Açúcar</v>
      </c>
      <c r="C9" s="193"/>
      <c r="D9" s="193"/>
      <c r="E9" s="193"/>
      <c r="F9" s="193"/>
      <c r="G9" s="193"/>
      <c r="H9" s="193"/>
      <c r="I9" s="193"/>
      <c r="J9" s="193"/>
      <c r="K9" s="193"/>
      <c r="L9" s="193">
        <v>20</v>
      </c>
      <c r="M9" s="193"/>
      <c r="N9" s="193"/>
      <c r="O9" s="193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3"/>
      <c r="AI9" s="114">
        <f ca="1">IF(Configurações!$G$10="Ligado",SUMIFS(C9:AH9,$C$4:$AH$4,"&lt;="&amp;Configurações!$C$5,$C$4:$AH$4,"&lt;="&amp;$AI$3),"")</f>
        <v>20</v>
      </c>
      <c r="AJ9" s="119">
        <f ca="1">IF(Configurações!$G$20="Ligado",IF(AI9&lt;=0,"Vazio",IF(Configurações!$G$18="Semana",IF(Configurações!$G$19="Contar",ENTRADAS!AI9/Configurações!$C$18,AI9/SUM(AK9:AN9)),AI9/A9)),"")</f>
        <v>20</v>
      </c>
      <c r="AK9" s="70">
        <f t="shared" si="0"/>
        <v>0</v>
      </c>
      <c r="AL9" s="70">
        <f t="shared" si="1"/>
        <v>1</v>
      </c>
      <c r="AM9" s="70">
        <f t="shared" si="2"/>
        <v>0</v>
      </c>
      <c r="AN9" s="70">
        <f ca="1">IF(SUMIF($Y$4:$AH$4,"&lt;=" &amp; $AJ$3,ENTRADAS!Y9:AH9)&gt;0,1,0)</f>
        <v>0</v>
      </c>
      <c r="AO9" s="64"/>
    </row>
    <row r="10" spans="1:42" ht="21">
      <c r="A10" s="68">
        <f ca="1">COUNT(INDEX($C:$AH,ROW(),1):INDEX($C:$AH,ROW(),$AI$3+1))</f>
        <v>0</v>
      </c>
      <c r="B10" s="106" t="str">
        <f>INDEX(Cadastro_Mantimentos[[#All],[Colunas4]],MATCH(ROW()-5,Cadastro_Mantimentos[[#All],[Colunas2]],0))</f>
        <v>Acucar Sache</v>
      </c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14">
        <f ca="1">IF(Configurações!$G$10="Ligado",SUMIFS(C10:AH10,$C$4:$AH$4,"&lt;="&amp;Configurações!$C$5,$C$4:$AH$4,"&lt;="&amp;$AI$3),"")</f>
        <v>0</v>
      </c>
      <c r="AJ10" s="119" t="str">
        <f ca="1">IF(Configurações!$G$20="Ligado",IF(AI10&lt;=0,"Vazio",IF(Configurações!$G$18="Semana",IF(Configurações!$G$19="Contar",ENTRADAS!AI10/Configurações!$C$18,AI10/SUM(AK10:AN10)),AI10/A10)),"")</f>
        <v>Vazio</v>
      </c>
      <c r="AK10" s="70">
        <f t="shared" si="0"/>
        <v>0</v>
      </c>
      <c r="AL10" s="70">
        <f t="shared" si="1"/>
        <v>0</v>
      </c>
      <c r="AM10" s="70">
        <f t="shared" si="2"/>
        <v>0</v>
      </c>
      <c r="AN10" s="70">
        <f ca="1">IF(SUMIF($Y$4:$AH$4,"&lt;=" &amp; $AJ$3,ENTRADAS!Y10:AH10)&gt;0,1,0)</f>
        <v>0</v>
      </c>
      <c r="AO10" s="64"/>
    </row>
    <row r="11" spans="1:42" ht="21">
      <c r="A11" s="68">
        <f ca="1">COUNT(INDEX($C:$AH,ROW(),1):INDEX($C:$AH,ROW(),$AI$3+1))</f>
        <v>0</v>
      </c>
      <c r="B11" s="106" t="str">
        <f>INDEX(Cadastro_Mantimentos[[#All],[Colunas4]],MATCH(ROW()-5,Cadastro_Mantimentos[[#All],[Colunas2]],0))</f>
        <v>Adoçante</v>
      </c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14">
        <f ca="1">IF(Configurações!$G$10="Ligado",SUMIFS(C11:AH11,$C$4:$AH$4,"&lt;="&amp;Configurações!$C$5,$C$4:$AH$4,"&lt;="&amp;$AI$3),"")</f>
        <v>0</v>
      </c>
      <c r="AJ11" s="119" t="str">
        <f ca="1">IF(Configurações!$G$20="Ligado",IF(AI11&lt;=0,"Vazio",IF(Configurações!$G$18="Semana",IF(Configurações!$G$19="Contar",ENTRADAS!AI11/Configurações!$C$18,AI11/SUM(AK11:AN11)),AI11/A11)),"")</f>
        <v>Vazio</v>
      </c>
      <c r="AK11" s="70">
        <f t="shared" si="0"/>
        <v>0</v>
      </c>
      <c r="AL11" s="70">
        <f t="shared" si="1"/>
        <v>0</v>
      </c>
      <c r="AM11" s="70">
        <f t="shared" si="2"/>
        <v>0</v>
      </c>
      <c r="AN11" s="70">
        <f ca="1">IF(SUMIF($Y$4:$AH$4,"&lt;=" &amp; $AJ$3,ENTRADAS!Y11:AH11)&gt;0,1,0)</f>
        <v>0</v>
      </c>
      <c r="AO11" s="64"/>
    </row>
    <row r="12" spans="1:42" ht="21">
      <c r="A12" s="68">
        <f ca="1">COUNT(INDEX($C:$AH,ROW(),1):INDEX($C:$AH,ROW(),$AI$3+1))</f>
        <v>1</v>
      </c>
      <c r="B12" s="106" t="str">
        <f>INDEX(Cadastro_Mantimentos[[#All],[Colunas4]],MATCH(ROW()-5,Cadastro_Mantimentos[[#All],[Colunas2]],0))</f>
        <v>Alho</v>
      </c>
      <c r="C12" s="193"/>
      <c r="D12" s="193"/>
      <c r="E12" s="193"/>
      <c r="F12" s="193"/>
      <c r="G12" s="193"/>
      <c r="H12" s="193"/>
      <c r="I12" s="193"/>
      <c r="J12" s="193"/>
      <c r="K12" s="193"/>
      <c r="L12" s="193">
        <v>10</v>
      </c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14">
        <f ca="1">IF(Configurações!$G$10="Ligado",SUMIFS(C12:AH12,$C$4:$AH$4,"&lt;="&amp;Configurações!$C$5,$C$4:$AH$4,"&lt;="&amp;$AI$3),"")</f>
        <v>10</v>
      </c>
      <c r="AJ12" s="119">
        <f ca="1">IF(Configurações!$G$20="Ligado",IF(AI12&lt;=0,"Vazio",IF(Configurações!$G$18="Semana",IF(Configurações!$G$19="Contar",ENTRADAS!AI12/Configurações!$C$18,AI12/SUM(AK12:AN12)),AI12/A12)),"")</f>
        <v>10</v>
      </c>
      <c r="AK12" s="70">
        <f t="shared" si="0"/>
        <v>0</v>
      </c>
      <c r="AL12" s="70">
        <f t="shared" si="1"/>
        <v>1</v>
      </c>
      <c r="AM12" s="70">
        <f t="shared" si="2"/>
        <v>0</v>
      </c>
      <c r="AN12" s="70">
        <f ca="1">IF(SUMIF($Y$4:$AH$4,"&lt;=" &amp; $AJ$3,ENTRADAS!Y12:AH12)&gt;0,1,0)</f>
        <v>0</v>
      </c>
      <c r="AO12" s="64"/>
    </row>
    <row r="13" spans="1:42" ht="21">
      <c r="A13" s="68">
        <f ca="1">COUNT(INDEX($C:$AH,ROW(),1):INDEX($C:$AH,ROW(),$AI$3+1))</f>
        <v>0</v>
      </c>
      <c r="B13" s="106" t="str">
        <f>INDEX(Cadastro_Mantimentos[[#All],[Colunas4]],MATCH(ROW()-5,Cadastro_Mantimentos[[#All],[Colunas2]],0))</f>
        <v>Amaciante</v>
      </c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14">
        <f ca="1">IF(Configurações!$G$10="Ligado",SUMIFS(C13:AH13,$C$4:$AH$4,"&lt;="&amp;Configurações!$C$5,$C$4:$AH$4,"&lt;="&amp;$AI$3),"")</f>
        <v>0</v>
      </c>
      <c r="AJ13" s="119" t="str">
        <f ca="1">IF(Configurações!$G$20="Ligado",IF(AI13&lt;=0,"Vazio",IF(Configurações!$G$18="Semana",IF(Configurações!$G$19="Contar",ENTRADAS!AI13/Configurações!$C$18,AI13/SUM(AK13:AN13)),AI13/A13)),"")</f>
        <v>Vazio</v>
      </c>
      <c r="AK13" s="70">
        <f t="shared" si="0"/>
        <v>0</v>
      </c>
      <c r="AL13" s="70">
        <f t="shared" si="1"/>
        <v>0</v>
      </c>
      <c r="AM13" s="70">
        <f t="shared" si="2"/>
        <v>0</v>
      </c>
      <c r="AN13" s="70">
        <f ca="1">IF(SUMIF($Y$4:$AH$4,"&lt;=" &amp; $AJ$3,ENTRADAS!Y13:AH13)&gt;0,1,0)</f>
        <v>0</v>
      </c>
      <c r="AO13" s="64"/>
    </row>
    <row r="14" spans="1:42" ht="21">
      <c r="A14" s="68">
        <f ca="1">COUNT(INDEX($C:$AH,ROW(),1):INDEX($C:$AH,ROW(),$AI$3+1))</f>
        <v>2</v>
      </c>
      <c r="B14" s="106" t="str">
        <f>INDEX(Cadastro_Mantimentos[[#All],[Colunas4]],MATCH(ROW()-5,Cadastro_Mantimentos[[#All],[Colunas2]],0))</f>
        <v>Ameixa</v>
      </c>
      <c r="C14" s="193"/>
      <c r="D14" s="193"/>
      <c r="E14" s="193"/>
      <c r="F14" s="193"/>
      <c r="G14" s="193"/>
      <c r="H14" s="193"/>
      <c r="I14" s="193"/>
      <c r="J14" s="193"/>
      <c r="K14" s="193"/>
      <c r="L14" s="193">
        <v>1</v>
      </c>
      <c r="M14" s="193"/>
      <c r="N14" s="193"/>
      <c r="O14" s="193"/>
      <c r="P14" s="193"/>
      <c r="Q14" s="193"/>
      <c r="R14" s="193"/>
      <c r="S14" s="193">
        <f>33*0.1</f>
        <v>3.3000000000000003</v>
      </c>
      <c r="T14" s="193"/>
      <c r="U14" s="193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  <c r="AF14" s="193"/>
      <c r="AG14" s="193"/>
      <c r="AH14" s="193"/>
      <c r="AI14" s="114">
        <f ca="1">IF(Configurações!$G$10="Ligado",SUMIFS(C14:AH14,$C$4:$AH$4,"&lt;="&amp;Configurações!$C$5,$C$4:$AH$4,"&lt;="&amp;$AI$3),"")</f>
        <v>4.3000000000000007</v>
      </c>
      <c r="AJ14" s="119">
        <f ca="1">IF(Configurações!$G$20="Ligado",IF(AI14&lt;=0,"Vazio",IF(Configurações!$G$18="Semana",IF(Configurações!$G$19="Contar",ENTRADAS!AI14/Configurações!$C$18,AI14/SUM(AK14:AN14)),AI14/A14)),"")</f>
        <v>2.1500000000000004</v>
      </c>
      <c r="AK14" s="70">
        <f t="shared" si="0"/>
        <v>0</v>
      </c>
      <c r="AL14" s="70">
        <f t="shared" si="1"/>
        <v>1</v>
      </c>
      <c r="AM14" s="70">
        <f t="shared" si="2"/>
        <v>1</v>
      </c>
      <c r="AN14" s="70">
        <f ca="1">IF(SUMIF($Y$4:$AH$4,"&lt;=" &amp; $AJ$3,ENTRADAS!Y14:AH14)&gt;0,1,0)</f>
        <v>0</v>
      </c>
      <c r="AO14" s="64"/>
    </row>
    <row r="15" spans="1:42" ht="21">
      <c r="A15" s="68">
        <f ca="1">COUNT(INDEX($C:$AH,ROW(),1):INDEX($C:$AH,ROW(),$AI$3+1))</f>
        <v>0</v>
      </c>
      <c r="B15" s="106" t="str">
        <f>INDEX(Cadastro_Mantimentos[[#All],[Colunas4]],MATCH(ROW()-5,Cadastro_Mantimentos[[#All],[Colunas2]],0))</f>
        <v>Amendoa sem casca</v>
      </c>
      <c r="C15" s="193"/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  <c r="O15" s="193"/>
      <c r="P15" s="193"/>
      <c r="Q15" s="193"/>
      <c r="R15" s="193"/>
      <c r="S15" s="193"/>
      <c r="T15" s="193"/>
      <c r="U15" s="193"/>
      <c r="V15" s="193"/>
      <c r="W15" s="193"/>
      <c r="X15" s="193"/>
      <c r="Y15" s="193"/>
      <c r="Z15" s="193"/>
      <c r="AA15" s="193"/>
      <c r="AB15" s="193"/>
      <c r="AC15" s="193"/>
      <c r="AD15" s="193"/>
      <c r="AE15" s="193"/>
      <c r="AF15" s="193"/>
      <c r="AG15" s="193"/>
      <c r="AH15" s="193"/>
      <c r="AI15" s="114">
        <f ca="1">IF(Configurações!$G$10="Ligado",SUMIFS(C15:AH15,$C$4:$AH$4,"&lt;="&amp;Configurações!$C$5,$C$4:$AH$4,"&lt;="&amp;$AI$3),"")</f>
        <v>0</v>
      </c>
      <c r="AJ15" s="119" t="str">
        <f ca="1">IF(Configurações!$G$20="Ligado",IF(AI15&lt;=0,"Vazio",IF(Configurações!$G$18="Semana",IF(Configurações!$G$19="Contar",ENTRADAS!AI15/Configurações!$C$18,AI15/SUM(AK15:AN15)),AI15/A15)),"")</f>
        <v>Vazio</v>
      </c>
      <c r="AK15" s="70">
        <f t="shared" si="0"/>
        <v>0</v>
      </c>
      <c r="AL15" s="70">
        <f t="shared" si="1"/>
        <v>0</v>
      </c>
      <c r="AM15" s="70">
        <f t="shared" si="2"/>
        <v>0</v>
      </c>
      <c r="AN15" s="70">
        <f ca="1">IF(SUMIF($Y$4:$AH$4,"&lt;=" &amp; $AJ$3,ENTRADAS!Y15:AH15)&gt;0,1,0)</f>
        <v>0</v>
      </c>
      <c r="AO15" s="64"/>
    </row>
    <row r="16" spans="1:42" ht="21">
      <c r="A16" s="68">
        <f ca="1">COUNT(INDEX($C:$AH,ROW(),1):INDEX($C:$AH,ROW(),$AI$3+1))</f>
        <v>0</v>
      </c>
      <c r="B16" s="106" t="str">
        <f>INDEX(Cadastro_Mantimentos[[#All],[Colunas4]],MATCH(ROW()-5,Cadastro_Mantimentos[[#All],[Colunas2]],0))</f>
        <v>Amendoin</v>
      </c>
      <c r="C16" s="193"/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3"/>
      <c r="S16" s="193"/>
      <c r="T16" s="193"/>
      <c r="U16" s="193"/>
      <c r="V16" s="193"/>
      <c r="W16" s="193"/>
      <c r="X16" s="193"/>
      <c r="Y16" s="193"/>
      <c r="Z16" s="193"/>
      <c r="AA16" s="193"/>
      <c r="AB16" s="193"/>
      <c r="AC16" s="193"/>
      <c r="AD16" s="193"/>
      <c r="AE16" s="193"/>
      <c r="AF16" s="193"/>
      <c r="AG16" s="193"/>
      <c r="AH16" s="193"/>
      <c r="AI16" s="114">
        <f ca="1">IF(Configurações!$G$10="Ligado",SUMIFS(C16:AH16,$C$4:$AH$4,"&lt;="&amp;Configurações!$C$5,$C$4:$AH$4,"&lt;="&amp;$AI$3),"")</f>
        <v>0</v>
      </c>
      <c r="AJ16" s="119" t="str">
        <f ca="1">IF(Configurações!$G$20="Ligado",IF(AI16&lt;=0,"Vazio",IF(Configurações!$G$18="Semana",IF(Configurações!$G$19="Contar",ENTRADAS!AI16/Configurações!$C$18,AI16/SUM(AK16:AN16)),AI16/A16)),"")</f>
        <v>Vazio</v>
      </c>
      <c r="AK16" s="70">
        <f t="shared" si="0"/>
        <v>0</v>
      </c>
      <c r="AL16" s="70">
        <f t="shared" si="1"/>
        <v>0</v>
      </c>
      <c r="AM16" s="70">
        <f t="shared" si="2"/>
        <v>0</v>
      </c>
      <c r="AN16" s="70">
        <f ca="1">IF(SUMIF($Y$4:$AH$4,"&lt;=" &amp; $AJ$3,ENTRADAS!Y16:AH16)&gt;0,1,0)</f>
        <v>0</v>
      </c>
      <c r="AO16" s="64"/>
    </row>
    <row r="17" spans="1:41" ht="21">
      <c r="A17" s="68">
        <f ca="1">COUNT(INDEX($C:$AH,ROW(),1):INDEX($C:$AH,ROW(),$AI$3+1))</f>
        <v>0</v>
      </c>
      <c r="B17" s="106" t="str">
        <f>INDEX(Cadastro_Mantimentos[[#All],[Colunas4]],MATCH(ROW()-5,Cadastro_Mantimentos[[#All],[Colunas2]],0))</f>
        <v>Amido De Milho</v>
      </c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93"/>
      <c r="T17" s="193"/>
      <c r="U17" s="193"/>
      <c r="V17" s="193"/>
      <c r="W17" s="193"/>
      <c r="X17" s="193"/>
      <c r="Y17" s="193"/>
      <c r="Z17" s="193"/>
      <c r="AA17" s="193"/>
      <c r="AB17" s="193"/>
      <c r="AC17" s="193"/>
      <c r="AD17" s="193"/>
      <c r="AE17" s="193"/>
      <c r="AF17" s="193"/>
      <c r="AG17" s="193"/>
      <c r="AH17" s="193"/>
      <c r="AI17" s="114">
        <f ca="1">IF(Configurações!$G$10="Ligado",SUMIFS(C17:AH17,$C$4:$AH$4,"&lt;="&amp;Configurações!$C$5,$C$4:$AH$4,"&lt;="&amp;$AI$3),"")</f>
        <v>0</v>
      </c>
      <c r="AJ17" s="119" t="str">
        <f ca="1">IF(Configurações!$G$20="Ligado",IF(AI17&lt;=0,"Vazio",IF(Configurações!$G$18="Semana",IF(Configurações!$G$19="Contar",ENTRADAS!AI17/Configurações!$C$18,AI17/SUM(AK17:AN17)),AI17/A17)),"")</f>
        <v>Vazio</v>
      </c>
      <c r="AK17" s="70">
        <f t="shared" si="0"/>
        <v>0</v>
      </c>
      <c r="AL17" s="70">
        <f t="shared" si="1"/>
        <v>0</v>
      </c>
      <c r="AM17" s="70">
        <f t="shared" si="2"/>
        <v>0</v>
      </c>
      <c r="AN17" s="70">
        <f ca="1">IF(SUMIF($Y$4:$AH$4,"&lt;=" &amp; $AJ$3,ENTRADAS!Y17:AH17)&gt;0,1,0)</f>
        <v>0</v>
      </c>
      <c r="AO17" s="64"/>
    </row>
    <row r="18" spans="1:41" ht="21">
      <c r="A18" s="68">
        <f ca="1">COUNT(INDEX($C:$AH,ROW(),1):INDEX($C:$AH,ROW(),$AI$3+1))</f>
        <v>1</v>
      </c>
      <c r="B18" s="106" t="str">
        <f>INDEX(Cadastro_Mantimentos[[#All],[Colunas4]],MATCH(ROW()-5,Cadastro_Mantimentos[[#All],[Colunas2]],0))</f>
        <v>Arroz</v>
      </c>
      <c r="C18" s="193"/>
      <c r="D18" s="193"/>
      <c r="E18" s="193"/>
      <c r="F18" s="193"/>
      <c r="G18" s="193"/>
      <c r="H18" s="193"/>
      <c r="I18" s="193"/>
      <c r="J18" s="193"/>
      <c r="K18" s="193"/>
      <c r="L18" s="193">
        <f>12*5</f>
        <v>60</v>
      </c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  <c r="AA18" s="193"/>
      <c r="AB18" s="193"/>
      <c r="AC18" s="193"/>
      <c r="AD18" s="193"/>
      <c r="AE18" s="193"/>
      <c r="AF18" s="193"/>
      <c r="AG18" s="193"/>
      <c r="AH18" s="193"/>
      <c r="AI18" s="114">
        <f ca="1">IF(Configurações!$G$10="Ligado",SUMIFS(C18:AH18,$C$4:$AH$4,"&lt;="&amp;Configurações!$C$5,$C$4:$AH$4,"&lt;="&amp;$AI$3),"")</f>
        <v>60</v>
      </c>
      <c r="AJ18" s="119">
        <f ca="1">IF(Configurações!$G$20="Ligado",IF(AI18&lt;=0,"Vazio",IF(Configurações!$G$18="Semana",IF(Configurações!$G$19="Contar",ENTRADAS!AI18/Configurações!$C$18,AI18/SUM(AK18:AN18)),AI18/A18)),"")</f>
        <v>60</v>
      </c>
      <c r="AK18" s="70">
        <f t="shared" si="0"/>
        <v>0</v>
      </c>
      <c r="AL18" s="70">
        <f t="shared" si="1"/>
        <v>1</v>
      </c>
      <c r="AM18" s="70">
        <f t="shared" si="2"/>
        <v>0</v>
      </c>
      <c r="AN18" s="70">
        <f ca="1">IF(SUMIF($Y$4:$AH$4,"&lt;=" &amp; $AJ$3,ENTRADAS!Y18:AH18)&gt;0,1,0)</f>
        <v>0</v>
      </c>
      <c r="AO18" s="64"/>
    </row>
    <row r="19" spans="1:41" ht="21">
      <c r="A19" s="68">
        <f ca="1">COUNT(INDEX($C:$AH,ROW(),1):INDEX($C:$AH,ROW(),$AI$3+1))</f>
        <v>2</v>
      </c>
      <c r="B19" s="106" t="str">
        <f>INDEX(Cadastro_Mantimentos[[#All],[Colunas4]],MATCH(ROW()-5,Cadastro_Mantimentos[[#All],[Colunas2]],0))</f>
        <v>Atum</v>
      </c>
      <c r="C19" s="193"/>
      <c r="D19" s="193"/>
      <c r="E19" s="193"/>
      <c r="F19" s="193"/>
      <c r="G19" s="193"/>
      <c r="H19" s="193"/>
      <c r="I19" s="193"/>
      <c r="J19" s="193"/>
      <c r="K19" s="193"/>
      <c r="L19" s="193">
        <v>1</v>
      </c>
      <c r="M19" s="193"/>
      <c r="N19" s="193"/>
      <c r="O19" s="193"/>
      <c r="P19" s="193"/>
      <c r="Q19" s="193"/>
      <c r="R19" s="193"/>
      <c r="S19" s="193"/>
      <c r="T19" s="193"/>
      <c r="U19" s="193">
        <v>1</v>
      </c>
      <c r="V19" s="193"/>
      <c r="W19" s="193"/>
      <c r="X19" s="193"/>
      <c r="Y19" s="193"/>
      <c r="Z19" s="193"/>
      <c r="AA19" s="193"/>
      <c r="AB19" s="193"/>
      <c r="AC19" s="193"/>
      <c r="AD19" s="193"/>
      <c r="AE19" s="193"/>
      <c r="AF19" s="193"/>
      <c r="AG19" s="193"/>
      <c r="AH19" s="193"/>
      <c r="AI19" s="114">
        <f ca="1">IF(Configurações!$G$10="Ligado",SUMIFS(C19:AH19,$C$4:$AH$4,"&lt;="&amp;Configurações!$C$5,$C$4:$AH$4,"&lt;="&amp;$AI$3),"")</f>
        <v>2</v>
      </c>
      <c r="AJ19" s="119">
        <f ca="1">IF(Configurações!$G$20="Ligado",IF(AI19&lt;=0,"Vazio",IF(Configurações!$G$18="Semana",IF(Configurações!$G$19="Contar",ENTRADAS!AI19/Configurações!$C$18,AI19/SUM(AK19:AN19)),AI19/A19)),"")</f>
        <v>1</v>
      </c>
      <c r="AK19" s="70">
        <f t="shared" si="0"/>
        <v>0</v>
      </c>
      <c r="AL19" s="70">
        <f t="shared" si="1"/>
        <v>1</v>
      </c>
      <c r="AM19" s="70">
        <f t="shared" si="2"/>
        <v>1</v>
      </c>
      <c r="AN19" s="70">
        <f ca="1">IF(SUMIF($Y$4:$AH$4,"&lt;=" &amp; $AJ$3,ENTRADAS!Y19:AH19)&gt;0,1,0)</f>
        <v>0</v>
      </c>
      <c r="AO19" s="64"/>
    </row>
    <row r="20" spans="1:41" ht="21">
      <c r="A20" s="68">
        <f ca="1">COUNT(INDEX($C:$AH,ROW(),1):INDEX($C:$AH,ROW(),$AI$3+1))</f>
        <v>0</v>
      </c>
      <c r="B20" s="106" t="str">
        <f>INDEX(Cadastro_Mantimentos[[#All],[Colunas4]],MATCH(ROW()-5,Cadastro_Mantimentos[[#All],[Colunas2]],0))</f>
        <v>Azeite</v>
      </c>
      <c r="C20" s="193"/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  <c r="O20" s="193"/>
      <c r="P20" s="193"/>
      <c r="Q20" s="193"/>
      <c r="R20" s="193"/>
      <c r="S20" s="193"/>
      <c r="T20" s="193"/>
      <c r="U20" s="193"/>
      <c r="V20" s="193"/>
      <c r="W20" s="193"/>
      <c r="X20" s="193"/>
      <c r="Y20" s="193"/>
      <c r="Z20" s="193"/>
      <c r="AA20" s="193"/>
      <c r="AB20" s="193"/>
      <c r="AC20" s="193"/>
      <c r="AD20" s="193"/>
      <c r="AE20" s="193"/>
      <c r="AF20" s="193"/>
      <c r="AG20" s="193"/>
      <c r="AH20" s="193"/>
      <c r="AI20" s="114">
        <f ca="1">IF(Configurações!$G$10="Ligado",SUMIFS(C20:AH20,$C$4:$AH$4,"&lt;="&amp;Configurações!$C$5,$C$4:$AH$4,"&lt;="&amp;$AI$3),"")</f>
        <v>0</v>
      </c>
      <c r="AJ20" s="119" t="str">
        <f ca="1">IF(Configurações!$G$20="Ligado",IF(AI20&lt;=0,"Vazio",IF(Configurações!$G$18="Semana",IF(Configurações!$G$19="Contar",ENTRADAS!AI20/Configurações!$C$18,AI20/SUM(AK20:AN20)),AI20/A20)),"")</f>
        <v>Vazio</v>
      </c>
      <c r="AK20" s="70">
        <f t="shared" si="0"/>
        <v>0</v>
      </c>
      <c r="AL20" s="70">
        <f t="shared" si="1"/>
        <v>0</v>
      </c>
      <c r="AM20" s="70">
        <f t="shared" si="2"/>
        <v>0</v>
      </c>
      <c r="AN20" s="70">
        <f ca="1">IF(SUMIF($Y$4:$AH$4,"&lt;=" &amp; $AJ$3,ENTRADAS!Y20:AH20)&gt;0,1,0)</f>
        <v>0</v>
      </c>
      <c r="AO20" s="64"/>
    </row>
    <row r="21" spans="1:41" ht="21">
      <c r="A21" s="68">
        <f ca="1">COUNT(INDEX($C:$AH,ROW(),1):INDEX($C:$AH,ROW(),$AI$3+1))</f>
        <v>1</v>
      </c>
      <c r="B21" s="106" t="str">
        <f>INDEX(Cadastro_Mantimentos[[#All],[Colunas4]],MATCH(ROW()-5,Cadastro_Mantimentos[[#All],[Colunas2]],0))</f>
        <v>Azeitona Verde Fatiada</v>
      </c>
      <c r="C21" s="193"/>
      <c r="D21" s="193"/>
      <c r="E21" s="193"/>
      <c r="F21" s="193"/>
      <c r="G21" s="193"/>
      <c r="H21" s="193"/>
      <c r="I21" s="193"/>
      <c r="J21" s="193"/>
      <c r="K21" s="193"/>
      <c r="L21" s="193">
        <v>8</v>
      </c>
      <c r="M21" s="193"/>
      <c r="N21" s="193"/>
      <c r="O21" s="193"/>
      <c r="P21" s="193"/>
      <c r="Q21" s="193"/>
      <c r="R21" s="193"/>
      <c r="S21" s="193"/>
      <c r="T21" s="193"/>
      <c r="U21" s="193"/>
      <c r="V21" s="193"/>
      <c r="W21" s="193"/>
      <c r="X21" s="193"/>
      <c r="Y21" s="193"/>
      <c r="Z21" s="193"/>
      <c r="AA21" s="193"/>
      <c r="AB21" s="193"/>
      <c r="AC21" s="193"/>
      <c r="AD21" s="193"/>
      <c r="AE21" s="193"/>
      <c r="AF21" s="193"/>
      <c r="AG21" s="193"/>
      <c r="AH21" s="193"/>
      <c r="AI21" s="114">
        <f ca="1">IF(Configurações!$G$10="Ligado",SUMIFS(C21:AH21,$C$4:$AH$4,"&lt;="&amp;Configurações!$C$5,$C$4:$AH$4,"&lt;="&amp;$AI$3),"")</f>
        <v>8</v>
      </c>
      <c r="AJ21" s="119">
        <f ca="1">IF(Configurações!$G$20="Ligado",IF(AI21&lt;=0,"Vazio",IF(Configurações!$G$18="Semana",IF(Configurações!$G$19="Contar",ENTRADAS!AI21/Configurações!$C$18,AI21/SUM(AK21:AN21)),AI21/A21)),"")</f>
        <v>8</v>
      </c>
      <c r="AK21" s="70">
        <f t="shared" si="0"/>
        <v>0</v>
      </c>
      <c r="AL21" s="70">
        <f t="shared" si="1"/>
        <v>1</v>
      </c>
      <c r="AM21" s="70">
        <f t="shared" si="2"/>
        <v>0</v>
      </c>
      <c r="AN21" s="70">
        <f ca="1">IF(SUMIF($Y$4:$AH$4,"&lt;=" &amp; $AJ$3,ENTRADAS!Y21:AH21)&gt;0,1,0)</f>
        <v>0</v>
      </c>
      <c r="AO21" s="64"/>
    </row>
    <row r="22" spans="1:41" ht="21">
      <c r="A22" s="68">
        <f ca="1">COUNT(INDEX($C:$AH,ROW(),1):INDEX($C:$AH,ROW(),$AI$3+1))</f>
        <v>0</v>
      </c>
      <c r="B22" s="106" t="str">
        <f>INDEX(Cadastro_Mantimentos[[#All],[Colunas4]],MATCH(ROW()-5,Cadastro_Mantimentos[[#All],[Colunas2]],0))</f>
        <v>Batata Chips</v>
      </c>
      <c r="C22" s="193"/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3"/>
      <c r="R22" s="193"/>
      <c r="S22" s="193"/>
      <c r="T22" s="193"/>
      <c r="U22" s="193"/>
      <c r="V22" s="193"/>
      <c r="W22" s="193"/>
      <c r="X22" s="193"/>
      <c r="Y22" s="193"/>
      <c r="Z22" s="193"/>
      <c r="AA22" s="193"/>
      <c r="AB22" s="193"/>
      <c r="AC22" s="193"/>
      <c r="AD22" s="193"/>
      <c r="AE22" s="193"/>
      <c r="AF22" s="193"/>
      <c r="AG22" s="193"/>
      <c r="AH22" s="193"/>
      <c r="AI22" s="114">
        <f ca="1">IF(Configurações!$G$10="Ligado",SUMIFS(C22:AH22,$C$4:$AH$4,"&lt;="&amp;Configurações!$C$5,$C$4:$AH$4,"&lt;="&amp;$AI$3),"")</f>
        <v>0</v>
      </c>
      <c r="AJ22" s="119" t="str">
        <f ca="1">IF(Configurações!$G$20="Ligado",IF(AI22&lt;=0,"Vazio",IF(Configurações!$G$18="Semana",IF(Configurações!$G$19="Contar",ENTRADAS!AI22/Configurações!$C$18,AI22/SUM(AK22:AN22)),AI22/A22)),"")</f>
        <v>Vazio</v>
      </c>
      <c r="AK22" s="70">
        <f t="shared" si="0"/>
        <v>0</v>
      </c>
      <c r="AL22" s="70">
        <f t="shared" si="1"/>
        <v>0</v>
      </c>
      <c r="AM22" s="70">
        <f t="shared" si="2"/>
        <v>0</v>
      </c>
      <c r="AN22" s="70">
        <f ca="1">IF(SUMIF($Y$4:$AH$4,"&lt;=" &amp; $AJ$3,ENTRADAS!Y22:AH22)&gt;0,1,0)</f>
        <v>0</v>
      </c>
      <c r="AO22" s="64"/>
    </row>
    <row r="23" spans="1:41" ht="21">
      <c r="A23" s="68">
        <f ca="1">COUNT(INDEX($C:$AH,ROW(),1):INDEX($C:$AH,ROW(),$AI$3+1))</f>
        <v>1</v>
      </c>
      <c r="B23" s="106" t="str">
        <f>INDEX(Cadastro_Mantimentos[[#All],[Colunas4]],MATCH(ROW()-5,Cadastro_Mantimentos[[#All],[Colunas2]],0))</f>
        <v>Batata Palha</v>
      </c>
      <c r="C23" s="193"/>
      <c r="D23" s="193"/>
      <c r="E23" s="193"/>
      <c r="F23" s="193"/>
      <c r="G23" s="193"/>
      <c r="H23" s="193"/>
      <c r="I23" s="193"/>
      <c r="J23" s="193"/>
      <c r="K23" s="193"/>
      <c r="L23" s="193">
        <v>4</v>
      </c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  <c r="AF23" s="193"/>
      <c r="AG23" s="193"/>
      <c r="AH23" s="193"/>
      <c r="AI23" s="114">
        <f ca="1">IF(Configurações!$G$10="Ligado",SUMIFS(C23:AH23,$C$4:$AH$4,"&lt;="&amp;Configurações!$C$5,$C$4:$AH$4,"&lt;="&amp;$AI$3),"")</f>
        <v>4</v>
      </c>
      <c r="AJ23" s="119">
        <f ca="1">IF(Configurações!$G$20="Ligado",IF(AI23&lt;=0,"Vazio",IF(Configurações!$G$18="Semana",IF(Configurações!$G$19="Contar",ENTRADAS!AI23/Configurações!$C$18,AI23/SUM(AK23:AN23)),AI23/A23)),"")</f>
        <v>4</v>
      </c>
      <c r="AK23" s="70">
        <f t="shared" si="0"/>
        <v>0</v>
      </c>
      <c r="AL23" s="70">
        <f t="shared" si="1"/>
        <v>1</v>
      </c>
      <c r="AM23" s="70">
        <f t="shared" si="2"/>
        <v>0</v>
      </c>
      <c r="AN23" s="70">
        <f ca="1">IF(SUMIF($Y$4:$AH$4,"&lt;=" &amp; $AJ$3,ENTRADAS!Y23:AH23)&gt;0,1,0)</f>
        <v>0</v>
      </c>
      <c r="AO23" s="64"/>
    </row>
    <row r="24" spans="1:41" ht="21">
      <c r="A24" s="68">
        <f ca="1">COUNT(INDEX($C:$AH,ROW(),1):INDEX($C:$AH,ROW(),$AI$3+1))</f>
        <v>1</v>
      </c>
      <c r="B24" s="106" t="str">
        <f>INDEX(Cadastro_Mantimentos[[#All],[Colunas4]],MATCH(ROW()-5,Cadastro_Mantimentos[[#All],[Colunas2]],0))</f>
        <v>Batata Palito</v>
      </c>
      <c r="C24" s="193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  <c r="O24" s="193"/>
      <c r="P24" s="193"/>
      <c r="Q24" s="193"/>
      <c r="R24" s="193"/>
      <c r="S24" s="193">
        <v>20</v>
      </c>
      <c r="T24" s="193"/>
      <c r="U24" s="193"/>
      <c r="V24" s="193"/>
      <c r="W24" s="193"/>
      <c r="X24" s="193"/>
      <c r="Y24" s="193"/>
      <c r="Z24" s="193"/>
      <c r="AA24" s="193"/>
      <c r="AB24" s="193"/>
      <c r="AC24" s="193"/>
      <c r="AD24" s="193"/>
      <c r="AE24" s="193"/>
      <c r="AF24" s="193"/>
      <c r="AG24" s="193"/>
      <c r="AH24" s="193"/>
      <c r="AI24" s="114">
        <f ca="1">IF(Configurações!$G$10="Ligado",SUMIFS(C24:AH24,$C$4:$AH$4,"&lt;="&amp;Configurações!$C$5,$C$4:$AH$4,"&lt;="&amp;$AI$3),"")</f>
        <v>20</v>
      </c>
      <c r="AJ24" s="119">
        <f ca="1">IF(Configurações!$G$20="Ligado",IF(AI24&lt;=0,"Vazio",IF(Configurações!$G$18="Semana",IF(Configurações!$G$19="Contar",ENTRADAS!AI24/Configurações!$C$18,AI24/SUM(AK24:AN24)),AI24/A24)),"")</f>
        <v>20</v>
      </c>
      <c r="AK24" s="70">
        <f t="shared" si="0"/>
        <v>0</v>
      </c>
      <c r="AL24" s="70">
        <f t="shared" si="1"/>
        <v>0</v>
      </c>
      <c r="AM24" s="70">
        <f t="shared" si="2"/>
        <v>1</v>
      </c>
      <c r="AN24" s="70">
        <f ca="1">IF(SUMIF($Y$4:$AH$4,"&lt;=" &amp; $AJ$3,ENTRADAS!Y24:AH24)&gt;0,1,0)</f>
        <v>0</v>
      </c>
      <c r="AO24" s="64"/>
    </row>
    <row r="25" spans="1:41" ht="21">
      <c r="A25" s="68">
        <f ca="1">COUNT(INDEX($C:$AH,ROW(),1):INDEX($C:$AH,ROW(),$AI$3+1))</f>
        <v>1</v>
      </c>
      <c r="B25" s="106" t="str">
        <f>INDEX(Cadastro_Mantimentos[[#All],[Colunas4]],MATCH(ROW()-5,Cadastro_Mantimentos[[#All],[Colunas2]],0))</f>
        <v>Bolacha Champagne</v>
      </c>
      <c r="C25" s="193"/>
      <c r="D25" s="193"/>
      <c r="E25" s="193"/>
      <c r="F25" s="193"/>
      <c r="G25" s="193"/>
      <c r="H25" s="193"/>
      <c r="I25" s="193"/>
      <c r="J25" s="193"/>
      <c r="K25" s="193"/>
      <c r="L25" s="193">
        <v>30</v>
      </c>
      <c r="M25" s="193"/>
      <c r="N25" s="193"/>
      <c r="O25" s="193"/>
      <c r="P25" s="193"/>
      <c r="Q25" s="193"/>
      <c r="R25" s="193"/>
      <c r="S25" s="193"/>
      <c r="T25" s="193"/>
      <c r="U25" s="193"/>
      <c r="V25" s="193"/>
      <c r="W25" s="193"/>
      <c r="X25" s="193"/>
      <c r="Y25" s="193"/>
      <c r="Z25" s="193"/>
      <c r="AA25" s="193"/>
      <c r="AB25" s="193"/>
      <c r="AC25" s="193"/>
      <c r="AD25" s="193"/>
      <c r="AE25" s="193"/>
      <c r="AF25" s="193"/>
      <c r="AG25" s="193"/>
      <c r="AH25" s="193"/>
      <c r="AI25" s="114">
        <f ca="1">IF(Configurações!$G$10="Ligado",SUMIFS(C25:AH25,$C$4:$AH$4,"&lt;="&amp;Configurações!$C$5,$C$4:$AH$4,"&lt;="&amp;$AI$3),"")</f>
        <v>30</v>
      </c>
      <c r="AJ25" s="119">
        <f ca="1">IF(Configurações!$G$20="Ligado",IF(AI25&lt;=0,"Vazio",IF(Configurações!$G$18="Semana",IF(Configurações!$G$19="Contar",ENTRADAS!AI25/Configurações!$C$18,AI25/SUM(AK25:AN25)),AI25/A25)),"")</f>
        <v>30</v>
      </c>
      <c r="AK25" s="70">
        <f t="shared" si="0"/>
        <v>0</v>
      </c>
      <c r="AL25" s="70">
        <f t="shared" si="1"/>
        <v>1</v>
      </c>
      <c r="AM25" s="70">
        <f t="shared" si="2"/>
        <v>0</v>
      </c>
      <c r="AN25" s="70">
        <f ca="1">IF(SUMIF($Y$4:$AH$4,"&lt;=" &amp; $AJ$3,ENTRADAS!Y25:AH25)&gt;0,1,0)</f>
        <v>0</v>
      </c>
      <c r="AO25" s="53"/>
    </row>
    <row r="26" spans="1:41" ht="21">
      <c r="A26" s="68">
        <f ca="1">COUNT(INDEX($C:$AH,ROW(),1):INDEX($C:$AH,ROW(),$AI$3+1))</f>
        <v>1</v>
      </c>
      <c r="B26" s="106" t="str">
        <f>INDEX(Cadastro_Mantimentos[[#All],[Colunas4]],MATCH(ROW()-5,Cadastro_Mantimentos[[#All],[Colunas2]],0))</f>
        <v>Bolacha Salgada</v>
      </c>
      <c r="C26" s="193"/>
      <c r="D26" s="193"/>
      <c r="E26" s="193"/>
      <c r="F26" s="193"/>
      <c r="G26" s="193"/>
      <c r="H26" s="193"/>
      <c r="I26" s="193"/>
      <c r="J26" s="193"/>
      <c r="K26" s="193"/>
      <c r="L26" s="193">
        <v>3</v>
      </c>
      <c r="M26" s="193"/>
      <c r="N26" s="193"/>
      <c r="O26" s="193"/>
      <c r="P26" s="193"/>
      <c r="Q26" s="193"/>
      <c r="R26" s="193"/>
      <c r="S26" s="193"/>
      <c r="T26" s="193"/>
      <c r="U26" s="193"/>
      <c r="V26" s="193"/>
      <c r="W26" s="193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14">
        <f ca="1">IF(Configurações!$G$10="Ligado",SUMIFS(C26:AH26,$C$4:$AH$4,"&lt;="&amp;Configurações!$C$5,$C$4:$AH$4,"&lt;="&amp;$AI$3),"")</f>
        <v>3</v>
      </c>
      <c r="AJ26" s="119">
        <f ca="1">IF(Configurações!$G$20="Ligado",IF(AI26&lt;=0,"Vazio",IF(Configurações!$G$18="Semana",IF(Configurações!$G$19="Contar",ENTRADAS!AI26/Configurações!$C$18,AI26/SUM(AK26:AN26)),AI26/A26)),"")</f>
        <v>3</v>
      </c>
      <c r="AK26" s="70">
        <f t="shared" si="0"/>
        <v>0</v>
      </c>
      <c r="AL26" s="70">
        <f t="shared" si="1"/>
        <v>1</v>
      </c>
      <c r="AM26" s="70">
        <f t="shared" si="2"/>
        <v>0</v>
      </c>
      <c r="AN26" s="70">
        <f ca="1">IF(SUMIF($Y$4:$AH$4,"&lt;=" &amp; $AJ$3,ENTRADAS!Y26:AH26)&gt;0,1,0)</f>
        <v>0</v>
      </c>
      <c r="AO26" s="53"/>
    </row>
    <row r="27" spans="1:41" ht="21">
      <c r="A27" s="68">
        <f ca="1">COUNT(INDEX($C:$AH,ROW(),1):INDEX($C:$AH,ROW(),$AI$3+1))</f>
        <v>2</v>
      </c>
      <c r="B27" s="106" t="str">
        <f>INDEX(Cadastro_Mantimentos[[#All],[Colunas4]],MATCH(ROW()-5,Cadastro_Mantimentos[[#All],[Colunas2]],0))</f>
        <v>Café</v>
      </c>
      <c r="C27" s="193"/>
      <c r="D27" s="193"/>
      <c r="E27" s="193"/>
      <c r="F27" s="193"/>
      <c r="G27" s="193"/>
      <c r="H27" s="193"/>
      <c r="I27" s="193"/>
      <c r="J27" s="193"/>
      <c r="K27" s="193"/>
      <c r="L27" s="193">
        <v>10</v>
      </c>
      <c r="M27" s="193"/>
      <c r="N27" s="193"/>
      <c r="O27" s="193"/>
      <c r="P27" s="193"/>
      <c r="Q27" s="193"/>
      <c r="R27" s="193"/>
      <c r="S27" s="193">
        <v>20</v>
      </c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  <c r="AH27" s="193"/>
      <c r="AI27" s="114">
        <f ca="1">IF(Configurações!$G$10="Ligado",SUMIFS(C27:AH27,$C$4:$AH$4,"&lt;="&amp;Configurações!$C$5,$C$4:$AH$4,"&lt;="&amp;$AI$3),"")</f>
        <v>30</v>
      </c>
      <c r="AJ27" s="119">
        <f ca="1">IF(Configurações!$G$20="Ligado",IF(AI27&lt;=0,"Vazio",IF(Configurações!$G$18="Semana",IF(Configurações!$G$19="Contar",ENTRADAS!AI27/Configurações!$C$18,AI27/SUM(AK27:AN27)),AI27/A27)),"")</f>
        <v>15</v>
      </c>
      <c r="AK27" s="70">
        <f t="shared" si="0"/>
        <v>0</v>
      </c>
      <c r="AL27" s="70">
        <f t="shared" si="1"/>
        <v>1</v>
      </c>
      <c r="AM27" s="70">
        <f t="shared" si="2"/>
        <v>1</v>
      </c>
      <c r="AN27" s="70">
        <f ca="1">IF(SUMIF($Y$4:$AH$4,"&lt;=" &amp; $AJ$3,ENTRADAS!Y27:AH27)&gt;0,1,0)</f>
        <v>0</v>
      </c>
      <c r="AO27" s="53"/>
    </row>
    <row r="28" spans="1:41" ht="21">
      <c r="A28" s="68">
        <f ca="1">COUNT(INDEX($C:$AH,ROW(),1):INDEX($C:$AH,ROW(),$AI$3+1))</f>
        <v>0</v>
      </c>
      <c r="B28" s="106" t="str">
        <f>INDEX(Cadastro_Mantimentos[[#All],[Colunas4]],MATCH(ROW()-5,Cadastro_Mantimentos[[#All],[Colunas2]],0))</f>
        <v>Caldo De Carne</v>
      </c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/>
      <c r="V28" s="193"/>
      <c r="W28" s="193"/>
      <c r="X28" s="193"/>
      <c r="Y28" s="193"/>
      <c r="Z28" s="193"/>
      <c r="AA28" s="193"/>
      <c r="AB28" s="193"/>
      <c r="AC28" s="193"/>
      <c r="AD28" s="193"/>
      <c r="AE28" s="193"/>
      <c r="AF28" s="193"/>
      <c r="AG28" s="193"/>
      <c r="AH28" s="193"/>
      <c r="AI28" s="114">
        <f ca="1">IF(Configurações!$G$10="Ligado",SUMIFS(C28:AH28,$C$4:$AH$4,"&lt;="&amp;Configurações!$C$5,$C$4:$AH$4,"&lt;="&amp;$AI$3),"")</f>
        <v>0</v>
      </c>
      <c r="AJ28" s="119" t="str">
        <f ca="1">IF(Configurações!$G$20="Ligado",IF(AI28&lt;=0,"Vazio",IF(Configurações!$G$18="Semana",IF(Configurações!$G$19="Contar",ENTRADAS!AI28/Configurações!$C$18,AI28/SUM(AK28:AN28)),AI28/A28)),"")</f>
        <v>Vazio</v>
      </c>
      <c r="AK28" s="70">
        <f t="shared" si="0"/>
        <v>0</v>
      </c>
      <c r="AL28" s="70">
        <f t="shared" si="1"/>
        <v>0</v>
      </c>
      <c r="AM28" s="70">
        <f t="shared" si="2"/>
        <v>0</v>
      </c>
      <c r="AN28" s="70">
        <f ca="1">IF(SUMIF($Y$4:$AH$4,"&lt;=" &amp; $AJ$3,ENTRADAS!Y28:AH28)&gt;0,1,0)</f>
        <v>0</v>
      </c>
      <c r="AO28" s="53"/>
    </row>
    <row r="29" spans="1:41" ht="21">
      <c r="A29" s="68">
        <f ca="1">COUNT(INDEX($C:$AH,ROW(),1):INDEX($C:$AH,ROW(),$AI$3+1))</f>
        <v>0</v>
      </c>
      <c r="B29" s="106" t="str">
        <f>INDEX(Cadastro_Mantimentos[[#All],[Colunas4]],MATCH(ROW()-5,Cadastro_Mantimentos[[#All],[Colunas2]],0))</f>
        <v>Caldo De Legumes</v>
      </c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3"/>
      <c r="S29" s="193"/>
      <c r="T29" s="193"/>
      <c r="U29" s="193"/>
      <c r="V29" s="193"/>
      <c r="W29" s="193"/>
      <c r="X29" s="193"/>
      <c r="Y29" s="193"/>
      <c r="Z29" s="193"/>
      <c r="AA29" s="193"/>
      <c r="AB29" s="193"/>
      <c r="AC29" s="193"/>
      <c r="AD29" s="193"/>
      <c r="AE29" s="193"/>
      <c r="AF29" s="193"/>
      <c r="AG29" s="193"/>
      <c r="AH29" s="193"/>
      <c r="AI29" s="114">
        <f ca="1">IF(Configurações!$G$10="Ligado",SUMIFS(C29:AH29,$C$4:$AH$4,"&lt;="&amp;Configurações!$C$5,$C$4:$AH$4,"&lt;="&amp;$AI$3),"")</f>
        <v>0</v>
      </c>
      <c r="AJ29" s="119" t="str">
        <f ca="1">IF(Configurações!$G$20="Ligado",IF(AI29&lt;=0,"Vazio",IF(Configurações!$G$18="Semana",IF(Configurações!$G$19="Contar",ENTRADAS!AI29/Configurações!$C$18,AI29/SUM(AK29:AN29)),AI29/A29)),"")</f>
        <v>Vazio</v>
      </c>
      <c r="AK29" s="70">
        <f t="shared" si="0"/>
        <v>0</v>
      </c>
      <c r="AL29" s="70">
        <f t="shared" si="1"/>
        <v>0</v>
      </c>
      <c r="AM29" s="70">
        <f t="shared" si="2"/>
        <v>0</v>
      </c>
      <c r="AN29" s="70">
        <f ca="1">IF(SUMIF($Y$4:$AH$4,"&lt;=" &amp; $AJ$3,ENTRADAS!Y29:AH29)&gt;0,1,0)</f>
        <v>0</v>
      </c>
      <c r="AO29" s="53"/>
    </row>
    <row r="30" spans="1:41" ht="21">
      <c r="A30" s="68">
        <f ca="1">COUNT(INDEX($C:$AH,ROW(),1):INDEX($C:$AH,ROW(),$AI$3+1))</f>
        <v>0</v>
      </c>
      <c r="B30" s="106" t="str">
        <f>INDEX(Cadastro_Mantimentos[[#All],[Colunas4]],MATCH(ROW()-5,Cadastro_Mantimentos[[#All],[Colunas2]],0))</f>
        <v xml:space="preserve">Caldo De Peixe </v>
      </c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  <c r="AF30" s="193"/>
      <c r="AG30" s="193"/>
      <c r="AH30" s="193"/>
      <c r="AI30" s="114">
        <f ca="1">IF(Configurações!$G$10="Ligado",SUMIFS(C30:AH30,$C$4:$AH$4,"&lt;="&amp;Configurações!$C$5,$C$4:$AH$4,"&lt;="&amp;$AI$3),"")</f>
        <v>0</v>
      </c>
      <c r="AJ30" s="119" t="str">
        <f ca="1">IF(Configurações!$G$20="Ligado",IF(AI30&lt;=0,"Vazio",IF(Configurações!$G$18="Semana",IF(Configurações!$G$19="Contar",ENTRADAS!AI30/Configurações!$C$18,AI30/SUM(AK30:AN30)),AI30/A30)),"")</f>
        <v>Vazio</v>
      </c>
      <c r="AK30" s="70">
        <f t="shared" si="0"/>
        <v>0</v>
      </c>
      <c r="AL30" s="70">
        <f t="shared" si="1"/>
        <v>0</v>
      </c>
      <c r="AM30" s="70">
        <f t="shared" si="2"/>
        <v>0</v>
      </c>
      <c r="AN30" s="70">
        <f ca="1">IF(SUMIF($Y$4:$AH$4,"&lt;=" &amp; $AJ$3,ENTRADAS!Y30:AH30)&gt;0,1,0)</f>
        <v>0</v>
      </c>
      <c r="AO30" s="53"/>
    </row>
    <row r="31" spans="1:41" ht="21">
      <c r="A31" s="68">
        <f ca="1">COUNT(INDEX($C:$AH,ROW(),1):INDEX($C:$AH,ROW(),$AI$3+1))</f>
        <v>0</v>
      </c>
      <c r="B31" s="106" t="str">
        <f>INDEX(Cadastro_Mantimentos[[#All],[Colunas4]],MATCH(ROW()-5,Cadastro_Mantimentos[[#All],[Colunas2]],0))</f>
        <v>Caldo Galinha</v>
      </c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93"/>
      <c r="O31" s="193"/>
      <c r="P31" s="193"/>
      <c r="Q31" s="193"/>
      <c r="R31" s="193"/>
      <c r="S31" s="193"/>
      <c r="T31" s="193"/>
      <c r="U31" s="193"/>
      <c r="V31" s="193"/>
      <c r="W31" s="193"/>
      <c r="X31" s="193"/>
      <c r="Y31" s="193"/>
      <c r="Z31" s="193"/>
      <c r="AA31" s="193"/>
      <c r="AB31" s="193"/>
      <c r="AC31" s="193"/>
      <c r="AD31" s="193"/>
      <c r="AE31" s="193"/>
      <c r="AF31" s="193"/>
      <c r="AG31" s="193"/>
      <c r="AH31" s="193"/>
      <c r="AI31" s="114">
        <f ca="1">IF(Configurações!$G$10="Ligado",SUMIFS(C31:AH31,$C$4:$AH$4,"&lt;="&amp;Configurações!$C$5,$C$4:$AH$4,"&lt;="&amp;$AI$3),"")</f>
        <v>0</v>
      </c>
      <c r="AJ31" s="119" t="str">
        <f ca="1">IF(Configurações!$G$20="Ligado",IF(AI31&lt;=0,"Vazio",IF(Configurações!$G$18="Semana",IF(Configurações!$G$19="Contar",ENTRADAS!AI31/Configurações!$C$18,AI31/SUM(AK31:AN31)),AI31/A31)),"")</f>
        <v>Vazio</v>
      </c>
      <c r="AK31" s="70">
        <f t="shared" si="0"/>
        <v>0</v>
      </c>
      <c r="AL31" s="70">
        <f t="shared" si="1"/>
        <v>0</v>
      </c>
      <c r="AM31" s="70">
        <f t="shared" si="2"/>
        <v>0</v>
      </c>
      <c r="AN31" s="70">
        <f ca="1">IF(SUMIF($Y$4:$AH$4,"&lt;=" &amp; $AJ$3,ENTRADAS!Y31:AH31)&gt;0,1,0)</f>
        <v>0</v>
      </c>
      <c r="AO31" s="53"/>
    </row>
    <row r="32" spans="1:41" ht="21">
      <c r="A32" s="68">
        <f ca="1">COUNT(INDEX($C:$AH,ROW(),1):INDEX($C:$AH,ROW(),$AI$3+1))</f>
        <v>0</v>
      </c>
      <c r="B32" s="106" t="str">
        <f>INDEX(Cadastro_Mantimentos[[#All],[Colunas4]],MATCH(ROW()-5,Cadastro_Mantimentos[[#All],[Colunas2]],0))</f>
        <v>Canela Em Casca</v>
      </c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3"/>
      <c r="T32" s="193"/>
      <c r="U32" s="193"/>
      <c r="V32" s="193"/>
      <c r="W32" s="193"/>
      <c r="X32" s="193"/>
      <c r="Y32" s="193"/>
      <c r="Z32" s="193"/>
      <c r="AA32" s="193"/>
      <c r="AB32" s="193"/>
      <c r="AC32" s="193"/>
      <c r="AD32" s="193"/>
      <c r="AE32" s="193"/>
      <c r="AF32" s="193"/>
      <c r="AG32" s="193"/>
      <c r="AH32" s="193"/>
      <c r="AI32" s="114">
        <f ca="1">IF(Configurações!$G$10="Ligado",SUMIFS(C32:AH32,$C$4:$AH$4,"&lt;="&amp;Configurações!$C$5,$C$4:$AH$4,"&lt;="&amp;$AI$3),"")</f>
        <v>0</v>
      </c>
      <c r="AJ32" s="119" t="str">
        <f ca="1">IF(Configurações!$G$20="Ligado",IF(AI32&lt;=0,"Vazio",IF(Configurações!$G$18="Semana",IF(Configurações!$G$19="Contar",ENTRADAS!AI32/Configurações!$C$18,AI32/SUM(AK32:AN32)),AI32/A32)),"")</f>
        <v>Vazio</v>
      </c>
      <c r="AK32" s="70">
        <f t="shared" si="0"/>
        <v>0</v>
      </c>
      <c r="AL32" s="70">
        <f t="shared" si="1"/>
        <v>0</v>
      </c>
      <c r="AM32" s="70">
        <f t="shared" si="2"/>
        <v>0</v>
      </c>
      <c r="AN32" s="70">
        <f ca="1">IF(SUMIF($Y$4:$AH$4,"&lt;=" &amp; $AJ$3,ENTRADAS!Y32:AH32)&gt;0,1,0)</f>
        <v>0</v>
      </c>
      <c r="AO32" s="53"/>
    </row>
    <row r="33" spans="1:41" ht="21">
      <c r="A33" s="68">
        <f ca="1">COUNT(INDEX($C:$AH,ROW(),1):INDEX($C:$AH,ROW(),$AI$3+1))</f>
        <v>0</v>
      </c>
      <c r="B33" s="106" t="str">
        <f>INDEX(Cadastro_Mantimentos[[#All],[Colunas4]],MATCH(ROW()-5,Cadastro_Mantimentos[[#All],[Colunas2]],0))</f>
        <v>Canela Em Pó</v>
      </c>
      <c r="C33" s="193"/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N33" s="193"/>
      <c r="O33" s="193"/>
      <c r="P33" s="193"/>
      <c r="Q33" s="193"/>
      <c r="R33" s="193"/>
      <c r="S33" s="193"/>
      <c r="T33" s="193"/>
      <c r="U33" s="193"/>
      <c r="V33" s="193"/>
      <c r="W33" s="193"/>
      <c r="X33" s="193"/>
      <c r="Y33" s="193"/>
      <c r="Z33" s="193"/>
      <c r="AA33" s="193"/>
      <c r="AB33" s="193"/>
      <c r="AC33" s="193"/>
      <c r="AD33" s="193"/>
      <c r="AE33" s="193"/>
      <c r="AF33" s="193"/>
      <c r="AG33" s="193"/>
      <c r="AH33" s="193"/>
      <c r="AI33" s="114">
        <f ca="1">IF(Configurações!$G$10="Ligado",SUMIFS(C33:AH33,$C$4:$AH$4,"&lt;="&amp;Configurações!$C$5,$C$4:$AH$4,"&lt;="&amp;$AI$3),"")</f>
        <v>0</v>
      </c>
      <c r="AJ33" s="119" t="str">
        <f ca="1">IF(Configurações!$G$20="Ligado",IF(AI33&lt;=0,"Vazio",IF(Configurações!$G$18="Semana",IF(Configurações!$G$19="Contar",ENTRADAS!AI33/Configurações!$C$18,AI33/SUM(AK33:AN33)),AI33/A33)),"")</f>
        <v>Vazio</v>
      </c>
      <c r="AK33" s="70">
        <f t="shared" si="0"/>
        <v>0</v>
      </c>
      <c r="AL33" s="70">
        <f t="shared" si="1"/>
        <v>0</v>
      </c>
      <c r="AM33" s="70">
        <f t="shared" si="2"/>
        <v>0</v>
      </c>
      <c r="AN33" s="70">
        <f ca="1">IF(SUMIF($Y$4:$AH$4,"&lt;=" &amp; $AJ$3,ENTRADAS!Y33:AH33)&gt;0,1,0)</f>
        <v>0</v>
      </c>
      <c r="AO33" s="53"/>
    </row>
    <row r="34" spans="1:41" ht="21">
      <c r="A34" s="68">
        <f ca="1">COUNT(INDEX($C:$AH,ROW(),1):INDEX($C:$AH,ROW(),$AI$3+1))</f>
        <v>0</v>
      </c>
      <c r="B34" s="106" t="str">
        <f>INDEX(Cadastro_Mantimentos[[#All],[Colunas4]],MATCH(ROW()-5,Cadastro_Mantimentos[[#All],[Colunas2]],0))</f>
        <v>Canelone</v>
      </c>
      <c r="C34" s="193"/>
      <c r="D34" s="193"/>
      <c r="E34" s="193"/>
      <c r="F34" s="193"/>
      <c r="G34" s="193"/>
      <c r="H34" s="193"/>
      <c r="I34" s="193"/>
      <c r="J34" s="193"/>
      <c r="K34" s="193"/>
      <c r="L34" s="193"/>
      <c r="M34" s="193"/>
      <c r="N34" s="193"/>
      <c r="O34" s="193"/>
      <c r="P34" s="193"/>
      <c r="Q34" s="193"/>
      <c r="R34" s="193"/>
      <c r="S34" s="193"/>
      <c r="T34" s="193"/>
      <c r="U34" s="193"/>
      <c r="V34" s="193"/>
      <c r="W34" s="193"/>
      <c r="X34" s="193"/>
      <c r="Y34" s="193"/>
      <c r="Z34" s="193"/>
      <c r="AA34" s="193"/>
      <c r="AB34" s="193"/>
      <c r="AC34" s="193"/>
      <c r="AD34" s="193"/>
      <c r="AE34" s="193"/>
      <c r="AF34" s="193"/>
      <c r="AG34" s="193"/>
      <c r="AH34" s="193"/>
      <c r="AI34" s="114">
        <f ca="1">IF(Configurações!$G$10="Ligado",SUMIFS(C34:AH34,$C$4:$AH$4,"&lt;="&amp;Configurações!$C$5,$C$4:$AH$4,"&lt;="&amp;$AI$3),"")</f>
        <v>0</v>
      </c>
      <c r="AJ34" s="119" t="str">
        <f ca="1">IF(Configurações!$G$20="Ligado",IF(AI34&lt;=0,"Vazio",IF(Configurações!$G$18="Semana",IF(Configurações!$G$19="Contar",ENTRADAS!AI34/Configurações!$C$18,AI34/SUM(AK34:AN34)),AI34/A34)),"")</f>
        <v>Vazio</v>
      </c>
      <c r="AK34" s="70">
        <f t="shared" si="0"/>
        <v>0</v>
      </c>
      <c r="AL34" s="70">
        <f t="shared" si="1"/>
        <v>0</v>
      </c>
      <c r="AM34" s="70">
        <f t="shared" si="2"/>
        <v>0</v>
      </c>
      <c r="AN34" s="70">
        <f ca="1">IF(SUMIF($Y$4:$AH$4,"&lt;=" &amp; $AJ$3,ENTRADAS!Y34:AH34)&gt;0,1,0)</f>
        <v>0</v>
      </c>
      <c r="AO34" s="53"/>
    </row>
    <row r="35" spans="1:41" ht="21">
      <c r="A35" s="68">
        <f ca="1">COUNT(INDEX($C:$AH,ROW(),1):INDEX($C:$AH,ROW(),$AI$3+1))</f>
        <v>0</v>
      </c>
      <c r="B35" s="106" t="str">
        <f>INDEX(Cadastro_Mantimentos[[#All],[Colunas4]],MATCH(ROW()-5,Cadastro_Mantimentos[[#All],[Colunas2]],0))</f>
        <v>Chá De Camomila</v>
      </c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193"/>
      <c r="W35" s="193"/>
      <c r="X35" s="193"/>
      <c r="Y35" s="193"/>
      <c r="Z35" s="193"/>
      <c r="AA35" s="193"/>
      <c r="AB35" s="193"/>
      <c r="AC35" s="193"/>
      <c r="AD35" s="193"/>
      <c r="AE35" s="193"/>
      <c r="AF35" s="193"/>
      <c r="AG35" s="193"/>
      <c r="AH35" s="193"/>
      <c r="AI35" s="114">
        <f ca="1">IF(Configurações!$G$10="Ligado",SUMIFS(C35:AH35,$C$4:$AH$4,"&lt;="&amp;Configurações!$C$5,$C$4:$AH$4,"&lt;="&amp;$AI$3),"")</f>
        <v>0</v>
      </c>
      <c r="AJ35" s="119" t="str">
        <f ca="1">IF(Configurações!$G$20="Ligado",IF(AI35&lt;=0,"Vazio",IF(Configurações!$G$18="Semana",IF(Configurações!$G$19="Contar",ENTRADAS!AI35/Configurações!$C$18,AI35/SUM(AK35:AN35)),AI35/A35)),"")</f>
        <v>Vazio</v>
      </c>
      <c r="AK35" s="70">
        <f t="shared" si="0"/>
        <v>0</v>
      </c>
      <c r="AL35" s="70">
        <f t="shared" si="1"/>
        <v>0</v>
      </c>
      <c r="AM35" s="70">
        <f t="shared" si="2"/>
        <v>0</v>
      </c>
      <c r="AN35" s="70">
        <f ca="1">IF(SUMIF($Y$4:$AH$4,"&lt;=" &amp; $AJ$3,ENTRADAS!Y35:AH35)&gt;0,1,0)</f>
        <v>0</v>
      </c>
      <c r="AO35" s="53"/>
    </row>
    <row r="36" spans="1:41" ht="21">
      <c r="A36" s="68">
        <f ca="1">COUNT(INDEX($C:$AH,ROW(),1):INDEX($C:$AH,ROW(),$AI$3+1))</f>
        <v>0</v>
      </c>
      <c r="B36" s="106" t="str">
        <f>INDEX(Cadastro_Mantimentos[[#All],[Colunas4]],MATCH(ROW()-5,Cadastro_Mantimentos[[#All],[Colunas2]],0))</f>
        <v>Chá De Camomila</v>
      </c>
      <c r="C36" s="193"/>
      <c r="D36" s="193"/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193"/>
      <c r="Q36" s="193"/>
      <c r="R36" s="193"/>
      <c r="S36" s="193"/>
      <c r="T36" s="193"/>
      <c r="U36" s="193"/>
      <c r="V36" s="193"/>
      <c r="W36" s="193"/>
      <c r="X36" s="193"/>
      <c r="Y36" s="193"/>
      <c r="Z36" s="193"/>
      <c r="AA36" s="193"/>
      <c r="AB36" s="193"/>
      <c r="AC36" s="193"/>
      <c r="AD36" s="193"/>
      <c r="AE36" s="193"/>
      <c r="AF36" s="193"/>
      <c r="AG36" s="193"/>
      <c r="AH36" s="193"/>
      <c r="AI36" s="114">
        <f ca="1">IF(Configurações!$G$10="Ligado",SUMIFS(C36:AH36,$C$4:$AH$4,"&lt;="&amp;Configurações!$C$5,$C$4:$AH$4,"&lt;="&amp;$AI$3),"")</f>
        <v>0</v>
      </c>
      <c r="AJ36" s="119" t="str">
        <f ca="1">IF(Configurações!$G$20="Ligado",IF(AI36&lt;=0,"Vazio",IF(Configurações!$G$18="Semana",IF(Configurações!$G$19="Contar",ENTRADAS!AI36/Configurações!$C$18,AI36/SUM(AK36:AN36)),AI36/A36)),"")</f>
        <v>Vazio</v>
      </c>
      <c r="AK36" s="70">
        <f t="shared" si="0"/>
        <v>0</v>
      </c>
      <c r="AL36" s="70">
        <f t="shared" si="1"/>
        <v>0</v>
      </c>
      <c r="AM36" s="70">
        <f t="shared" si="2"/>
        <v>0</v>
      </c>
      <c r="AN36" s="70">
        <f ca="1">IF(SUMIF($Y$4:$AH$4,"&lt;=" &amp; $AJ$3,ENTRADAS!Y36:AH36)&gt;0,1,0)</f>
        <v>0</v>
      </c>
      <c r="AO36" s="53"/>
    </row>
    <row r="37" spans="1:41" ht="21">
      <c r="A37" s="68">
        <f ca="1">COUNT(INDEX($C:$AH,ROW(),1):INDEX($C:$AH,ROW(),$AI$3+1))</f>
        <v>0</v>
      </c>
      <c r="B37" s="106" t="str">
        <f>INDEX(Cadastro_Mantimentos[[#All],[Colunas4]],MATCH(ROW()-5,Cadastro_Mantimentos[[#All],[Colunas2]],0))</f>
        <v>Chá De Erva Doce</v>
      </c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93"/>
      <c r="O37" s="193"/>
      <c r="P37" s="193"/>
      <c r="Q37" s="193"/>
      <c r="R37" s="193"/>
      <c r="S37" s="193"/>
      <c r="T37" s="193"/>
      <c r="U37" s="193"/>
      <c r="V37" s="193"/>
      <c r="W37" s="193"/>
      <c r="X37" s="193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14">
        <f ca="1">IF(Configurações!$G$10="Ligado",SUMIFS(C37:AH37,$C$4:$AH$4,"&lt;="&amp;Configurações!$C$5,$C$4:$AH$4,"&lt;="&amp;$AI$3),"")</f>
        <v>0</v>
      </c>
      <c r="AJ37" s="119" t="str">
        <f ca="1">IF(Configurações!$G$20="Ligado",IF(AI37&lt;=0,"Vazio",IF(Configurações!$G$18="Semana",IF(Configurações!$G$19="Contar",ENTRADAS!AI37/Configurações!$C$18,AI37/SUM(AK37:AN37)),AI37/A37)),"")</f>
        <v>Vazio</v>
      </c>
      <c r="AK37" s="70">
        <f t="shared" si="0"/>
        <v>0</v>
      </c>
      <c r="AL37" s="70">
        <f t="shared" si="1"/>
        <v>0</v>
      </c>
      <c r="AM37" s="70">
        <f t="shared" si="2"/>
        <v>0</v>
      </c>
      <c r="AN37" s="70">
        <f ca="1">IF(SUMIF($Y$4:$AH$4,"&lt;=" &amp; $AJ$3,ENTRADAS!Y37:AH37)&gt;0,1,0)</f>
        <v>0</v>
      </c>
      <c r="AO37" s="53"/>
    </row>
    <row r="38" spans="1:41" ht="21">
      <c r="A38" s="68">
        <f ca="1">COUNT(INDEX($C:$AH,ROW(),1):INDEX($C:$AH,ROW(),$AI$3+1))</f>
        <v>0</v>
      </c>
      <c r="B38" s="106" t="str">
        <f>INDEX(Cadastro_Mantimentos[[#All],[Colunas4]],MATCH(ROW()-5,Cadastro_Mantimentos[[#All],[Colunas2]],0))</f>
        <v>Chá de Hibisco</v>
      </c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3"/>
      <c r="X38" s="193"/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114">
        <f ca="1">IF(Configurações!$G$10="Ligado",SUMIFS(C38:AH38,$C$4:$AH$4,"&lt;="&amp;Configurações!$C$5,$C$4:$AH$4,"&lt;="&amp;$AI$3),"")</f>
        <v>0</v>
      </c>
      <c r="AJ38" s="119" t="str">
        <f ca="1">IF(Configurações!$G$20="Ligado",IF(AI38&lt;=0,"Vazio",IF(Configurações!$G$18="Semana",IF(Configurações!$G$19="Contar",ENTRADAS!AI38/Configurações!$C$18,AI38/SUM(AK38:AN38)),AI38/A38)),"")</f>
        <v>Vazio</v>
      </c>
      <c r="AK38" s="70">
        <f t="shared" si="0"/>
        <v>0</v>
      </c>
      <c r="AL38" s="70">
        <f t="shared" si="1"/>
        <v>0</v>
      </c>
      <c r="AM38" s="70">
        <f t="shared" si="2"/>
        <v>0</v>
      </c>
      <c r="AN38" s="70">
        <f ca="1">IF(SUMIF($Y$4:$AH$4,"&lt;=" &amp; $AJ$3,ENTRADAS!Y38:AH38)&gt;0,1,0)</f>
        <v>0</v>
      </c>
      <c r="AO38" s="53"/>
    </row>
    <row r="39" spans="1:41" ht="21">
      <c r="A39" s="68">
        <f ca="1">COUNT(INDEX($C:$AH,ROW(),1):INDEX($C:$AH,ROW(),$AI$3+1))</f>
        <v>0</v>
      </c>
      <c r="B39" s="106" t="str">
        <f>INDEX(Cadastro_Mantimentos[[#All],[Colunas4]],MATCH(ROW()-5,Cadastro_Mantimentos[[#All],[Colunas2]],0))</f>
        <v>Chá De Hortelã</v>
      </c>
      <c r="C39" s="193"/>
      <c r="D39" s="193"/>
      <c r="E39" s="193"/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14">
        <f ca="1">IF(Configurações!$G$10="Ligado",SUMIFS(C39:AH39,$C$4:$AH$4,"&lt;="&amp;Configurações!$C$5,$C$4:$AH$4,"&lt;="&amp;$AI$3),"")</f>
        <v>0</v>
      </c>
      <c r="AJ39" s="119" t="str">
        <f ca="1">IF(Configurações!$G$20="Ligado",IF(AI39&lt;=0,"Vazio",IF(Configurações!$G$18="Semana",IF(Configurações!$G$19="Contar",ENTRADAS!AI39/Configurações!$C$18,AI39/SUM(AK39:AN39)),AI39/A39)),"")</f>
        <v>Vazio</v>
      </c>
      <c r="AK39" s="70">
        <f t="shared" si="0"/>
        <v>0</v>
      </c>
      <c r="AL39" s="70">
        <f t="shared" si="1"/>
        <v>0</v>
      </c>
      <c r="AM39" s="70">
        <f t="shared" si="2"/>
        <v>0</v>
      </c>
      <c r="AN39" s="70">
        <f ca="1">IF(SUMIF($Y$4:$AH$4,"&lt;=" &amp; $AJ$3,ENTRADAS!Y39:AH39)&gt;0,1,0)</f>
        <v>0</v>
      </c>
      <c r="AO39" s="53"/>
    </row>
    <row r="40" spans="1:41" ht="21">
      <c r="A40" s="68">
        <f ca="1">COUNT(INDEX($C:$AH,ROW(),1):INDEX($C:$AH,ROW(),$AI$3+1))</f>
        <v>0</v>
      </c>
      <c r="B40" s="106" t="str">
        <f>INDEX(Cadastro_Mantimentos[[#All],[Colunas4]],MATCH(ROW()-5,Cadastro_Mantimentos[[#All],[Colunas2]],0))</f>
        <v>Chá de Melissa</v>
      </c>
      <c r="C40" s="193"/>
      <c r="D40" s="193"/>
      <c r="E40" s="193"/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14">
        <f ca="1">IF(Configurações!$G$10="Ligado",SUMIFS(C40:AH40,$C$4:$AH$4,"&lt;="&amp;Configurações!$C$5,$C$4:$AH$4,"&lt;="&amp;$AI$3),"")</f>
        <v>0</v>
      </c>
      <c r="AJ40" s="119" t="str">
        <f ca="1">IF(Configurações!$G$20="Ligado",IF(AI40&lt;=0,"Vazio",IF(Configurações!$G$18="Semana",IF(Configurações!$G$19="Contar",ENTRADAS!AI40/Configurações!$C$18,AI40/SUM(AK40:AN40)),AI40/A40)),"")</f>
        <v>Vazio</v>
      </c>
      <c r="AK40" s="70">
        <f t="shared" si="0"/>
        <v>0</v>
      </c>
      <c r="AL40" s="70">
        <f t="shared" si="1"/>
        <v>0</v>
      </c>
      <c r="AM40" s="70">
        <f t="shared" si="2"/>
        <v>0</v>
      </c>
      <c r="AN40" s="70">
        <f ca="1">IF(SUMIF($Y$4:$AH$4,"&lt;=" &amp; $AJ$3,ENTRADAS!Y40:AH40)&gt;0,1,0)</f>
        <v>0</v>
      </c>
      <c r="AO40" s="53"/>
    </row>
    <row r="41" spans="1:41" ht="21">
      <c r="A41" s="68">
        <f ca="1">COUNT(INDEX($C:$AH,ROW(),1):INDEX($C:$AH,ROW(),$AI$3+1))</f>
        <v>0</v>
      </c>
      <c r="B41" s="106" t="str">
        <f>INDEX(Cadastro_Mantimentos[[#All],[Colunas4]],MATCH(ROW()-5,Cadastro_Mantimentos[[#All],[Colunas2]],0))</f>
        <v xml:space="preserve">Chá Mate </v>
      </c>
      <c r="C41" s="193"/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14">
        <f ca="1">IF(Configurações!$G$10="Ligado",SUMIFS(C41:AH41,$C$4:$AH$4,"&lt;="&amp;Configurações!$C$5,$C$4:$AH$4,"&lt;="&amp;$AI$3),"")</f>
        <v>0</v>
      </c>
      <c r="AJ41" s="119" t="str">
        <f ca="1">IF(Configurações!$G$20="Ligado",IF(AI41&lt;=0,"Vazio",IF(Configurações!$G$18="Semana",IF(Configurações!$G$19="Contar",ENTRADAS!AI41/Configurações!$C$18,AI41/SUM(AK41:AN41)),AI41/A41)),"")</f>
        <v>Vazio</v>
      </c>
      <c r="AK41" s="70">
        <f t="shared" si="0"/>
        <v>0</v>
      </c>
      <c r="AL41" s="70">
        <f t="shared" si="1"/>
        <v>0</v>
      </c>
      <c r="AM41" s="70">
        <f t="shared" si="2"/>
        <v>0</v>
      </c>
      <c r="AN41" s="70">
        <f ca="1">IF(SUMIF($Y$4:$AH$4,"&lt;=" &amp; $AJ$3,ENTRADAS!Y41:AH41)&gt;0,1,0)</f>
        <v>0</v>
      </c>
      <c r="AO41" s="53"/>
    </row>
    <row r="42" spans="1:41" ht="21">
      <c r="A42" s="68">
        <f ca="1">COUNT(INDEX($C:$AH,ROW(),1):INDEX($C:$AH,ROW(),$AI$3+1))</f>
        <v>0</v>
      </c>
      <c r="B42" s="106" t="str">
        <f>INDEX(Cadastro_Mantimentos[[#All],[Colunas4]],MATCH(ROW()-5,Cadastro_Mantimentos[[#All],[Colunas2]],0))</f>
        <v>Chá Morango</v>
      </c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193"/>
      <c r="W42" s="193"/>
      <c r="X42" s="193"/>
      <c r="Y42" s="193"/>
      <c r="Z42" s="193"/>
      <c r="AA42" s="193"/>
      <c r="AB42" s="193"/>
      <c r="AC42" s="193"/>
      <c r="AD42" s="193"/>
      <c r="AE42" s="193"/>
      <c r="AF42" s="193"/>
      <c r="AG42" s="193"/>
      <c r="AH42" s="193"/>
      <c r="AI42" s="114">
        <f ca="1">IF(Configurações!$G$10="Ligado",SUMIFS(C42:AH42,$C$4:$AH$4,"&lt;="&amp;Configurações!$C$5,$C$4:$AH$4,"&lt;="&amp;$AI$3),"")</f>
        <v>0</v>
      </c>
      <c r="AJ42" s="119" t="str">
        <f ca="1">IF(Configurações!$G$20="Ligado",IF(AI42&lt;=0,"Vazio",IF(Configurações!$G$18="Semana",IF(Configurações!$G$19="Contar",ENTRADAS!AI42/Configurações!$C$18,AI42/SUM(AK42:AN42)),AI42/A42)),"")</f>
        <v>Vazio</v>
      </c>
      <c r="AK42" s="70">
        <f t="shared" si="0"/>
        <v>0</v>
      </c>
      <c r="AL42" s="70">
        <f t="shared" si="1"/>
        <v>0</v>
      </c>
      <c r="AM42" s="70">
        <f t="shared" si="2"/>
        <v>0</v>
      </c>
      <c r="AN42" s="70">
        <f ca="1">IF(SUMIF($Y$4:$AH$4,"&lt;=" &amp; $AJ$3,ENTRADAS!Y42:AH42)&gt;0,1,0)</f>
        <v>0</v>
      </c>
      <c r="AO42" s="53"/>
    </row>
    <row r="43" spans="1:41" ht="21">
      <c r="A43" s="68">
        <f ca="1">COUNT(INDEX($C:$AH,ROW(),1):INDEX($C:$AH,ROW(),$AI$3+1))</f>
        <v>0</v>
      </c>
      <c r="B43" s="106" t="str">
        <f>INDEX(Cadastro_Mantimentos[[#All],[Colunas4]],MATCH(ROW()-5,Cadastro_Mantimentos[[#All],[Colunas2]],0))</f>
        <v xml:space="preserve">Chá Preto </v>
      </c>
      <c r="C43" s="193"/>
      <c r="D43" s="193"/>
      <c r="E43" s="193"/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3"/>
      <c r="V43" s="193"/>
      <c r="W43" s="193"/>
      <c r="X43" s="193"/>
      <c r="Y43" s="193"/>
      <c r="Z43" s="193"/>
      <c r="AA43" s="193"/>
      <c r="AB43" s="193"/>
      <c r="AC43" s="193"/>
      <c r="AD43" s="193"/>
      <c r="AE43" s="193"/>
      <c r="AF43" s="193"/>
      <c r="AG43" s="193"/>
      <c r="AH43" s="193"/>
      <c r="AI43" s="114">
        <f ca="1">IF(Configurações!$G$10="Ligado",SUMIFS(C43:AH43,$C$4:$AH$4,"&lt;="&amp;Configurações!$C$5,$C$4:$AH$4,"&lt;="&amp;$AI$3),"")</f>
        <v>0</v>
      </c>
      <c r="AJ43" s="119" t="str">
        <f ca="1">IF(Configurações!$G$20="Ligado",IF(AI43&lt;=0,"Vazio",IF(Configurações!$G$18="Semana",IF(Configurações!$G$19="Contar",ENTRADAS!AI43/Configurações!$C$18,AI43/SUM(AK43:AN43)),AI43/A43)),"")</f>
        <v>Vazio</v>
      </c>
      <c r="AK43" s="70">
        <f t="shared" si="0"/>
        <v>0</v>
      </c>
      <c r="AL43" s="70">
        <f t="shared" si="1"/>
        <v>0</v>
      </c>
      <c r="AM43" s="70">
        <f t="shared" si="2"/>
        <v>0</v>
      </c>
      <c r="AN43" s="70">
        <f ca="1">IF(SUMIF($Y$4:$AH$4,"&lt;=" &amp; $AJ$3,ENTRADAS!Y43:AH43)&gt;0,1,0)</f>
        <v>0</v>
      </c>
      <c r="AO43" s="53"/>
    </row>
    <row r="44" spans="1:41" ht="21">
      <c r="A44" s="68">
        <f ca="1">COUNT(INDEX($C:$AH,ROW(),1):INDEX($C:$AH,ROW(),$AI$3+1))</f>
        <v>0</v>
      </c>
      <c r="B44" s="106" t="str">
        <f>INDEX(Cadastro_Mantimentos[[#All],[Colunas4]],MATCH(ROW()-5,Cadastro_Mantimentos[[#All],[Colunas2]],0))</f>
        <v>Champignon Fatiado</v>
      </c>
      <c r="C44" s="193"/>
      <c r="D44" s="193"/>
      <c r="E44" s="193"/>
      <c r="F44" s="193"/>
      <c r="G44" s="193"/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3"/>
      <c r="V44" s="193"/>
      <c r="W44" s="193"/>
      <c r="X44" s="193"/>
      <c r="Y44" s="193"/>
      <c r="Z44" s="193"/>
      <c r="AA44" s="193"/>
      <c r="AB44" s="193"/>
      <c r="AC44" s="193"/>
      <c r="AD44" s="193"/>
      <c r="AE44" s="193"/>
      <c r="AF44" s="193"/>
      <c r="AG44" s="193"/>
      <c r="AH44" s="193"/>
      <c r="AI44" s="114">
        <f ca="1">IF(Configurações!$G$10="Ligado",SUMIFS(C44:AH44,$C$4:$AH$4,"&lt;="&amp;Configurações!$C$5,$C$4:$AH$4,"&lt;="&amp;$AI$3),"")</f>
        <v>0</v>
      </c>
      <c r="AJ44" s="119" t="str">
        <f ca="1">IF(Configurações!$G$20="Ligado",IF(AI44&lt;=0,"Vazio",IF(Configurações!$G$18="Semana",IF(Configurações!$G$19="Contar",ENTRADAS!AI44/Configurações!$C$18,AI44/SUM(AK44:AN44)),AI44/A44)),"")</f>
        <v>Vazio</v>
      </c>
      <c r="AK44" s="70">
        <f t="shared" si="0"/>
        <v>0</v>
      </c>
      <c r="AL44" s="70">
        <f t="shared" si="1"/>
        <v>0</v>
      </c>
      <c r="AM44" s="70">
        <f t="shared" si="2"/>
        <v>0</v>
      </c>
      <c r="AN44" s="70">
        <f ca="1">IF(SUMIF($Y$4:$AH$4,"&lt;=" &amp; $AJ$3,ENTRADAS!Y44:AH44)&gt;0,1,0)</f>
        <v>0</v>
      </c>
      <c r="AO44" s="53"/>
    </row>
    <row r="45" spans="1:41" ht="21">
      <c r="A45" s="68">
        <f ca="1">COUNT(INDEX($C:$AH,ROW(),1):INDEX($C:$AH,ROW(),$AI$3+1))</f>
        <v>1</v>
      </c>
      <c r="B45" s="106" t="str">
        <f>INDEX(Cadastro_Mantimentos[[#All],[Colunas4]],MATCH(ROW()-5,Cadastro_Mantimentos[[#All],[Colunas2]],0))</f>
        <v>Chocolate Em Pó</v>
      </c>
      <c r="C45" s="193"/>
      <c r="D45" s="193"/>
      <c r="E45" s="193"/>
      <c r="F45" s="193"/>
      <c r="G45" s="193"/>
      <c r="H45" s="193"/>
      <c r="I45" s="193"/>
      <c r="J45" s="193"/>
      <c r="K45" s="193"/>
      <c r="L45" s="193">
        <v>2</v>
      </c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  <c r="AB45" s="193"/>
      <c r="AC45" s="193"/>
      <c r="AD45" s="193"/>
      <c r="AE45" s="193"/>
      <c r="AF45" s="193"/>
      <c r="AG45" s="193"/>
      <c r="AH45" s="193"/>
      <c r="AI45" s="114">
        <f ca="1">IF(Configurações!$G$10="Ligado",SUMIFS(C45:AH45,$C$4:$AH$4,"&lt;="&amp;Configurações!$C$5,$C$4:$AH$4,"&lt;="&amp;$AI$3),"")</f>
        <v>2</v>
      </c>
      <c r="AJ45" s="119">
        <f ca="1">IF(Configurações!$G$20="Ligado",IF(AI45&lt;=0,"Vazio",IF(Configurações!$G$18="Semana",IF(Configurações!$G$19="Contar",ENTRADAS!AI45/Configurações!$C$18,AI45/SUM(AK45:AN45)),AI45/A45)),"")</f>
        <v>2</v>
      </c>
      <c r="AK45" s="70">
        <f t="shared" si="0"/>
        <v>0</v>
      </c>
      <c r="AL45" s="70">
        <f t="shared" si="1"/>
        <v>1</v>
      </c>
      <c r="AM45" s="70">
        <f t="shared" si="2"/>
        <v>0</v>
      </c>
      <c r="AN45" s="70">
        <f ca="1">IF(SUMIF($Y$4:$AH$4,"&lt;=" &amp; $AJ$3,ENTRADAS!Y45:AH45)&gt;0,1,0)</f>
        <v>0</v>
      </c>
      <c r="AO45" s="53"/>
    </row>
    <row r="46" spans="1:41" ht="21">
      <c r="A46" s="68">
        <f ca="1">COUNT(INDEX($C:$AH,ROW(),1):INDEX($C:$AH,ROW(),$AI$3+1))</f>
        <v>0</v>
      </c>
      <c r="B46" s="106" t="str">
        <f>INDEX(Cadastro_Mantimentos[[#All],[Colunas4]],MATCH(ROW()-5,Cadastro_Mantimentos[[#All],[Colunas2]],0))</f>
        <v xml:space="preserve">Chocolate Granulado </v>
      </c>
      <c r="C46" s="193"/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3"/>
      <c r="AH46" s="193"/>
      <c r="AI46" s="114">
        <f ca="1">IF(Configurações!$G$10="Ligado",SUMIFS(C46:AH46,$C$4:$AH$4,"&lt;="&amp;Configurações!$C$5,$C$4:$AH$4,"&lt;="&amp;$AI$3),"")</f>
        <v>0</v>
      </c>
      <c r="AJ46" s="119" t="str">
        <f ca="1">IF(Configurações!$G$20="Ligado",IF(AI46&lt;=0,"Vazio",IF(Configurações!$G$18="Semana",IF(Configurações!$G$19="Contar",ENTRADAS!AI46/Configurações!$C$18,AI46/SUM(AK46:AN46)),AI46/A46)),"")</f>
        <v>Vazio</v>
      </c>
      <c r="AK46" s="70">
        <f t="shared" si="0"/>
        <v>0</v>
      </c>
      <c r="AL46" s="70">
        <f t="shared" si="1"/>
        <v>0</v>
      </c>
      <c r="AM46" s="70">
        <f t="shared" si="2"/>
        <v>0</v>
      </c>
      <c r="AN46" s="70">
        <f ca="1">IF(SUMIF($Y$4:$AH$4,"&lt;=" &amp; $AJ$3,ENTRADAS!Y46:AH46)&gt;0,1,0)</f>
        <v>0</v>
      </c>
      <c r="AO46" s="53"/>
    </row>
    <row r="47" spans="1:41" ht="21">
      <c r="A47" s="68">
        <f ca="1">COUNT(INDEX($C:$AH,ROW(),1):INDEX($C:$AH,ROW(),$AI$3+1))</f>
        <v>0</v>
      </c>
      <c r="B47" s="106" t="str">
        <f>INDEX(Cadastro_Mantimentos[[#All],[Colunas4]],MATCH(ROW()-5,Cadastro_Mantimentos[[#All],[Colunas2]],0))</f>
        <v xml:space="preserve">Coco Ralado </v>
      </c>
      <c r="C47" s="193"/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193"/>
      <c r="X47" s="193"/>
      <c r="Y47" s="193"/>
      <c r="Z47" s="193"/>
      <c r="AA47" s="193"/>
      <c r="AB47" s="193"/>
      <c r="AC47" s="193"/>
      <c r="AD47" s="193"/>
      <c r="AE47" s="193"/>
      <c r="AF47" s="193"/>
      <c r="AG47" s="193"/>
      <c r="AH47" s="193"/>
      <c r="AI47" s="114">
        <f ca="1">IF(Configurações!$G$10="Ligado",SUMIFS(C47:AH47,$C$4:$AH$4,"&lt;="&amp;Configurações!$C$5,$C$4:$AH$4,"&lt;="&amp;$AI$3),"")</f>
        <v>0</v>
      </c>
      <c r="AJ47" s="119" t="str">
        <f ca="1">IF(Configurações!$G$20="Ligado",IF(AI47&lt;=0,"Vazio",IF(Configurações!$G$18="Semana",IF(Configurações!$G$19="Contar",ENTRADAS!AI47/Configurações!$C$18,AI47/SUM(AK47:AN47)),AI47/A47)),"")</f>
        <v>Vazio</v>
      </c>
      <c r="AK47" s="70">
        <f t="shared" si="0"/>
        <v>0</v>
      </c>
      <c r="AL47" s="70">
        <f t="shared" si="1"/>
        <v>0</v>
      </c>
      <c r="AM47" s="70">
        <f t="shared" si="2"/>
        <v>0</v>
      </c>
      <c r="AN47" s="70">
        <f ca="1">IF(SUMIF($Y$4:$AH$4,"&lt;=" &amp; $AJ$3,ENTRADAS!Y47:AH47)&gt;0,1,0)</f>
        <v>0</v>
      </c>
      <c r="AO47" s="53"/>
    </row>
    <row r="48" spans="1:41" ht="21">
      <c r="A48" s="68">
        <f ca="1">COUNT(INDEX($C:$AH,ROW(),1):INDEX($C:$AH,ROW(),$AI$3+1))</f>
        <v>0</v>
      </c>
      <c r="B48" s="106" t="str">
        <f>INDEX(Cadastro_Mantimentos[[#All],[Colunas4]],MATCH(ROW()-5,Cadastro_Mantimentos[[#All],[Colunas2]],0))</f>
        <v>Coloral</v>
      </c>
      <c r="C48" s="193"/>
      <c r="D48" s="193"/>
      <c r="E48" s="193"/>
      <c r="F48" s="193"/>
      <c r="G48" s="193"/>
      <c r="H48" s="193"/>
      <c r="I48" s="193"/>
      <c r="J48" s="193"/>
      <c r="K48" s="193"/>
      <c r="L48" s="193"/>
      <c r="M48" s="193"/>
      <c r="N48" s="193"/>
      <c r="O48" s="193"/>
      <c r="P48" s="193"/>
      <c r="Q48" s="193"/>
      <c r="R48" s="193"/>
      <c r="S48" s="193"/>
      <c r="T48" s="193"/>
      <c r="U48" s="193"/>
      <c r="V48" s="193"/>
      <c r="W48" s="193"/>
      <c r="X48" s="193"/>
      <c r="Y48" s="193"/>
      <c r="Z48" s="193"/>
      <c r="AA48" s="193"/>
      <c r="AB48" s="193"/>
      <c r="AC48" s="193"/>
      <c r="AD48" s="193"/>
      <c r="AE48" s="193"/>
      <c r="AF48" s="193"/>
      <c r="AG48" s="193"/>
      <c r="AH48" s="193"/>
      <c r="AI48" s="114">
        <f ca="1">IF(Configurações!$G$10="Ligado",SUMIFS(C48:AH48,$C$4:$AH$4,"&lt;="&amp;Configurações!$C$5,$C$4:$AH$4,"&lt;="&amp;$AI$3),"")</f>
        <v>0</v>
      </c>
      <c r="AJ48" s="119" t="str">
        <f ca="1">IF(Configurações!$G$20="Ligado",IF(AI48&lt;=0,"Vazio",IF(Configurações!$G$18="Semana",IF(Configurações!$G$19="Contar",ENTRADAS!AI48/Configurações!$C$18,AI48/SUM(AK48:AN48)),AI48/A48)),"")</f>
        <v>Vazio</v>
      </c>
      <c r="AK48" s="70">
        <f t="shared" si="0"/>
        <v>0</v>
      </c>
      <c r="AL48" s="70">
        <f t="shared" si="1"/>
        <v>0</v>
      </c>
      <c r="AM48" s="70">
        <f t="shared" si="2"/>
        <v>0</v>
      </c>
      <c r="AN48" s="70">
        <f ca="1">IF(SUMIF($Y$4:$AH$4,"&lt;=" &amp; $AJ$3,ENTRADAS!Y48:AH48)&gt;0,1,0)</f>
        <v>0</v>
      </c>
      <c r="AO48" s="53"/>
    </row>
    <row r="49" spans="1:41" ht="21">
      <c r="A49" s="68">
        <f ca="1">COUNT(INDEX($C:$AH,ROW(),1):INDEX($C:$AH,ROW(),$AI$3+1))</f>
        <v>0</v>
      </c>
      <c r="B49" s="106" t="str">
        <f>INDEX(Cadastro_Mantimentos[[#All],[Colunas4]],MATCH(ROW()-5,Cadastro_Mantimentos[[#All],[Colunas2]],0))</f>
        <v>Cravo</v>
      </c>
      <c r="C49" s="193"/>
      <c r="D49" s="193"/>
      <c r="E49" s="193"/>
      <c r="F49" s="193"/>
      <c r="G49" s="193"/>
      <c r="H49" s="193"/>
      <c r="I49" s="193"/>
      <c r="J49" s="193"/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3"/>
      <c r="V49" s="193"/>
      <c r="W49" s="193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  <c r="AI49" s="114">
        <f ca="1">IF(Configurações!$G$10="Ligado",SUMIFS(C49:AH49,$C$4:$AH$4,"&lt;="&amp;Configurações!$C$5,$C$4:$AH$4,"&lt;="&amp;$AI$3),"")</f>
        <v>0</v>
      </c>
      <c r="AJ49" s="119" t="str">
        <f ca="1">IF(Configurações!$G$20="Ligado",IF(AI49&lt;=0,"Vazio",IF(Configurações!$G$18="Semana",IF(Configurações!$G$19="Contar",ENTRADAS!AI49/Configurações!$C$18,AI49/SUM(AK49:AN49)),AI49/A49)),"")</f>
        <v>Vazio</v>
      </c>
      <c r="AK49" s="70">
        <f t="shared" si="0"/>
        <v>0</v>
      </c>
      <c r="AL49" s="70">
        <f t="shared" si="1"/>
        <v>0</v>
      </c>
      <c r="AM49" s="70">
        <f t="shared" si="2"/>
        <v>0</v>
      </c>
      <c r="AN49" s="70">
        <f ca="1">IF(SUMIF($Y$4:$AH$4,"&lt;=" &amp; $AJ$3,ENTRADAS!Y49:AH49)&gt;0,1,0)</f>
        <v>0</v>
      </c>
      <c r="AO49" s="53"/>
    </row>
    <row r="50" spans="1:41" ht="21">
      <c r="A50" s="68">
        <f ca="1">COUNT(INDEX($C:$AH,ROW(),1):INDEX($C:$AH,ROW(),$AI$3+1))</f>
        <v>0</v>
      </c>
      <c r="B50" s="106" t="str">
        <f>INDEX(Cadastro_Mantimentos[[#All],[Colunas4]],MATCH(ROW()-5,Cadastro_Mantimentos[[#All],[Colunas2]],0))</f>
        <v>Creme Cebola</v>
      </c>
      <c r="C50" s="193"/>
      <c r="D50" s="193"/>
      <c r="E50" s="193"/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193"/>
      <c r="W50" s="193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  <c r="AI50" s="114">
        <f ca="1">IF(Configurações!$G$10="Ligado",SUMIFS(C50:AH50,$C$4:$AH$4,"&lt;="&amp;Configurações!$C$5,$C$4:$AH$4,"&lt;="&amp;$AI$3),"")</f>
        <v>0</v>
      </c>
      <c r="AJ50" s="119" t="str">
        <f ca="1">IF(Configurações!$G$20="Ligado",IF(AI50&lt;=0,"Vazio",IF(Configurações!$G$18="Semana",IF(Configurações!$G$19="Contar",ENTRADAS!AI50/Configurações!$C$18,AI50/SUM(AK50:AN50)),AI50/A50)),"")</f>
        <v>Vazio</v>
      </c>
      <c r="AK50" s="70">
        <f t="shared" si="0"/>
        <v>0</v>
      </c>
      <c r="AL50" s="70">
        <f t="shared" si="1"/>
        <v>0</v>
      </c>
      <c r="AM50" s="70">
        <f t="shared" si="2"/>
        <v>0</v>
      </c>
      <c r="AN50" s="70">
        <f ca="1">IF(SUMIF($Y$4:$AH$4,"&lt;=" &amp; $AJ$3,ENTRADAS!Y50:AH50)&gt;0,1,0)</f>
        <v>0</v>
      </c>
      <c r="AO50" s="53"/>
    </row>
    <row r="51" spans="1:41" ht="21">
      <c r="A51" s="68">
        <f ca="1">COUNT(INDEX($C:$AH,ROW(),1):INDEX($C:$AH,ROW(),$AI$3+1))</f>
        <v>1</v>
      </c>
      <c r="B51" s="106" t="str">
        <f>INDEX(Cadastro_Mantimentos[[#All],[Colunas4]],MATCH(ROW()-5,Cadastro_Mantimentos[[#All],[Colunas2]],0))</f>
        <v>Creme De Leite</v>
      </c>
      <c r="C51" s="193"/>
      <c r="D51" s="193"/>
      <c r="E51" s="193"/>
      <c r="F51" s="193"/>
      <c r="G51" s="193"/>
      <c r="H51" s="193"/>
      <c r="I51" s="193"/>
      <c r="J51" s="193"/>
      <c r="K51" s="193"/>
      <c r="L51" s="193">
        <v>1</v>
      </c>
      <c r="M51" s="193"/>
      <c r="N51" s="193"/>
      <c r="O51" s="193"/>
      <c r="P51" s="193"/>
      <c r="Q51" s="193"/>
      <c r="R51" s="193"/>
      <c r="S51" s="193"/>
      <c r="T51" s="193"/>
      <c r="U51" s="193"/>
      <c r="V51" s="193"/>
      <c r="W51" s="193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14">
        <f ca="1">IF(Configurações!$G$10="Ligado",SUMIFS(C51:AH51,$C$4:$AH$4,"&lt;="&amp;Configurações!$C$5,$C$4:$AH$4,"&lt;="&amp;$AI$3),"")</f>
        <v>1</v>
      </c>
      <c r="AJ51" s="119">
        <f ca="1">IF(Configurações!$G$20="Ligado",IF(AI51&lt;=0,"Vazio",IF(Configurações!$G$18="Semana",IF(Configurações!$G$19="Contar",ENTRADAS!AI51/Configurações!$C$18,AI51/SUM(AK51:AN51)),AI51/A51)),"")</f>
        <v>1</v>
      </c>
      <c r="AK51" s="70">
        <f t="shared" si="0"/>
        <v>0</v>
      </c>
      <c r="AL51" s="70">
        <f t="shared" si="1"/>
        <v>1</v>
      </c>
      <c r="AM51" s="70">
        <f t="shared" si="2"/>
        <v>0</v>
      </c>
      <c r="AN51" s="70">
        <f ca="1">IF(SUMIF($Y$4:$AH$4,"&lt;=" &amp; $AJ$3,ENTRADAS!Y51:AH51)&gt;0,1,0)</f>
        <v>0</v>
      </c>
      <c r="AO51" s="53"/>
    </row>
    <row r="52" spans="1:41" ht="21">
      <c r="A52" s="68">
        <f ca="1">COUNT(INDEX($C:$AH,ROW(),1):INDEX($C:$AH,ROW(),$AI$3+1))</f>
        <v>0</v>
      </c>
      <c r="B52" s="106" t="str">
        <f>INDEX(Cadastro_Mantimentos[[#All],[Colunas4]],MATCH(ROW()-5,Cadastro_Mantimentos[[#All],[Colunas2]],0))</f>
        <v>Curau</v>
      </c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14">
        <f ca="1">IF(Configurações!$G$10="Ligado",SUMIFS(C52:AH52,$C$4:$AH$4,"&lt;="&amp;Configurações!$C$5,$C$4:$AH$4,"&lt;="&amp;$AI$3),"")</f>
        <v>0</v>
      </c>
      <c r="AJ52" s="119" t="str">
        <f ca="1">IF(Configurações!$G$20="Ligado",IF(AI52&lt;=0,"Vazio",IF(Configurações!$G$18="Semana",IF(Configurações!$G$19="Contar",ENTRADAS!AI52/Configurações!$C$18,AI52/SUM(AK52:AN52)),AI52/A52)),"")</f>
        <v>Vazio</v>
      </c>
      <c r="AK52" s="70">
        <f t="shared" si="0"/>
        <v>0</v>
      </c>
      <c r="AL52" s="70">
        <f t="shared" si="1"/>
        <v>0</v>
      </c>
      <c r="AM52" s="70">
        <f t="shared" si="2"/>
        <v>0</v>
      </c>
      <c r="AN52" s="70">
        <f ca="1">IF(SUMIF($Y$4:$AH$4,"&lt;=" &amp; $AJ$3,ENTRADAS!Y52:AH52)&gt;0,1,0)</f>
        <v>0</v>
      </c>
      <c r="AO52" s="53"/>
    </row>
    <row r="53" spans="1:41" ht="21">
      <c r="A53" s="68">
        <f ca="1">COUNT(INDEX($C:$AH,ROW(),1):INDEX($C:$AH,ROW(),$AI$3+1))</f>
        <v>0</v>
      </c>
      <c r="B53" s="106" t="str">
        <f>INDEX(Cadastro_Mantimentos[[#All],[Colunas4]],MATCH(ROW()-5,Cadastro_Mantimentos[[#All],[Colunas2]],0))</f>
        <v>Doce De Leite</v>
      </c>
      <c r="C53" s="193"/>
      <c r="D53" s="193"/>
      <c r="E53" s="193"/>
      <c r="F53" s="193"/>
      <c r="G53" s="193"/>
      <c r="H53" s="193"/>
      <c r="I53" s="193"/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14">
        <f ca="1">IF(Configurações!$G$10="Ligado",SUMIFS(C53:AH53,$C$4:$AH$4,"&lt;="&amp;Configurações!$C$5,$C$4:$AH$4,"&lt;="&amp;$AI$3),"")</f>
        <v>0</v>
      </c>
      <c r="AJ53" s="119" t="str">
        <f ca="1">IF(Configurações!$G$20="Ligado",IF(AI53&lt;=0,"Vazio",IF(Configurações!$G$18="Semana",IF(Configurações!$G$19="Contar",ENTRADAS!AI53/Configurações!$C$18,AI53/SUM(AK53:AN53)),AI53/A53)),"")</f>
        <v>Vazio</v>
      </c>
      <c r="AK53" s="70">
        <f t="shared" si="0"/>
        <v>0</v>
      </c>
      <c r="AL53" s="70">
        <f t="shared" si="1"/>
        <v>0</v>
      </c>
      <c r="AM53" s="70">
        <f t="shared" si="2"/>
        <v>0</v>
      </c>
      <c r="AN53" s="70">
        <f ca="1">IF(SUMIF($Y$4:$AH$4,"&lt;=" &amp; $AJ$3,ENTRADAS!Y53:AH53)&gt;0,1,0)</f>
        <v>0</v>
      </c>
      <c r="AO53" s="53"/>
    </row>
    <row r="54" spans="1:41" ht="21">
      <c r="A54" s="68">
        <f ca="1">COUNT(INDEX($C:$AH,ROW(),1):INDEX($C:$AH,ROW(),$AI$3+1))</f>
        <v>0</v>
      </c>
      <c r="B54" s="106" t="str">
        <f>INDEX(Cadastro_Mantimentos[[#All],[Colunas4]],MATCH(ROW()-5,Cadastro_Mantimentos[[#All],[Colunas2]],0))</f>
        <v>Erva Doce</v>
      </c>
      <c r="C54" s="193"/>
      <c r="D54" s="193"/>
      <c r="E54" s="193"/>
      <c r="F54" s="193"/>
      <c r="G54" s="193"/>
      <c r="H54" s="193"/>
      <c r="I54" s="193"/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193"/>
      <c r="W54" s="193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14">
        <f ca="1">IF(Configurações!$G$10="Ligado",SUMIFS(C54:AH54,$C$4:$AH$4,"&lt;="&amp;Configurações!$C$5,$C$4:$AH$4,"&lt;="&amp;$AI$3),"")</f>
        <v>0</v>
      </c>
      <c r="AJ54" s="119" t="str">
        <f ca="1">IF(Configurações!$G$20="Ligado",IF(AI54&lt;=0,"Vazio",IF(Configurações!$G$18="Semana",IF(Configurações!$G$19="Contar",ENTRADAS!AI54/Configurações!$C$18,AI54/SUM(AK54:AN54)),AI54/A54)),"")</f>
        <v>Vazio</v>
      </c>
      <c r="AK54" s="70">
        <f t="shared" si="0"/>
        <v>0</v>
      </c>
      <c r="AL54" s="70">
        <f t="shared" si="1"/>
        <v>0</v>
      </c>
      <c r="AM54" s="70">
        <f t="shared" si="2"/>
        <v>0</v>
      </c>
      <c r="AN54" s="70">
        <f ca="1">IF(SUMIF($Y$4:$AH$4,"&lt;=" &amp; $AJ$3,ENTRADAS!Y54:AH54)&gt;0,1,0)</f>
        <v>0</v>
      </c>
      <c r="AO54" s="53"/>
    </row>
    <row r="55" spans="1:41" ht="21">
      <c r="A55" s="68">
        <f ca="1">COUNT(INDEX($C:$AH,ROW(),1):INDEX($C:$AH,ROW(),$AI$3+1))</f>
        <v>0</v>
      </c>
      <c r="B55" s="106" t="str">
        <f>INDEX(Cadastro_Mantimentos[[#All],[Colunas4]],MATCH(ROW()-5,Cadastro_Mantimentos[[#All],[Colunas2]],0))</f>
        <v xml:space="preserve">Ervilha Lata </v>
      </c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193"/>
      <c r="W55" s="193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14">
        <f ca="1">IF(Configurações!$G$10="Ligado",SUMIFS(C55:AH55,$C$4:$AH$4,"&lt;="&amp;Configurações!$C$5,$C$4:$AH$4,"&lt;="&amp;$AI$3),"")</f>
        <v>0</v>
      </c>
      <c r="AJ55" s="119" t="str">
        <f ca="1">IF(Configurações!$G$20="Ligado",IF(AI55&lt;=0,"Vazio",IF(Configurações!$G$18="Semana",IF(Configurações!$G$19="Contar",ENTRADAS!AI55/Configurações!$C$18,AI55/SUM(AK55:AN55)),AI55/A55)),"")</f>
        <v>Vazio</v>
      </c>
      <c r="AK55" s="70">
        <f t="shared" si="0"/>
        <v>0</v>
      </c>
      <c r="AL55" s="70">
        <f t="shared" si="1"/>
        <v>0</v>
      </c>
      <c r="AM55" s="70">
        <f t="shared" si="2"/>
        <v>0</v>
      </c>
      <c r="AN55" s="70">
        <f ca="1">IF(SUMIF($Y$4:$AH$4,"&lt;=" &amp; $AJ$3,ENTRADAS!Y55:AH55)&gt;0,1,0)</f>
        <v>0</v>
      </c>
      <c r="AO55" s="53"/>
    </row>
    <row r="56" spans="1:41" ht="21">
      <c r="A56" s="68">
        <f ca="1">COUNT(INDEX($C:$AH,ROW(),1):INDEX($C:$AH,ROW(),$AI$3+1))</f>
        <v>0</v>
      </c>
      <c r="B56" s="106" t="str">
        <f>INDEX(Cadastro_Mantimentos[[#All],[Colunas4]],MATCH(ROW()-5,Cadastro_Mantimentos[[#All],[Colunas2]],0))</f>
        <v xml:space="preserve">Ervilha Seca </v>
      </c>
      <c r="C56" s="193"/>
      <c r="D56" s="193"/>
      <c r="E56" s="193"/>
      <c r="F56" s="193"/>
      <c r="G56" s="193"/>
      <c r="H56" s="193"/>
      <c r="I56" s="193"/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  <c r="V56" s="193"/>
      <c r="W56" s="193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14">
        <f ca="1">IF(Configurações!$G$10="Ligado",SUMIFS(C56:AH56,$C$4:$AH$4,"&lt;="&amp;Configurações!$C$5,$C$4:$AH$4,"&lt;="&amp;$AI$3),"")</f>
        <v>0</v>
      </c>
      <c r="AJ56" s="119" t="str">
        <f ca="1">IF(Configurações!$G$20="Ligado",IF(AI56&lt;=0,"Vazio",IF(Configurações!$G$18="Semana",IF(Configurações!$G$19="Contar",ENTRADAS!AI56/Configurações!$C$18,AI56/SUM(AK56:AN56)),AI56/A56)),"")</f>
        <v>Vazio</v>
      </c>
      <c r="AK56" s="70">
        <f t="shared" si="0"/>
        <v>0</v>
      </c>
      <c r="AL56" s="70">
        <f t="shared" si="1"/>
        <v>0</v>
      </c>
      <c r="AM56" s="70">
        <f t="shared" si="2"/>
        <v>0</v>
      </c>
      <c r="AN56" s="70">
        <f ca="1">IF(SUMIF($Y$4:$AH$4,"&lt;=" &amp; $AJ$3,ENTRADAS!Y56:AH56)&gt;0,1,0)</f>
        <v>0</v>
      </c>
      <c r="AO56" s="53"/>
    </row>
    <row r="57" spans="1:41" ht="21">
      <c r="A57" s="68">
        <f ca="1">COUNT(INDEX($C:$AH,ROW(),1):INDEX($C:$AH,ROW(),$AI$3+1))</f>
        <v>0</v>
      </c>
      <c r="B57" s="106" t="str">
        <f>INDEX(Cadastro_Mantimentos[[#All],[Colunas4]],MATCH(ROW()-5,Cadastro_Mantimentos[[#All],[Colunas2]],0))</f>
        <v xml:space="preserve">Farinha De Mandioca </v>
      </c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  <c r="V57" s="193"/>
      <c r="W57" s="193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14">
        <f ca="1">IF(Configurações!$G$10="Ligado",SUMIFS(C57:AH57,$C$4:$AH$4,"&lt;="&amp;Configurações!$C$5,$C$4:$AH$4,"&lt;="&amp;$AI$3),"")</f>
        <v>0</v>
      </c>
      <c r="AJ57" s="119" t="str">
        <f ca="1">IF(Configurações!$G$20="Ligado",IF(AI57&lt;=0,"Vazio",IF(Configurações!$G$18="Semana",IF(Configurações!$G$19="Contar",ENTRADAS!AI57/Configurações!$C$18,AI57/SUM(AK57:AN57)),AI57/A57)),"")</f>
        <v>Vazio</v>
      </c>
      <c r="AK57" s="70">
        <f t="shared" si="0"/>
        <v>0</v>
      </c>
      <c r="AL57" s="70">
        <f t="shared" si="1"/>
        <v>0</v>
      </c>
      <c r="AM57" s="70">
        <f t="shared" si="2"/>
        <v>0</v>
      </c>
      <c r="AN57" s="70">
        <f ca="1">IF(SUMIF($Y$4:$AH$4,"&lt;=" &amp; $AJ$3,ENTRADAS!Y57:AH57)&gt;0,1,0)</f>
        <v>0</v>
      </c>
      <c r="AO57" s="53"/>
    </row>
    <row r="58" spans="1:41" ht="21">
      <c r="A58" s="68">
        <f ca="1">COUNT(INDEX($C:$AH,ROW(),1):INDEX($C:$AH,ROW(),$AI$3+1))</f>
        <v>1</v>
      </c>
      <c r="B58" s="106" t="str">
        <f>INDEX(Cadastro_Mantimentos[[#All],[Colunas4]],MATCH(ROW()-5,Cadastro_Mantimentos[[#All],[Colunas2]],0))</f>
        <v>Farinha De Milho</v>
      </c>
      <c r="C58" s="193"/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>
        <v>6</v>
      </c>
      <c r="V58" s="193"/>
      <c r="W58" s="193"/>
      <c r="X58" s="193"/>
      <c r="Y58" s="193"/>
      <c r="Z58" s="193"/>
      <c r="AA58" s="193"/>
      <c r="AB58" s="193"/>
      <c r="AC58" s="193"/>
      <c r="AD58" s="193"/>
      <c r="AE58" s="193"/>
      <c r="AF58" s="193"/>
      <c r="AG58" s="193"/>
      <c r="AH58" s="193"/>
      <c r="AI58" s="114">
        <f ca="1">IF(Configurações!$G$10="Ligado",SUMIFS(C58:AH58,$C$4:$AH$4,"&lt;="&amp;Configurações!$C$5,$C$4:$AH$4,"&lt;="&amp;$AI$3),"")</f>
        <v>6</v>
      </c>
      <c r="AJ58" s="119">
        <f ca="1">IF(Configurações!$G$20="Ligado",IF(AI58&lt;=0,"Vazio",IF(Configurações!$G$18="Semana",IF(Configurações!$G$19="Contar",ENTRADAS!AI58/Configurações!$C$18,AI58/SUM(AK58:AN58)),AI58/A58)),"")</f>
        <v>6</v>
      </c>
      <c r="AK58" s="70">
        <f t="shared" si="0"/>
        <v>0</v>
      </c>
      <c r="AL58" s="70">
        <f t="shared" si="1"/>
        <v>0</v>
      </c>
      <c r="AM58" s="70">
        <f t="shared" si="2"/>
        <v>1</v>
      </c>
      <c r="AN58" s="70">
        <f ca="1">IF(SUMIF($Y$4:$AH$4,"&lt;=" &amp; $AJ$3,ENTRADAS!Y58:AH58)&gt;0,1,0)</f>
        <v>0</v>
      </c>
      <c r="AO58" s="53"/>
    </row>
    <row r="59" spans="1:41" ht="21">
      <c r="A59" s="68">
        <f ca="1">COUNT(INDEX($C:$AH,ROW(),1):INDEX($C:$AH,ROW(),$AI$3+1))</f>
        <v>0</v>
      </c>
      <c r="B59" s="106" t="str">
        <f>INDEX(Cadastro_Mantimentos[[#All],[Colunas4]],MATCH(ROW()-5,Cadastro_Mantimentos[[#All],[Colunas2]],0))</f>
        <v xml:space="preserve">Farinha De Rosca </v>
      </c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  <c r="V59" s="193"/>
      <c r="W59" s="193"/>
      <c r="X59" s="193"/>
      <c r="Y59" s="193"/>
      <c r="Z59" s="193"/>
      <c r="AA59" s="193"/>
      <c r="AB59" s="193"/>
      <c r="AC59" s="193"/>
      <c r="AD59" s="193"/>
      <c r="AE59" s="193"/>
      <c r="AF59" s="193"/>
      <c r="AG59" s="193"/>
      <c r="AH59" s="193"/>
      <c r="AI59" s="114">
        <f ca="1">IF(Configurações!$G$10="Ligado",SUMIFS(C59:AH59,$C$4:$AH$4,"&lt;="&amp;Configurações!$C$5,$C$4:$AH$4,"&lt;="&amp;$AI$3),"")</f>
        <v>0</v>
      </c>
      <c r="AJ59" s="119" t="str">
        <f ca="1">IF(Configurações!$G$20="Ligado",IF(AI59&lt;=0,"Vazio",IF(Configurações!$G$18="Semana",IF(Configurações!$G$19="Contar",ENTRADAS!AI59/Configurações!$C$18,AI59/SUM(AK59:AN59)),AI59/A59)),"")</f>
        <v>Vazio</v>
      </c>
      <c r="AK59" s="70">
        <f t="shared" si="0"/>
        <v>0</v>
      </c>
      <c r="AL59" s="70">
        <f t="shared" si="1"/>
        <v>0</v>
      </c>
      <c r="AM59" s="70">
        <f t="shared" si="2"/>
        <v>0</v>
      </c>
      <c r="AN59" s="70">
        <f ca="1">IF(SUMIF($Y$4:$AH$4,"&lt;=" &amp; $AJ$3,ENTRADAS!Y59:AH59)&gt;0,1,0)</f>
        <v>0</v>
      </c>
      <c r="AO59" s="53"/>
    </row>
    <row r="60" spans="1:41" ht="21">
      <c r="A60" s="68">
        <f ca="1">COUNT(INDEX($C:$AH,ROW(),1):INDEX($C:$AH,ROW(),$AI$3+1))</f>
        <v>2</v>
      </c>
      <c r="B60" s="106" t="str">
        <f>INDEX(Cadastro_Mantimentos[[#All],[Colunas4]],MATCH(ROW()-5,Cadastro_Mantimentos[[#All],[Colunas2]],0))</f>
        <v>Farinha De Trigo</v>
      </c>
      <c r="C60" s="193"/>
      <c r="D60" s="193"/>
      <c r="E60" s="193"/>
      <c r="F60" s="193"/>
      <c r="G60" s="193"/>
      <c r="H60" s="193"/>
      <c r="I60" s="193"/>
      <c r="J60" s="193"/>
      <c r="K60" s="193"/>
      <c r="L60" s="193">
        <f>25</f>
        <v>25</v>
      </c>
      <c r="M60" s="193"/>
      <c r="N60" s="193"/>
      <c r="O60" s="193"/>
      <c r="P60" s="193"/>
      <c r="Q60" s="193"/>
      <c r="R60" s="193"/>
      <c r="S60" s="193">
        <v>25</v>
      </c>
      <c r="T60" s="193"/>
      <c r="U60" s="193"/>
      <c r="V60" s="193"/>
      <c r="W60" s="193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  <c r="AI60" s="114">
        <f ca="1">IF(Configurações!$G$10="Ligado",SUMIFS(C60:AH60,$C$4:$AH$4,"&lt;="&amp;Configurações!$C$5,$C$4:$AH$4,"&lt;="&amp;$AI$3),"")</f>
        <v>50</v>
      </c>
      <c r="AJ60" s="119">
        <f ca="1">IF(Configurações!$G$20="Ligado",IF(AI60&lt;=0,"Vazio",IF(Configurações!$G$18="Semana",IF(Configurações!$G$19="Contar",ENTRADAS!AI60/Configurações!$C$18,AI60/SUM(AK60:AN60)),AI60/A60)),"")</f>
        <v>25</v>
      </c>
      <c r="AK60" s="70">
        <f t="shared" si="0"/>
        <v>0</v>
      </c>
      <c r="AL60" s="70">
        <f t="shared" si="1"/>
        <v>1</v>
      </c>
      <c r="AM60" s="70">
        <f t="shared" si="2"/>
        <v>1</v>
      </c>
      <c r="AN60" s="70">
        <f ca="1">IF(SUMIF($Y$4:$AH$4,"&lt;=" &amp; $AJ$3,ENTRADAS!Y60:AH60)&gt;0,1,0)</f>
        <v>0</v>
      </c>
    </row>
    <row r="61" spans="1:41" ht="21">
      <c r="A61" s="68">
        <f ca="1">COUNT(INDEX($C:$AH,ROW(),1):INDEX($C:$AH,ROW(),$AI$3+1))</f>
        <v>2</v>
      </c>
      <c r="B61" s="106" t="str">
        <f>INDEX(Cadastro_Mantimentos[[#All],[Colunas4]],MATCH(ROW()-5,Cadastro_Mantimentos[[#All],[Colunas2]],0))</f>
        <v>Feijão Carioca Camil</v>
      </c>
      <c r="C61" s="193"/>
      <c r="D61" s="193"/>
      <c r="E61" s="193"/>
      <c r="F61" s="193"/>
      <c r="G61" s="193"/>
      <c r="H61" s="193"/>
      <c r="I61" s="193"/>
      <c r="J61" s="193"/>
      <c r="K61" s="193"/>
      <c r="L61" s="193">
        <v>20</v>
      </c>
      <c r="M61" s="193"/>
      <c r="N61" s="193"/>
      <c r="O61" s="193"/>
      <c r="P61" s="193"/>
      <c r="Q61" s="193"/>
      <c r="R61" s="193"/>
      <c r="S61" s="193">
        <v>10</v>
      </c>
      <c r="T61" s="193"/>
      <c r="U61" s="193"/>
      <c r="V61" s="193"/>
      <c r="W61" s="193"/>
      <c r="X61" s="193"/>
      <c r="Y61" s="193"/>
      <c r="Z61" s="193"/>
      <c r="AA61" s="193"/>
      <c r="AB61" s="193"/>
      <c r="AC61" s="193"/>
      <c r="AD61" s="193"/>
      <c r="AE61" s="193"/>
      <c r="AF61" s="193"/>
      <c r="AG61" s="193"/>
      <c r="AH61" s="193"/>
      <c r="AI61" s="114">
        <f ca="1">IF(Configurações!$G$10="Ligado",SUMIFS(C61:AH61,$C$4:$AH$4,"&lt;="&amp;Configurações!$C$5,$C$4:$AH$4,"&lt;="&amp;$AI$3),"")</f>
        <v>30</v>
      </c>
      <c r="AJ61" s="119">
        <f ca="1">IF(Configurações!$G$20="Ligado",IF(AI61&lt;=0,"Vazio",IF(Configurações!$G$18="Semana",IF(Configurações!$G$19="Contar",ENTRADAS!AI61/Configurações!$C$18,AI61/SUM(AK61:AN61)),AI61/A61)),"")</f>
        <v>15</v>
      </c>
      <c r="AK61" s="70">
        <f t="shared" si="0"/>
        <v>0</v>
      </c>
      <c r="AL61" s="70">
        <f t="shared" si="1"/>
        <v>1</v>
      </c>
      <c r="AM61" s="70">
        <f t="shared" si="2"/>
        <v>1</v>
      </c>
      <c r="AN61" s="70">
        <f ca="1">IF(SUMIF($Y$4:$AH$4,"&lt;=" &amp; $AJ$3,ENTRADAS!Y61:AH61)&gt;0,1,0)</f>
        <v>0</v>
      </c>
    </row>
    <row r="62" spans="1:41" ht="21">
      <c r="A62" s="68">
        <f ca="1">COUNT(INDEX($C:$AH,ROW(),1):INDEX($C:$AH,ROW(),$AI$3+1))</f>
        <v>2</v>
      </c>
      <c r="B62" s="106" t="str">
        <f>INDEX(Cadastro_Mantimentos[[#All],[Colunas4]],MATCH(ROW()-5,Cadastro_Mantimentos[[#All],[Colunas2]],0))</f>
        <v xml:space="preserve">Feijão Preto </v>
      </c>
      <c r="C62" s="193"/>
      <c r="D62" s="193"/>
      <c r="E62" s="193"/>
      <c r="F62" s="193"/>
      <c r="G62" s="193"/>
      <c r="H62" s="193"/>
      <c r="I62" s="193"/>
      <c r="J62" s="193"/>
      <c r="K62" s="193"/>
      <c r="L62" s="193">
        <v>10</v>
      </c>
      <c r="M62" s="193"/>
      <c r="N62" s="193"/>
      <c r="O62" s="193"/>
      <c r="P62" s="193"/>
      <c r="Q62" s="193"/>
      <c r="R62" s="193"/>
      <c r="S62" s="193">
        <v>10</v>
      </c>
      <c r="T62" s="193"/>
      <c r="U62" s="193"/>
      <c r="V62" s="193"/>
      <c r="W62" s="193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14">
        <f ca="1">IF(Configurações!$G$10="Ligado",SUMIFS(C62:AH62,$C$4:$AH$4,"&lt;="&amp;Configurações!$C$5,$C$4:$AH$4,"&lt;="&amp;$AI$3),"")</f>
        <v>20</v>
      </c>
      <c r="AJ62" s="119">
        <f ca="1">IF(Configurações!$G$20="Ligado",IF(AI62&lt;=0,"Vazio",IF(Configurações!$G$18="Semana",IF(Configurações!$G$19="Contar",ENTRADAS!AI62/Configurações!$C$18,AI62/SUM(AK62:AN62)),AI62/A62)),"")</f>
        <v>10</v>
      </c>
      <c r="AK62" s="70">
        <f t="shared" si="0"/>
        <v>0</v>
      </c>
      <c r="AL62" s="70">
        <f t="shared" si="1"/>
        <v>1</v>
      </c>
      <c r="AM62" s="70">
        <f t="shared" si="2"/>
        <v>1</v>
      </c>
      <c r="AN62" s="70">
        <f ca="1">IF(SUMIF($Y$4:$AH$4,"&lt;=" &amp; $AJ$3,ENTRADAS!Y62:AH62)&gt;0,1,0)</f>
        <v>0</v>
      </c>
    </row>
    <row r="63" spans="1:41" ht="21">
      <c r="A63" s="68">
        <f ca="1">COUNT(INDEX($C:$AH,ROW(),1):INDEX($C:$AH,ROW(),$AI$3+1))</f>
        <v>0</v>
      </c>
      <c r="B63" s="106" t="str">
        <f>INDEX(Cadastro_Mantimentos[[#All],[Colunas4]],MATCH(ROW()-5,Cadastro_Mantimentos[[#All],[Colunas2]],0))</f>
        <v xml:space="preserve">Fermento </v>
      </c>
      <c r="C63" s="193"/>
      <c r="D63" s="193"/>
      <c r="E63" s="193"/>
      <c r="F63" s="193"/>
      <c r="G63" s="193"/>
      <c r="H63" s="193"/>
      <c r="I63" s="193"/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14">
        <f ca="1">IF(Configurações!$G$10="Ligado",SUMIFS(C63:AH63,$C$4:$AH$4,"&lt;="&amp;Configurações!$C$5,$C$4:$AH$4,"&lt;="&amp;$AI$3),"")</f>
        <v>0</v>
      </c>
      <c r="AJ63" s="119" t="str">
        <f ca="1">IF(Configurações!$G$20="Ligado",IF(AI63&lt;=0,"Vazio",IF(Configurações!$G$18="Semana",IF(Configurações!$G$19="Contar",ENTRADAS!AI63/Configurações!$C$18,AI63/SUM(AK63:AN63)),AI63/A63)),"")</f>
        <v>Vazio</v>
      </c>
      <c r="AK63" s="70">
        <f t="shared" si="0"/>
        <v>0</v>
      </c>
      <c r="AL63" s="70">
        <f t="shared" si="1"/>
        <v>0</v>
      </c>
      <c r="AM63" s="70">
        <f t="shared" si="2"/>
        <v>0</v>
      </c>
      <c r="AN63" s="70">
        <f ca="1">IF(SUMIF($Y$4:$AH$4,"&lt;=" &amp; $AJ$3,ENTRADAS!Y63:AH63)&gt;0,1,0)</f>
        <v>0</v>
      </c>
    </row>
    <row r="64" spans="1:41" ht="21">
      <c r="A64" s="68">
        <f ca="1">COUNT(INDEX($C:$AH,ROW(),1):INDEX($C:$AH,ROW(),$AI$3+1))</f>
        <v>1</v>
      </c>
      <c r="B64" s="106" t="str">
        <f>INDEX(Cadastro_Mantimentos[[#All],[Colunas4]],MATCH(ROW()-5,Cadastro_Mantimentos[[#All],[Colunas2]],0))</f>
        <v>Figo Em Calda</v>
      </c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/>
      <c r="U64" s="193">
        <v>5</v>
      </c>
      <c r="V64" s="193"/>
      <c r="W64" s="193"/>
      <c r="X64" s="193"/>
      <c r="Y64" s="193"/>
      <c r="Z64" s="193"/>
      <c r="AA64" s="193"/>
      <c r="AB64" s="193"/>
      <c r="AC64" s="193"/>
      <c r="AD64" s="193"/>
      <c r="AE64" s="193"/>
      <c r="AF64" s="193"/>
      <c r="AG64" s="193"/>
      <c r="AH64" s="193"/>
      <c r="AI64" s="114">
        <f ca="1">IF(Configurações!$G$10="Ligado",SUMIFS(C64:AH64,$C$4:$AH$4,"&lt;="&amp;Configurações!$C$5,$C$4:$AH$4,"&lt;="&amp;$AI$3),"")</f>
        <v>5</v>
      </c>
      <c r="AJ64" s="119">
        <f ca="1">IF(Configurações!$G$20="Ligado",IF(AI64&lt;=0,"Vazio",IF(Configurações!$G$18="Semana",IF(Configurações!$G$19="Contar",ENTRADAS!AI64/Configurações!$C$18,AI64/SUM(AK64:AN64)),AI64/A64)),"")</f>
        <v>5</v>
      </c>
      <c r="AK64" s="70">
        <f t="shared" si="0"/>
        <v>0</v>
      </c>
      <c r="AL64" s="70">
        <f t="shared" si="1"/>
        <v>0</v>
      </c>
      <c r="AM64" s="70">
        <f t="shared" si="2"/>
        <v>1</v>
      </c>
      <c r="AN64" s="70">
        <f ca="1">IF(SUMIF($Y$4:$AH$4,"&lt;=" &amp; $AJ$3,ENTRADAS!Y64:AH64)&gt;0,1,0)</f>
        <v>0</v>
      </c>
    </row>
    <row r="65" spans="1:40" ht="21">
      <c r="A65" s="68">
        <f ca="1">COUNT(INDEX($C:$AH,ROW(),1):INDEX($C:$AH,ROW(),$AI$3+1))</f>
        <v>0</v>
      </c>
      <c r="B65" s="106" t="str">
        <f>INDEX(Cadastro_Mantimentos[[#All],[Colunas4]],MATCH(ROW()-5,Cadastro_Mantimentos[[#All],[Colunas2]],0))</f>
        <v>Flan Baunilha</v>
      </c>
      <c r="C65" s="193"/>
      <c r="D65" s="193"/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14">
        <f ca="1">IF(Configurações!$G$10="Ligado",SUMIFS(C65:AH65,$C$4:$AH$4,"&lt;="&amp;Configurações!$C$5,$C$4:$AH$4,"&lt;="&amp;$AI$3),"")</f>
        <v>0</v>
      </c>
      <c r="AJ65" s="119" t="str">
        <f ca="1">IF(Configurações!$G$20="Ligado",IF(AI65&lt;=0,"Vazio",IF(Configurações!$G$18="Semana",IF(Configurações!$G$19="Contar",ENTRADAS!AI65/Configurações!$C$18,AI65/SUM(AK65:AN65)),AI65/A65)),"")</f>
        <v>Vazio</v>
      </c>
      <c r="AK65" s="70">
        <f t="shared" si="0"/>
        <v>0</v>
      </c>
      <c r="AL65" s="70">
        <f t="shared" si="1"/>
        <v>0</v>
      </c>
      <c r="AM65" s="70">
        <f t="shared" si="2"/>
        <v>0</v>
      </c>
      <c r="AN65" s="70">
        <f ca="1">IF(SUMIF($Y$4:$AH$4,"&lt;=" &amp; $AJ$3,ENTRADAS!Y65:AH65)&gt;0,1,0)</f>
        <v>0</v>
      </c>
    </row>
    <row r="66" spans="1:40" ht="21">
      <c r="A66" s="68">
        <f ca="1">COUNT(INDEX($C:$AH,ROW(),1):INDEX($C:$AH,ROW(),$AI$3+1))</f>
        <v>0</v>
      </c>
      <c r="B66" s="106" t="str">
        <f>INDEX(Cadastro_Mantimentos[[#All],[Colunas4]],MATCH(ROW()-5,Cadastro_Mantimentos[[#All],[Colunas2]],0))</f>
        <v xml:space="preserve">Fubá </v>
      </c>
      <c r="C66" s="193"/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  <c r="W66" s="193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14">
        <f ca="1">IF(Configurações!$G$10="Ligado",SUMIFS(C66:AH66,$C$4:$AH$4,"&lt;="&amp;Configurações!$C$5,$C$4:$AH$4,"&lt;="&amp;$AI$3),"")</f>
        <v>0</v>
      </c>
      <c r="AJ66" s="119" t="str">
        <f ca="1">IF(Configurações!$G$20="Ligado",IF(AI66&lt;=0,"Vazio",IF(Configurações!$G$18="Semana",IF(Configurações!$G$19="Contar",ENTRADAS!AI66/Configurações!$C$18,AI66/SUM(AK66:AN66)),AI66/A66)),"")</f>
        <v>Vazio</v>
      </c>
      <c r="AK66" s="70">
        <f t="shared" si="0"/>
        <v>0</v>
      </c>
      <c r="AL66" s="70">
        <f t="shared" si="1"/>
        <v>0</v>
      </c>
      <c r="AM66" s="70">
        <f t="shared" si="2"/>
        <v>0</v>
      </c>
      <c r="AN66" s="70">
        <f ca="1">IF(SUMIF($Y$4:$AH$4,"&lt;=" &amp; $AJ$3,ENTRADAS!Y66:AH66)&gt;0,1,0)</f>
        <v>0</v>
      </c>
    </row>
    <row r="67" spans="1:40" ht="21">
      <c r="A67" s="68">
        <f ca="1">COUNT(INDEX($C:$AH,ROW(),1):INDEX($C:$AH,ROW(),$AI$3+1))</f>
        <v>0</v>
      </c>
      <c r="B67" s="106" t="str">
        <f>INDEX(Cadastro_Mantimentos[[#All],[Colunas4]],MATCH(ROW()-5,Cadastro_Mantimentos[[#All],[Colunas2]],0))</f>
        <v>Gelatina</v>
      </c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14">
        <f ca="1">IF(Configurações!$G$10="Ligado",SUMIFS(C67:AH67,$C$4:$AH$4,"&lt;="&amp;Configurações!$C$5,$C$4:$AH$4,"&lt;="&amp;$AI$3),"")</f>
        <v>0</v>
      </c>
      <c r="AJ67" s="119" t="str">
        <f ca="1">IF(Configurações!$G$20="Ligado",IF(AI67&lt;=0,"Vazio",IF(Configurações!$G$18="Semana",IF(Configurações!$G$19="Contar",ENTRADAS!AI67/Configurações!$C$18,AI67/SUM(AK67:AN67)),AI67/A67)),"")</f>
        <v>Vazio</v>
      </c>
      <c r="AK67" s="70">
        <f t="shared" si="0"/>
        <v>0</v>
      </c>
      <c r="AL67" s="70">
        <f t="shared" si="1"/>
        <v>0</v>
      </c>
      <c r="AM67" s="70">
        <f t="shared" si="2"/>
        <v>0</v>
      </c>
      <c r="AN67" s="70">
        <f ca="1">IF(SUMIF($Y$4:$AH$4,"&lt;=" &amp; $AJ$3,ENTRADAS!Y67:AH67)&gt;0,1,0)</f>
        <v>0</v>
      </c>
    </row>
    <row r="68" spans="1:40" ht="21">
      <c r="A68" s="68">
        <f ca="1">COUNT(INDEX($C:$AH,ROW(),1):INDEX($C:$AH,ROW(),$AI$3+1))</f>
        <v>0</v>
      </c>
      <c r="B68" s="106" t="str">
        <f>INDEX(Cadastro_Mantimentos[[#All],[Colunas4]],MATCH(ROW()-5,Cadastro_Mantimentos[[#All],[Colunas2]],0))</f>
        <v>Gelatina  Abacaxi</v>
      </c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14">
        <f ca="1">IF(Configurações!$G$10="Ligado",SUMIFS(C68:AH68,$C$4:$AH$4,"&lt;="&amp;Configurações!$C$5,$C$4:$AH$4,"&lt;="&amp;$AI$3),"")</f>
        <v>0</v>
      </c>
      <c r="AJ68" s="119" t="str">
        <f ca="1">IF(Configurações!$G$20="Ligado",IF(AI68&lt;=0,"Vazio",IF(Configurações!$G$18="Semana",IF(Configurações!$G$19="Contar",ENTRADAS!AI68/Configurações!$C$18,AI68/SUM(AK68:AN68)),AI68/A68)),"")</f>
        <v>Vazio</v>
      </c>
      <c r="AK68" s="70">
        <f t="shared" si="0"/>
        <v>0</v>
      </c>
      <c r="AL68" s="70">
        <f t="shared" si="1"/>
        <v>0</v>
      </c>
      <c r="AM68" s="70">
        <f t="shared" si="2"/>
        <v>0</v>
      </c>
      <c r="AN68" s="70">
        <f ca="1">IF(SUMIF($Y$4:$AH$4,"&lt;=" &amp; $AJ$3,ENTRADAS!Y68:AH68)&gt;0,1,0)</f>
        <v>0</v>
      </c>
    </row>
    <row r="69" spans="1:40" ht="21">
      <c r="A69" s="68">
        <f ca="1">COUNT(INDEX($C:$AH,ROW(),1):INDEX($C:$AH,ROW(),$AI$3+1))</f>
        <v>0</v>
      </c>
      <c r="B69" s="106" t="str">
        <f>INDEX(Cadastro_Mantimentos[[#All],[Colunas4]],MATCH(ROW()-5,Cadastro_Mantimentos[[#All],[Colunas2]],0))</f>
        <v>Gelatina  Cereja</v>
      </c>
      <c r="C69" s="193"/>
      <c r="D69" s="193"/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  <c r="V69" s="193"/>
      <c r="W69" s="193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14">
        <f ca="1">IF(Configurações!$G$10="Ligado",SUMIFS(C69:AH69,$C$4:$AH$4,"&lt;="&amp;Configurações!$C$5,$C$4:$AH$4,"&lt;="&amp;$AI$3),"")</f>
        <v>0</v>
      </c>
      <c r="AJ69" s="119" t="str">
        <f ca="1">IF(Configurações!$G$20="Ligado",IF(AI69&lt;=0,"Vazio",IF(Configurações!$G$18="Semana",IF(Configurações!$G$19="Contar",ENTRADAS!AI69/Configurações!$C$18,AI69/SUM(AK69:AN69)),AI69/A69)),"")</f>
        <v>Vazio</v>
      </c>
      <c r="AK69" s="70">
        <f t="shared" si="0"/>
        <v>0</v>
      </c>
      <c r="AL69" s="70">
        <f t="shared" si="1"/>
        <v>0</v>
      </c>
      <c r="AM69" s="70">
        <f t="shared" si="2"/>
        <v>0</v>
      </c>
      <c r="AN69" s="70">
        <f ca="1">IF(SUMIF($Y$4:$AH$4,"&lt;=" &amp; $AJ$3,ENTRADAS!Y69:AH69)&gt;0,1,0)</f>
        <v>0</v>
      </c>
    </row>
    <row r="70" spans="1:40" ht="21">
      <c r="A70" s="68">
        <f ca="1">COUNT(INDEX($C:$AH,ROW(),1):INDEX($C:$AH,ROW(),$AI$3+1))</f>
        <v>0</v>
      </c>
      <c r="B70" s="106" t="str">
        <f>INDEX(Cadastro_Mantimentos[[#All],[Colunas4]],MATCH(ROW()-5,Cadastro_Mantimentos[[#All],[Colunas2]],0))</f>
        <v>Gelatina  Framboesa</v>
      </c>
      <c r="C70" s="193"/>
      <c r="D70" s="193"/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193"/>
      <c r="AA70" s="193"/>
      <c r="AB70" s="193"/>
      <c r="AC70" s="193"/>
      <c r="AD70" s="193"/>
      <c r="AE70" s="193"/>
      <c r="AF70" s="193"/>
      <c r="AG70" s="193"/>
      <c r="AH70" s="193"/>
      <c r="AI70" s="114">
        <f ca="1">IF(Configurações!$G$10="Ligado",SUMIFS(C70:AH70,$C$4:$AH$4,"&lt;="&amp;Configurações!$C$5,$C$4:$AH$4,"&lt;="&amp;$AI$3),"")</f>
        <v>0</v>
      </c>
      <c r="AJ70" s="119" t="str">
        <f ca="1">IF(Configurações!$G$20="Ligado",IF(AI70&lt;=0,"Vazio",IF(Configurações!$G$18="Semana",IF(Configurações!$G$19="Contar",ENTRADAS!AI70/Configurações!$C$18,AI70/SUM(AK70:AN70)),AI70/A70)),"")</f>
        <v>Vazio</v>
      </c>
      <c r="AK70" s="70">
        <f t="shared" si="0"/>
        <v>0</v>
      </c>
      <c r="AL70" s="70">
        <f t="shared" si="1"/>
        <v>0</v>
      </c>
      <c r="AM70" s="70">
        <f t="shared" si="2"/>
        <v>0</v>
      </c>
      <c r="AN70" s="70">
        <f ca="1">IF(SUMIF($Y$4:$AH$4,"&lt;=" &amp; $AJ$3,ENTRADAS!Y70:AH70)&gt;0,1,0)</f>
        <v>0</v>
      </c>
    </row>
    <row r="71" spans="1:40" ht="21">
      <c r="A71" s="68">
        <f ca="1">COUNT(INDEX($C:$AH,ROW(),1):INDEX($C:$AH,ROW(),$AI$3+1))</f>
        <v>0</v>
      </c>
      <c r="B71" s="106" t="str">
        <f>INDEX(Cadastro_Mantimentos[[#All],[Colunas4]],MATCH(ROW()-5,Cadastro_Mantimentos[[#All],[Colunas2]],0))</f>
        <v>Gelatina  Limão</v>
      </c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  <c r="V71" s="193"/>
      <c r="W71" s="193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14">
        <f ca="1">IF(Configurações!$G$10="Ligado",SUMIFS(C71:AH71,$C$4:$AH$4,"&lt;="&amp;Configurações!$C$5,$C$4:$AH$4,"&lt;="&amp;$AI$3),"")</f>
        <v>0</v>
      </c>
      <c r="AJ71" s="119" t="str">
        <f ca="1">IF(Configurações!$G$20="Ligado",IF(AI71&lt;=0,"Vazio",IF(Configurações!$G$18="Semana",IF(Configurações!$G$19="Contar",ENTRADAS!AI71/Configurações!$C$18,AI71/SUM(AK71:AN71)),AI71/A71)),"")</f>
        <v>Vazio</v>
      </c>
      <c r="AK71" s="70">
        <f t="shared" ref="AK71:AK134" si="3">IF(SUM(C71:J71)&gt;0,1,0)</f>
        <v>0</v>
      </c>
      <c r="AL71" s="70">
        <f t="shared" ref="AL71:AL134" si="4">IF(SUM(K71:Q71)&gt;0,1,0)</f>
        <v>0</v>
      </c>
      <c r="AM71" s="70">
        <f t="shared" ref="AM71:AM134" si="5">IF(SUM(R71:X71)&gt;0,1,0)</f>
        <v>0</v>
      </c>
      <c r="AN71" s="70">
        <f ca="1">IF(SUMIF($Y$4:$AH$4,"&lt;=" &amp; $AJ$3,ENTRADAS!Y71:AH71)&gt;0,1,0)</f>
        <v>0</v>
      </c>
    </row>
    <row r="72" spans="1:40" ht="21">
      <c r="A72" s="68">
        <f ca="1">COUNT(INDEX($C:$AH,ROW(),1):INDEX($C:$AH,ROW(),$AI$3+1))</f>
        <v>0</v>
      </c>
      <c r="B72" s="106" t="str">
        <f>INDEX(Cadastro_Mantimentos[[#All],[Colunas4]],MATCH(ROW()-5,Cadastro_Mantimentos[[#All],[Colunas2]],0))</f>
        <v>Gelatina  Morango</v>
      </c>
      <c r="C72" s="193"/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  <c r="P72" s="193"/>
      <c r="Q72" s="193"/>
      <c r="R72" s="193"/>
      <c r="S72" s="193"/>
      <c r="T72" s="193"/>
      <c r="U72" s="193"/>
      <c r="V72" s="193"/>
      <c r="W72" s="193"/>
      <c r="X72" s="193"/>
      <c r="Y72" s="193"/>
      <c r="Z72" s="193"/>
      <c r="AA72" s="193"/>
      <c r="AB72" s="193"/>
      <c r="AC72" s="193"/>
      <c r="AD72" s="193"/>
      <c r="AE72" s="193"/>
      <c r="AF72" s="193"/>
      <c r="AG72" s="193"/>
      <c r="AH72" s="193"/>
      <c r="AI72" s="114">
        <f ca="1">IF(Configurações!$G$10="Ligado",SUMIFS(C72:AH72,$C$4:$AH$4,"&lt;="&amp;Configurações!$C$5,$C$4:$AH$4,"&lt;="&amp;$AI$3),"")</f>
        <v>0</v>
      </c>
      <c r="AJ72" s="119" t="str">
        <f ca="1">IF(Configurações!$G$20="Ligado",IF(AI72&lt;=0,"Vazio",IF(Configurações!$G$18="Semana",IF(Configurações!$G$19="Contar",ENTRADAS!AI72/Configurações!$C$18,AI72/SUM(AK72:AN72)),AI72/A72)),"")</f>
        <v>Vazio</v>
      </c>
      <c r="AK72" s="70">
        <f t="shared" si="3"/>
        <v>0</v>
      </c>
      <c r="AL72" s="70">
        <f t="shared" si="4"/>
        <v>0</v>
      </c>
      <c r="AM72" s="70">
        <f t="shared" si="5"/>
        <v>0</v>
      </c>
      <c r="AN72" s="70">
        <f ca="1">IF(SUMIF($Y$4:$AH$4,"&lt;=" &amp; $AJ$3,ENTRADAS!Y72:AH72)&gt;0,1,0)</f>
        <v>0</v>
      </c>
    </row>
    <row r="73" spans="1:40" ht="21">
      <c r="A73" s="68">
        <f ca="1">COUNT(INDEX($C:$AH,ROW(),1):INDEX($C:$AH,ROW(),$AI$3+1))</f>
        <v>0</v>
      </c>
      <c r="B73" s="106" t="str">
        <f>INDEX(Cadastro_Mantimentos[[#All],[Colunas4]],MATCH(ROW()-5,Cadastro_Mantimentos[[#All],[Colunas2]],0))</f>
        <v>Gelatina  Pêssego</v>
      </c>
      <c r="C73" s="193"/>
      <c r="D73" s="193"/>
      <c r="E73" s="193"/>
      <c r="F73" s="193"/>
      <c r="G73" s="193"/>
      <c r="H73" s="193"/>
      <c r="I73" s="193"/>
      <c r="J73" s="193"/>
      <c r="K73" s="193"/>
      <c r="L73" s="193"/>
      <c r="M73" s="193"/>
      <c r="N73" s="193"/>
      <c r="O73" s="193"/>
      <c r="P73" s="193"/>
      <c r="Q73" s="193"/>
      <c r="R73" s="193"/>
      <c r="S73" s="193"/>
      <c r="T73" s="193"/>
      <c r="U73" s="193"/>
      <c r="V73" s="193"/>
      <c r="W73" s="193"/>
      <c r="X73" s="193"/>
      <c r="Y73" s="193"/>
      <c r="Z73" s="193"/>
      <c r="AA73" s="193"/>
      <c r="AB73" s="193"/>
      <c r="AC73" s="193"/>
      <c r="AD73" s="193"/>
      <c r="AE73" s="193"/>
      <c r="AF73" s="193"/>
      <c r="AG73" s="193"/>
      <c r="AH73" s="193"/>
      <c r="AI73" s="114">
        <f ca="1">IF(Configurações!$G$10="Ligado",SUMIFS(C73:AH73,$C$4:$AH$4,"&lt;="&amp;Configurações!$C$5,$C$4:$AH$4,"&lt;="&amp;$AI$3),"")</f>
        <v>0</v>
      </c>
      <c r="AJ73" s="119" t="str">
        <f ca="1">IF(Configurações!$G$20="Ligado",IF(AI73&lt;=0,"Vazio",IF(Configurações!$G$18="Semana",IF(Configurações!$G$19="Contar",ENTRADAS!AI73/Configurações!$C$18,AI73/SUM(AK73:AN73)),AI73/A73)),"")</f>
        <v>Vazio</v>
      </c>
      <c r="AK73" s="70">
        <f t="shared" si="3"/>
        <v>0</v>
      </c>
      <c r="AL73" s="70">
        <f t="shared" si="4"/>
        <v>0</v>
      </c>
      <c r="AM73" s="70">
        <f t="shared" si="5"/>
        <v>0</v>
      </c>
      <c r="AN73" s="70">
        <f ca="1">IF(SUMIF($Y$4:$AH$4,"&lt;=" &amp; $AJ$3,ENTRADAS!Y73:AH73)&gt;0,1,0)</f>
        <v>0</v>
      </c>
    </row>
    <row r="74" spans="1:40" ht="21">
      <c r="A74" s="68">
        <f ca="1">COUNT(INDEX($C:$AH,ROW(),1):INDEX($C:$AH,ROW(),$AI$3+1))</f>
        <v>0</v>
      </c>
      <c r="B74" s="106" t="str">
        <f>INDEX(Cadastro_Mantimentos[[#All],[Colunas4]],MATCH(ROW()-5,Cadastro_Mantimentos[[#All],[Colunas2]],0))</f>
        <v>Gelatina  S/Sabor</v>
      </c>
      <c r="C74" s="193"/>
      <c r="D74" s="193"/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  <c r="V74" s="193"/>
      <c r="W74" s="193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  <c r="AI74" s="114">
        <f ca="1">IF(Configurações!$G$10="Ligado",SUMIFS(C74:AH74,$C$4:$AH$4,"&lt;="&amp;Configurações!$C$5,$C$4:$AH$4,"&lt;="&amp;$AI$3),"")</f>
        <v>0</v>
      </c>
      <c r="AJ74" s="119" t="str">
        <f ca="1">IF(Configurações!$G$20="Ligado",IF(AI74&lt;=0,"Vazio",IF(Configurações!$G$18="Semana",IF(Configurações!$G$19="Contar",ENTRADAS!AI74/Configurações!$C$18,AI74/SUM(AK74:AN74)),AI74/A74)),"")</f>
        <v>Vazio</v>
      </c>
      <c r="AK74" s="70">
        <f t="shared" si="3"/>
        <v>0</v>
      </c>
      <c r="AL74" s="70">
        <f t="shared" si="4"/>
        <v>0</v>
      </c>
      <c r="AM74" s="70">
        <f t="shared" si="5"/>
        <v>0</v>
      </c>
      <c r="AN74" s="70">
        <f ca="1">IF(SUMIF($Y$4:$AH$4,"&lt;=" &amp; $AJ$3,ENTRADAS!Y74:AH74)&gt;0,1,0)</f>
        <v>0</v>
      </c>
    </row>
    <row r="75" spans="1:40" ht="21">
      <c r="A75" s="68">
        <f ca="1">COUNT(INDEX($C:$AH,ROW(),1):INDEX($C:$AH,ROW(),$AI$3+1))</f>
        <v>0</v>
      </c>
      <c r="B75" s="106" t="str">
        <f>INDEX(Cadastro_Mantimentos[[#All],[Colunas4]],MATCH(ROW()-5,Cadastro_Mantimentos[[#All],[Colunas2]],0))</f>
        <v>Gelatina  Uva</v>
      </c>
      <c r="C75" s="193"/>
      <c r="D75" s="193"/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  <c r="V75" s="193"/>
      <c r="W75" s="193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14">
        <f ca="1">IF(Configurações!$G$10="Ligado",SUMIFS(C75:AH75,$C$4:$AH$4,"&lt;="&amp;Configurações!$C$5,$C$4:$AH$4,"&lt;="&amp;$AI$3),"")</f>
        <v>0</v>
      </c>
      <c r="AJ75" s="119" t="str">
        <f ca="1">IF(Configurações!$G$20="Ligado",IF(AI75&lt;=0,"Vazio",IF(Configurações!$G$18="Semana",IF(Configurações!$G$19="Contar",ENTRADAS!AI75/Configurações!$C$18,AI75/SUM(AK75:AN75)),AI75/A75)),"")</f>
        <v>Vazio</v>
      </c>
      <c r="AK75" s="70">
        <f t="shared" si="3"/>
        <v>0</v>
      </c>
      <c r="AL75" s="70">
        <f t="shared" si="4"/>
        <v>0</v>
      </c>
      <c r="AM75" s="70">
        <f t="shared" si="5"/>
        <v>0</v>
      </c>
      <c r="AN75" s="70">
        <f ca="1">IF(SUMIF($Y$4:$AH$4,"&lt;=" &amp; $AJ$3,ENTRADAS!Y75:AH75)&gt;0,1,0)</f>
        <v>0</v>
      </c>
    </row>
    <row r="76" spans="1:40" ht="21">
      <c r="A76" s="68">
        <f ca="1">COUNT(INDEX($C:$AH,ROW(),1):INDEX($C:$AH,ROW(),$AI$3+1))</f>
        <v>0</v>
      </c>
      <c r="B76" s="106" t="str">
        <f>INDEX(Cadastro_Mantimentos[[#All],[Colunas4]],MATCH(ROW()-5,Cadastro_Mantimentos[[#All],[Colunas2]],0))</f>
        <v>Geleia Sache</v>
      </c>
      <c r="C76" s="193"/>
      <c r="D76" s="193"/>
      <c r="E76" s="193"/>
      <c r="F76" s="193"/>
      <c r="G76" s="193"/>
      <c r="H76" s="193"/>
      <c r="I76" s="193"/>
      <c r="J76" s="193"/>
      <c r="K76" s="193"/>
      <c r="L76" s="193"/>
      <c r="M76" s="193"/>
      <c r="N76" s="193"/>
      <c r="O76" s="193"/>
      <c r="P76" s="193"/>
      <c r="Q76" s="193"/>
      <c r="R76" s="193"/>
      <c r="S76" s="193"/>
      <c r="T76" s="193"/>
      <c r="U76" s="193"/>
      <c r="V76" s="193"/>
      <c r="W76" s="193"/>
      <c r="X76" s="193"/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  <c r="AI76" s="114">
        <f ca="1">IF(Configurações!$G$10="Ligado",SUMIFS(C76:AH76,$C$4:$AH$4,"&lt;="&amp;Configurações!$C$5,$C$4:$AH$4,"&lt;="&amp;$AI$3),"")</f>
        <v>0</v>
      </c>
      <c r="AJ76" s="119" t="str">
        <f ca="1">IF(Configurações!$G$20="Ligado",IF(AI76&lt;=0,"Vazio",IF(Configurações!$G$18="Semana",IF(Configurações!$G$19="Contar",ENTRADAS!AI76/Configurações!$C$18,AI76/SUM(AK76:AN76)),AI76/A76)),"")</f>
        <v>Vazio</v>
      </c>
      <c r="AK76" s="70">
        <f t="shared" si="3"/>
        <v>0</v>
      </c>
      <c r="AL76" s="70">
        <f t="shared" si="4"/>
        <v>0</v>
      </c>
      <c r="AM76" s="70">
        <f t="shared" si="5"/>
        <v>0</v>
      </c>
      <c r="AN76" s="70">
        <f ca="1">IF(SUMIF($Y$4:$AH$4,"&lt;=" &amp; $AJ$3,ENTRADAS!Y76:AH76)&gt;0,1,0)</f>
        <v>0</v>
      </c>
    </row>
    <row r="77" spans="1:40" ht="21">
      <c r="A77" s="68">
        <f ca="1">COUNT(INDEX($C:$AH,ROW(),1):INDEX($C:$AH,ROW(),$AI$3+1))</f>
        <v>0</v>
      </c>
      <c r="B77" s="106" t="str">
        <f>INDEX(Cadastro_Mantimentos[[#All],[Colunas4]],MATCH(ROW()-5,Cadastro_Mantimentos[[#All],[Colunas2]],0))</f>
        <v>Gergelim</v>
      </c>
      <c r="C77" s="193"/>
      <c r="D77" s="193"/>
      <c r="E77" s="193"/>
      <c r="F77" s="193"/>
      <c r="G77" s="193"/>
      <c r="H77" s="193"/>
      <c r="I77" s="193"/>
      <c r="J77" s="193"/>
      <c r="K77" s="193"/>
      <c r="L77" s="193"/>
      <c r="M77" s="193"/>
      <c r="N77" s="193"/>
      <c r="O77" s="193"/>
      <c r="P77" s="193"/>
      <c r="Q77" s="193"/>
      <c r="R77" s="193"/>
      <c r="S77" s="193"/>
      <c r="T77" s="193"/>
      <c r="U77" s="193"/>
      <c r="V77" s="193"/>
      <c r="W77" s="193"/>
      <c r="X77" s="193"/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  <c r="AI77" s="114">
        <f ca="1">IF(Configurações!$G$10="Ligado",SUMIFS(C77:AH77,$C$4:$AH$4,"&lt;="&amp;Configurações!$C$5,$C$4:$AH$4,"&lt;="&amp;$AI$3),"")</f>
        <v>0</v>
      </c>
      <c r="AJ77" s="119" t="str">
        <f ca="1">IF(Configurações!$G$20="Ligado",IF(AI77&lt;=0,"Vazio",IF(Configurações!$G$18="Semana",IF(Configurações!$G$19="Contar",ENTRADAS!AI77/Configurações!$C$18,AI77/SUM(AK77:AN77)),AI77/A77)),"")</f>
        <v>Vazio</v>
      </c>
      <c r="AK77" s="70">
        <f t="shared" si="3"/>
        <v>0</v>
      </c>
      <c r="AL77" s="70">
        <f t="shared" si="4"/>
        <v>0</v>
      </c>
      <c r="AM77" s="70">
        <f t="shared" si="5"/>
        <v>0</v>
      </c>
      <c r="AN77" s="70">
        <f ca="1">IF(SUMIF($Y$4:$AH$4,"&lt;=" &amp; $AJ$3,ENTRADAS!Y77:AH77)&gt;0,1,0)</f>
        <v>0</v>
      </c>
    </row>
    <row r="78" spans="1:40" ht="21">
      <c r="A78" s="68">
        <f ca="1">COUNT(INDEX($C:$AH,ROW(),1):INDEX($C:$AH,ROW(),$AI$3+1))</f>
        <v>0</v>
      </c>
      <c r="B78" s="106" t="str">
        <f>INDEX(Cadastro_Mantimentos[[#All],[Colunas4]],MATCH(ROW()-5,Cadastro_Mantimentos[[#All],[Colunas2]],0))</f>
        <v>Gergelim Branco</v>
      </c>
      <c r="C78" s="193"/>
      <c r="D78" s="193"/>
      <c r="E78" s="193"/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93"/>
      <c r="S78" s="193"/>
      <c r="T78" s="193"/>
      <c r="U78" s="193"/>
      <c r="V78" s="193"/>
      <c r="W78" s="193"/>
      <c r="X78" s="193"/>
      <c r="Y78" s="193"/>
      <c r="Z78" s="193"/>
      <c r="AA78" s="193"/>
      <c r="AB78" s="193"/>
      <c r="AC78" s="193"/>
      <c r="AD78" s="193"/>
      <c r="AE78" s="193"/>
      <c r="AF78" s="193"/>
      <c r="AG78" s="193"/>
      <c r="AH78" s="193"/>
      <c r="AI78" s="114">
        <f ca="1">IF(Configurações!$G$10="Ligado",SUMIFS(C78:AH78,$C$4:$AH$4,"&lt;="&amp;Configurações!$C$5,$C$4:$AH$4,"&lt;="&amp;$AI$3),"")</f>
        <v>0</v>
      </c>
      <c r="AJ78" s="119" t="str">
        <f ca="1">IF(Configurações!$G$20="Ligado",IF(AI78&lt;=0,"Vazio",IF(Configurações!$G$18="Semana",IF(Configurações!$G$19="Contar",ENTRADAS!AI78/Configurações!$C$18,AI78/SUM(AK78:AN78)),AI78/A78)),"")</f>
        <v>Vazio</v>
      </c>
      <c r="AK78" s="70">
        <f t="shared" si="3"/>
        <v>0</v>
      </c>
      <c r="AL78" s="70">
        <f t="shared" si="4"/>
        <v>0</v>
      </c>
      <c r="AM78" s="70">
        <f t="shared" si="5"/>
        <v>0</v>
      </c>
      <c r="AN78" s="70">
        <f ca="1">IF(SUMIF($Y$4:$AH$4,"&lt;=" &amp; $AJ$3,ENTRADAS!Y78:AH78)&gt;0,1,0)</f>
        <v>0</v>
      </c>
    </row>
    <row r="79" spans="1:40" ht="21">
      <c r="A79" s="68">
        <f ca="1">COUNT(INDEX($C:$AH,ROW(),1):INDEX($C:$AH,ROW(),$AI$3+1))</f>
        <v>0</v>
      </c>
      <c r="B79" s="106" t="str">
        <f>INDEX(Cadastro_Mantimentos[[#All],[Colunas4]],MATCH(ROW()-5,Cadastro_Mantimentos[[#All],[Colunas2]],0))</f>
        <v>Gergelim Preto</v>
      </c>
      <c r="C79" s="193"/>
      <c r="D79" s="193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93"/>
      <c r="U79" s="193"/>
      <c r="V79" s="193"/>
      <c r="W79" s="193"/>
      <c r="X79" s="193"/>
      <c r="Y79" s="193"/>
      <c r="Z79" s="193"/>
      <c r="AA79" s="193"/>
      <c r="AB79" s="193"/>
      <c r="AC79" s="193"/>
      <c r="AD79" s="193"/>
      <c r="AE79" s="193"/>
      <c r="AF79" s="193"/>
      <c r="AG79" s="193"/>
      <c r="AH79" s="193"/>
      <c r="AI79" s="114">
        <f ca="1">IF(Configurações!$G$10="Ligado",SUMIFS(C79:AH79,$C$4:$AH$4,"&lt;="&amp;Configurações!$C$5,$C$4:$AH$4,"&lt;="&amp;$AI$3),"")</f>
        <v>0</v>
      </c>
      <c r="AJ79" s="119" t="str">
        <f ca="1">IF(Configurações!$G$20="Ligado",IF(AI79&lt;=0,"Vazio",IF(Configurações!$G$18="Semana",IF(Configurações!$G$19="Contar",ENTRADAS!AI79/Configurações!$C$18,AI79/SUM(AK79:AN79)),AI79/A79)),"")</f>
        <v>Vazio</v>
      </c>
      <c r="AK79" s="70">
        <f t="shared" si="3"/>
        <v>0</v>
      </c>
      <c r="AL79" s="70">
        <f t="shared" si="4"/>
        <v>0</v>
      </c>
      <c r="AM79" s="70">
        <f t="shared" si="5"/>
        <v>0</v>
      </c>
      <c r="AN79" s="70">
        <f ca="1">IF(SUMIF($Y$4:$AH$4,"&lt;=" &amp; $AJ$3,ENTRADAS!Y79:AH79)&gt;0,1,0)</f>
        <v>0</v>
      </c>
    </row>
    <row r="80" spans="1:40" ht="21">
      <c r="A80" s="68">
        <f ca="1">COUNT(INDEX($C:$AH,ROW(),1):INDEX($C:$AH,ROW(),$AI$3+1))</f>
        <v>0</v>
      </c>
      <c r="B80" s="106" t="str">
        <f>INDEX(Cadastro_Mantimentos[[#All],[Colunas4]],MATCH(ROW()-5,Cadastro_Mantimentos[[#All],[Colunas2]],0))</f>
        <v>Goiaba Em Calda</v>
      </c>
      <c r="C80" s="193"/>
      <c r="D80" s="193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193"/>
      <c r="W80" s="193"/>
      <c r="X80" s="193"/>
      <c r="Y80" s="193"/>
      <c r="Z80" s="193"/>
      <c r="AA80" s="193"/>
      <c r="AB80" s="193"/>
      <c r="AC80" s="193"/>
      <c r="AD80" s="193"/>
      <c r="AE80" s="193"/>
      <c r="AF80" s="193"/>
      <c r="AG80" s="193"/>
      <c r="AH80" s="193"/>
      <c r="AI80" s="114">
        <f ca="1">IF(Configurações!$G$10="Ligado",SUMIFS(C80:AH80,$C$4:$AH$4,"&lt;="&amp;Configurações!$C$5,$C$4:$AH$4,"&lt;="&amp;$AI$3),"")</f>
        <v>0</v>
      </c>
      <c r="AJ80" s="119" t="str">
        <f ca="1">IF(Configurações!$G$20="Ligado",IF(AI80&lt;=0,"Vazio",IF(Configurações!$G$18="Semana",IF(Configurações!$G$19="Contar",ENTRADAS!AI80/Configurações!$C$18,AI80/SUM(AK80:AN80)),AI80/A80)),"")</f>
        <v>Vazio</v>
      </c>
      <c r="AK80" s="70">
        <f t="shared" si="3"/>
        <v>0</v>
      </c>
      <c r="AL80" s="70">
        <f t="shared" si="4"/>
        <v>0</v>
      </c>
      <c r="AM80" s="70">
        <f t="shared" si="5"/>
        <v>0</v>
      </c>
      <c r="AN80" s="70">
        <f ca="1">IF(SUMIF($Y$4:$AH$4,"&lt;=" &amp; $AJ$3,ENTRADAS!Y80:AH80)&gt;0,1,0)</f>
        <v>0</v>
      </c>
    </row>
    <row r="81" spans="1:40" ht="21">
      <c r="A81" s="68">
        <f ca="1">COUNT(INDEX($C:$AH,ROW(),1):INDEX($C:$AH,ROW(),$AI$3+1))</f>
        <v>2</v>
      </c>
      <c r="B81" s="106" t="str">
        <f>INDEX(Cadastro_Mantimentos[[#All],[Colunas4]],MATCH(ROW()-5,Cadastro_Mantimentos[[#All],[Colunas2]],0))</f>
        <v xml:space="preserve">Gordura Vegetal </v>
      </c>
      <c r="C81" s="193"/>
      <c r="D81" s="193"/>
      <c r="E81" s="193"/>
      <c r="F81" s="193"/>
      <c r="G81" s="193"/>
      <c r="H81" s="193"/>
      <c r="I81" s="193"/>
      <c r="J81" s="193"/>
      <c r="K81" s="193"/>
      <c r="L81" s="193">
        <v>45</v>
      </c>
      <c r="M81" s="193"/>
      <c r="N81" s="193"/>
      <c r="O81" s="193"/>
      <c r="P81" s="193"/>
      <c r="Q81" s="193"/>
      <c r="R81" s="193"/>
      <c r="S81" s="193"/>
      <c r="T81" s="193"/>
      <c r="U81" s="193">
        <v>45</v>
      </c>
      <c r="V81" s="193"/>
      <c r="W81" s="193"/>
      <c r="X81" s="193"/>
      <c r="Y81" s="193"/>
      <c r="Z81" s="193"/>
      <c r="AA81" s="193"/>
      <c r="AB81" s="193"/>
      <c r="AC81" s="193"/>
      <c r="AD81" s="193"/>
      <c r="AE81" s="193"/>
      <c r="AF81" s="193"/>
      <c r="AG81" s="193"/>
      <c r="AH81" s="193"/>
      <c r="AI81" s="114">
        <f ca="1">IF(Configurações!$G$10="Ligado",SUMIFS(C81:AH81,$C$4:$AH$4,"&lt;="&amp;Configurações!$C$5,$C$4:$AH$4,"&lt;="&amp;$AI$3),"")</f>
        <v>90</v>
      </c>
      <c r="AJ81" s="119">
        <f ca="1">IF(Configurações!$G$20="Ligado",IF(AI81&lt;=0,"Vazio",IF(Configurações!$G$18="Semana",IF(Configurações!$G$19="Contar",ENTRADAS!AI81/Configurações!$C$18,AI81/SUM(AK81:AN81)),AI81/A81)),"")</f>
        <v>45</v>
      </c>
      <c r="AK81" s="70">
        <f t="shared" si="3"/>
        <v>0</v>
      </c>
      <c r="AL81" s="70">
        <f t="shared" si="4"/>
        <v>1</v>
      </c>
      <c r="AM81" s="70">
        <f t="shared" si="5"/>
        <v>1</v>
      </c>
      <c r="AN81" s="70">
        <f ca="1">IF(SUMIF($Y$4:$AH$4,"&lt;=" &amp; $AJ$3,ENTRADAS!Y81:AH81)&gt;0,1,0)</f>
        <v>0</v>
      </c>
    </row>
    <row r="82" spans="1:40" ht="21">
      <c r="A82" s="68">
        <f ca="1">COUNT(INDEX($C:$AH,ROW(),1):INDEX($C:$AH,ROW(),$AI$3+1))</f>
        <v>0</v>
      </c>
      <c r="B82" s="106" t="str">
        <f>INDEX(Cadastro_Mantimentos[[#All],[Colunas4]],MATCH(ROW()-5,Cadastro_Mantimentos[[#All],[Colunas2]],0))</f>
        <v xml:space="preserve">Grão De Bico </v>
      </c>
      <c r="C82" s="193"/>
      <c r="D82" s="193"/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  <c r="P82" s="193"/>
      <c r="Q82" s="193"/>
      <c r="R82" s="193"/>
      <c r="S82" s="193"/>
      <c r="T82" s="193"/>
      <c r="U82" s="193"/>
      <c r="V82" s="193"/>
      <c r="W82" s="193"/>
      <c r="X82" s="193"/>
      <c r="Y82" s="193"/>
      <c r="Z82" s="193"/>
      <c r="AA82" s="193"/>
      <c r="AB82" s="193"/>
      <c r="AC82" s="193"/>
      <c r="AD82" s="193"/>
      <c r="AE82" s="193"/>
      <c r="AF82" s="193"/>
      <c r="AG82" s="193"/>
      <c r="AH82" s="193"/>
      <c r="AI82" s="114">
        <f ca="1">IF(Configurações!$G$10="Ligado",SUMIFS(C82:AH82,$C$4:$AH$4,"&lt;="&amp;Configurações!$C$5,$C$4:$AH$4,"&lt;="&amp;$AI$3),"")</f>
        <v>0</v>
      </c>
      <c r="AJ82" s="119" t="str">
        <f ca="1">IF(Configurações!$G$20="Ligado",IF(AI82&lt;=0,"Vazio",IF(Configurações!$G$18="Semana",IF(Configurações!$G$19="Contar",ENTRADAS!AI82/Configurações!$C$18,AI82/SUM(AK82:AN82)),AI82/A82)),"")</f>
        <v>Vazio</v>
      </c>
      <c r="AK82" s="70">
        <f t="shared" si="3"/>
        <v>0</v>
      </c>
      <c r="AL82" s="70">
        <f t="shared" si="4"/>
        <v>0</v>
      </c>
      <c r="AM82" s="70">
        <f t="shared" si="5"/>
        <v>0</v>
      </c>
      <c r="AN82" s="70">
        <f ca="1">IF(SUMIF($Y$4:$AH$4,"&lt;=" &amp; $AJ$3,ENTRADAS!Y82:AH82)&gt;0,1,0)</f>
        <v>0</v>
      </c>
    </row>
    <row r="83" spans="1:40" ht="21">
      <c r="A83" s="68">
        <f ca="1">COUNT(INDEX($C:$AH,ROW(),1):INDEX($C:$AH,ROW(),$AI$3+1))</f>
        <v>1</v>
      </c>
      <c r="B83" s="106" t="str">
        <f>INDEX(Cadastro_Mantimentos[[#All],[Colunas4]],MATCH(ROW()-5,Cadastro_Mantimentos[[#All],[Colunas2]],0))</f>
        <v xml:space="preserve">katchup </v>
      </c>
      <c r="C83" s="193"/>
      <c r="D83" s="193"/>
      <c r="E83" s="193"/>
      <c r="F83" s="193"/>
      <c r="G83" s="193"/>
      <c r="H83" s="193"/>
      <c r="I83" s="193"/>
      <c r="J83" s="193"/>
      <c r="K83" s="193"/>
      <c r="L83" s="193">
        <v>3</v>
      </c>
      <c r="M83" s="193"/>
      <c r="N83" s="193"/>
      <c r="O83" s="193"/>
      <c r="P83" s="193"/>
      <c r="Q83" s="193"/>
      <c r="R83" s="193"/>
      <c r="S83" s="193"/>
      <c r="T83" s="193"/>
      <c r="U83" s="193"/>
      <c r="V83" s="193"/>
      <c r="W83" s="193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14">
        <f ca="1">IF(Configurações!$G$10="Ligado",SUMIFS(C83:AH83,$C$4:$AH$4,"&lt;="&amp;Configurações!$C$5,$C$4:$AH$4,"&lt;="&amp;$AI$3),"")</f>
        <v>3</v>
      </c>
      <c r="AJ83" s="119">
        <f ca="1">IF(Configurações!$G$20="Ligado",IF(AI83&lt;=0,"Vazio",IF(Configurações!$G$18="Semana",IF(Configurações!$G$19="Contar",ENTRADAS!AI83/Configurações!$C$18,AI83/SUM(AK83:AN83)),AI83/A83)),"")</f>
        <v>3</v>
      </c>
      <c r="AK83" s="70">
        <f t="shared" si="3"/>
        <v>0</v>
      </c>
      <c r="AL83" s="70">
        <f t="shared" si="4"/>
        <v>1</v>
      </c>
      <c r="AM83" s="70">
        <f t="shared" si="5"/>
        <v>0</v>
      </c>
      <c r="AN83" s="70">
        <f ca="1">IF(SUMIF($Y$4:$AH$4,"&lt;=" &amp; $AJ$3,ENTRADAS!Y83:AH83)&gt;0,1,0)</f>
        <v>0</v>
      </c>
    </row>
    <row r="84" spans="1:40" ht="21">
      <c r="A84" s="68">
        <f ca="1">COUNT(INDEX($C:$AH,ROW(),1):INDEX($C:$AH,ROW(),$AI$3+1))</f>
        <v>0</v>
      </c>
      <c r="B84" s="106" t="str">
        <f>INDEX(Cadastro_Mantimentos[[#All],[Colunas4]],MATCH(ROW()-5,Cadastro_Mantimentos[[#All],[Colunas2]],0))</f>
        <v>Leite Condensado</v>
      </c>
      <c r="C84" s="19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  <c r="P84" s="193"/>
      <c r="Q84" s="193"/>
      <c r="R84" s="193"/>
      <c r="S84" s="193"/>
      <c r="T84" s="193"/>
      <c r="U84" s="193"/>
      <c r="V84" s="193"/>
      <c r="W84" s="193"/>
      <c r="X84" s="193"/>
      <c r="Y84" s="193"/>
      <c r="Z84" s="193"/>
      <c r="AA84" s="193"/>
      <c r="AB84" s="193"/>
      <c r="AC84" s="193"/>
      <c r="AD84" s="193"/>
      <c r="AE84" s="193"/>
      <c r="AF84" s="193"/>
      <c r="AG84" s="193"/>
      <c r="AH84" s="193"/>
      <c r="AI84" s="114">
        <f ca="1">IF(Configurações!$G$10="Ligado",SUMIFS(C84:AH84,$C$4:$AH$4,"&lt;="&amp;Configurações!$C$5,$C$4:$AH$4,"&lt;="&amp;$AI$3),"")</f>
        <v>0</v>
      </c>
      <c r="AJ84" s="119" t="str">
        <f ca="1">IF(Configurações!$G$20="Ligado",IF(AI84&lt;=0,"Vazio",IF(Configurações!$G$18="Semana",IF(Configurações!$G$19="Contar",ENTRADAS!AI84/Configurações!$C$18,AI84/SUM(AK84:AN84)),AI84/A84)),"")</f>
        <v>Vazio</v>
      </c>
      <c r="AK84" s="70">
        <f t="shared" si="3"/>
        <v>0</v>
      </c>
      <c r="AL84" s="70">
        <f t="shared" si="4"/>
        <v>0</v>
      </c>
      <c r="AM84" s="70">
        <f t="shared" si="5"/>
        <v>0</v>
      </c>
      <c r="AN84" s="70">
        <f ca="1">IF(SUMIF($Y$4:$AH$4,"&lt;=" &amp; $AJ$3,ENTRADAS!Y84:AH84)&gt;0,1,0)</f>
        <v>0</v>
      </c>
    </row>
    <row r="85" spans="1:40" ht="21">
      <c r="A85" s="68">
        <f ca="1">COUNT(INDEX($C:$AH,ROW(),1):INDEX($C:$AH,ROW(),$AI$3+1))</f>
        <v>1</v>
      </c>
      <c r="B85" s="106" t="str">
        <f>INDEX(Cadastro_Mantimentos[[#All],[Colunas4]],MATCH(ROW()-5,Cadastro_Mantimentos[[#All],[Colunas2]],0))</f>
        <v xml:space="preserve">Leite De Coco </v>
      </c>
      <c r="C85" s="193"/>
      <c r="D85" s="193"/>
      <c r="E85" s="193"/>
      <c r="F85" s="193"/>
      <c r="G85" s="193"/>
      <c r="H85" s="193"/>
      <c r="I85" s="193"/>
      <c r="J85" s="193"/>
      <c r="K85" s="193"/>
      <c r="L85" s="193"/>
      <c r="M85" s="193"/>
      <c r="N85" s="193"/>
      <c r="O85" s="193"/>
      <c r="P85" s="193"/>
      <c r="Q85" s="193"/>
      <c r="R85" s="193"/>
      <c r="S85" s="193">
        <v>5</v>
      </c>
      <c r="T85" s="193"/>
      <c r="U85" s="193"/>
      <c r="V85" s="193"/>
      <c r="W85" s="193"/>
      <c r="X85" s="193"/>
      <c r="Y85" s="193"/>
      <c r="Z85" s="193"/>
      <c r="AA85" s="193"/>
      <c r="AB85" s="193"/>
      <c r="AC85" s="193"/>
      <c r="AD85" s="193"/>
      <c r="AE85" s="193"/>
      <c r="AF85" s="193"/>
      <c r="AG85" s="193"/>
      <c r="AH85" s="193"/>
      <c r="AI85" s="114">
        <f ca="1">IF(Configurações!$G$10="Ligado",SUMIFS(C85:AH85,$C$4:$AH$4,"&lt;="&amp;Configurações!$C$5,$C$4:$AH$4,"&lt;="&amp;$AI$3),"")</f>
        <v>5</v>
      </c>
      <c r="AJ85" s="119">
        <f ca="1">IF(Configurações!$G$20="Ligado",IF(AI85&lt;=0,"Vazio",IF(Configurações!$G$18="Semana",IF(Configurações!$G$19="Contar",ENTRADAS!AI85/Configurações!$C$18,AI85/SUM(AK85:AN85)),AI85/A85)),"")</f>
        <v>5</v>
      </c>
      <c r="AK85" s="70">
        <f t="shared" si="3"/>
        <v>0</v>
      </c>
      <c r="AL85" s="70">
        <f t="shared" si="4"/>
        <v>0</v>
      </c>
      <c r="AM85" s="70">
        <f t="shared" si="5"/>
        <v>1</v>
      </c>
      <c r="AN85" s="70">
        <f ca="1">IF(SUMIF($Y$4:$AH$4,"&lt;=" &amp; $AJ$3,ENTRADAS!Y85:AH85)&gt;0,1,0)</f>
        <v>0</v>
      </c>
    </row>
    <row r="86" spans="1:40" ht="21">
      <c r="A86" s="68">
        <f ca="1">COUNT(INDEX($C:$AH,ROW(),1):INDEX($C:$AH,ROW(),$AI$3+1))</f>
        <v>3</v>
      </c>
      <c r="B86" s="106" t="str">
        <f>INDEX(Cadastro_Mantimentos[[#All],[Colunas4]],MATCH(ROW()-5,Cadastro_Mantimentos[[#All],[Colunas2]],0))</f>
        <v>Leite Uht Integral</v>
      </c>
      <c r="C86" s="193">
        <f>48/12</f>
        <v>4</v>
      </c>
      <c r="D86" s="193"/>
      <c r="E86" s="193"/>
      <c r="F86" s="193"/>
      <c r="G86" s="193"/>
      <c r="H86" s="193"/>
      <c r="I86" s="193"/>
      <c r="J86" s="193"/>
      <c r="K86" s="193"/>
      <c r="L86" s="193">
        <v>10</v>
      </c>
      <c r="M86" s="193"/>
      <c r="N86" s="193"/>
      <c r="O86" s="193"/>
      <c r="P86" s="193"/>
      <c r="Q86" s="193"/>
      <c r="R86" s="193"/>
      <c r="S86" s="193">
        <v>5</v>
      </c>
      <c r="T86" s="193"/>
      <c r="U86" s="193"/>
      <c r="V86" s="193"/>
      <c r="W86" s="193"/>
      <c r="X86" s="193"/>
      <c r="Y86" s="193"/>
      <c r="Z86" s="193"/>
      <c r="AA86" s="193"/>
      <c r="AB86" s="193"/>
      <c r="AC86" s="193"/>
      <c r="AD86" s="193"/>
      <c r="AE86" s="193"/>
      <c r="AF86" s="193"/>
      <c r="AG86" s="193"/>
      <c r="AH86" s="193"/>
      <c r="AI86" s="114">
        <f ca="1">IF(Configurações!$G$10="Ligado",SUMIFS(C86:AH86,$C$4:$AH$4,"&lt;="&amp;Configurações!$C$5,$C$4:$AH$4,"&lt;="&amp;$AI$3),"")</f>
        <v>19</v>
      </c>
      <c r="AJ86" s="119">
        <f ca="1">IF(Configurações!$G$20="Ligado",IF(AI86&lt;=0,"Vazio",IF(Configurações!$G$18="Semana",IF(Configurações!$G$19="Contar",ENTRADAS!AI86/Configurações!$C$18,AI86/SUM(AK86:AN86)),AI86/A86)),"")</f>
        <v>6.333333333333333</v>
      </c>
      <c r="AK86" s="70">
        <f t="shared" si="3"/>
        <v>1</v>
      </c>
      <c r="AL86" s="70">
        <f t="shared" si="4"/>
        <v>1</v>
      </c>
      <c r="AM86" s="70">
        <f t="shared" si="5"/>
        <v>1</v>
      </c>
      <c r="AN86" s="70">
        <f ca="1">IF(SUMIF($Y$4:$AH$4,"&lt;=" &amp; $AJ$3,ENTRADAS!Y86:AH86)&gt;0,1,0)</f>
        <v>0</v>
      </c>
    </row>
    <row r="87" spans="1:40" ht="21">
      <c r="A87" s="68">
        <f ca="1">COUNT(INDEX($C:$AH,ROW(),1):INDEX($C:$AH,ROW(),$AI$3+1))</f>
        <v>0</v>
      </c>
      <c r="B87" s="106" t="str">
        <f>INDEX(Cadastro_Mantimentos[[#All],[Colunas4]],MATCH(ROW()-5,Cadastro_Mantimentos[[#All],[Colunas2]],0))</f>
        <v>Lentilha</v>
      </c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/>
      <c r="Q87" s="193"/>
      <c r="R87" s="193"/>
      <c r="S87" s="193"/>
      <c r="T87" s="193"/>
      <c r="U87" s="193"/>
      <c r="V87" s="193"/>
      <c r="W87" s="193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14">
        <f ca="1">IF(Configurações!$G$10="Ligado",SUMIFS(C87:AH87,$C$4:$AH$4,"&lt;="&amp;Configurações!$C$5,$C$4:$AH$4,"&lt;="&amp;$AI$3),"")</f>
        <v>0</v>
      </c>
      <c r="AJ87" s="119" t="str">
        <f ca="1">IF(Configurações!$G$20="Ligado",IF(AI87&lt;=0,"Vazio",IF(Configurações!$G$18="Semana",IF(Configurações!$G$19="Contar",ENTRADAS!AI87/Configurações!$C$18,AI87/SUM(AK87:AN87)),AI87/A87)),"")</f>
        <v>Vazio</v>
      </c>
      <c r="AK87" s="70">
        <f t="shared" si="3"/>
        <v>0</v>
      </c>
      <c r="AL87" s="70">
        <f t="shared" si="4"/>
        <v>0</v>
      </c>
      <c r="AM87" s="70">
        <f t="shared" si="5"/>
        <v>0</v>
      </c>
      <c r="AN87" s="70">
        <f ca="1">IF(SUMIF($Y$4:$AH$4,"&lt;=" &amp; $AJ$3,ENTRADAS!Y87:AH87)&gt;0,1,0)</f>
        <v>0</v>
      </c>
    </row>
    <row r="88" spans="1:40" ht="21">
      <c r="A88" s="68">
        <f ca="1">COUNT(INDEX($C:$AH,ROW(),1):INDEX($C:$AH,ROW(),$AI$3+1))</f>
        <v>0</v>
      </c>
      <c r="B88" s="106" t="str">
        <f>INDEX(Cadastro_Mantimentos[[#All],[Colunas4]],MATCH(ROW()-5,Cadastro_Mantimentos[[#All],[Colunas2]],0))</f>
        <v>Macarrão Espaguete</v>
      </c>
      <c r="C88" s="193"/>
      <c r="D88" s="193"/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  <c r="P88" s="193"/>
      <c r="Q88" s="193"/>
      <c r="R88" s="193"/>
      <c r="S88" s="193"/>
      <c r="T88" s="193"/>
      <c r="U88" s="193"/>
      <c r="V88" s="193"/>
      <c r="W88" s="193"/>
      <c r="X88" s="193"/>
      <c r="Y88" s="193"/>
      <c r="Z88" s="193"/>
      <c r="AA88" s="193"/>
      <c r="AB88" s="193"/>
      <c r="AC88" s="193"/>
      <c r="AD88" s="193"/>
      <c r="AE88" s="193"/>
      <c r="AF88" s="193"/>
      <c r="AG88" s="193"/>
      <c r="AH88" s="193"/>
      <c r="AI88" s="114">
        <f ca="1">IF(Configurações!$G$10="Ligado",SUMIFS(C88:AH88,$C$4:$AH$4,"&lt;="&amp;Configurações!$C$5,$C$4:$AH$4,"&lt;="&amp;$AI$3),"")</f>
        <v>0</v>
      </c>
      <c r="AJ88" s="119" t="str">
        <f ca="1">IF(Configurações!$G$20="Ligado",IF(AI88&lt;=0,"Vazio",IF(Configurações!$G$18="Semana",IF(Configurações!$G$19="Contar",ENTRADAS!AI88/Configurações!$C$18,AI88/SUM(AK88:AN88)),AI88/A88)),"")</f>
        <v>Vazio</v>
      </c>
      <c r="AK88" s="70">
        <f t="shared" si="3"/>
        <v>0</v>
      </c>
      <c r="AL88" s="70">
        <f t="shared" si="4"/>
        <v>0</v>
      </c>
      <c r="AM88" s="70">
        <f t="shared" si="5"/>
        <v>0</v>
      </c>
      <c r="AN88" s="70">
        <f ca="1">IF(SUMIF($Y$4:$AH$4,"&lt;=" &amp; $AJ$3,ENTRADAS!Y88:AH88)&gt;0,1,0)</f>
        <v>0</v>
      </c>
    </row>
    <row r="89" spans="1:40" ht="21">
      <c r="A89" s="68">
        <f ca="1">COUNT(INDEX($C:$AH,ROW(),1):INDEX($C:$AH,ROW(),$AI$3+1))</f>
        <v>0</v>
      </c>
      <c r="B89" s="106" t="str">
        <f>INDEX(Cadastro_Mantimentos[[#All],[Colunas4]],MATCH(ROW()-5,Cadastro_Mantimentos[[#All],[Colunas2]],0))</f>
        <v>Macarrão Parafuso</v>
      </c>
      <c r="C89" s="193"/>
      <c r="D89" s="193"/>
      <c r="E89" s="193"/>
      <c r="F89" s="193"/>
      <c r="G89" s="193"/>
      <c r="H89" s="193"/>
      <c r="I89" s="193"/>
      <c r="J89" s="193"/>
      <c r="K89" s="193"/>
      <c r="L89" s="193"/>
      <c r="M89" s="193"/>
      <c r="N89" s="193"/>
      <c r="O89" s="193"/>
      <c r="P89" s="193"/>
      <c r="Q89" s="193"/>
      <c r="R89" s="193"/>
      <c r="S89" s="193"/>
      <c r="T89" s="193"/>
      <c r="U89" s="193"/>
      <c r="V89" s="193"/>
      <c r="W89" s="193"/>
      <c r="X89" s="193"/>
      <c r="Y89" s="193"/>
      <c r="Z89" s="193"/>
      <c r="AA89" s="193"/>
      <c r="AB89" s="193"/>
      <c r="AC89" s="193"/>
      <c r="AD89" s="193"/>
      <c r="AE89" s="193"/>
      <c r="AF89" s="193"/>
      <c r="AG89" s="193"/>
      <c r="AH89" s="193"/>
      <c r="AI89" s="114">
        <f ca="1">IF(Configurações!$G$10="Ligado",SUMIFS(C89:AH89,$C$4:$AH$4,"&lt;="&amp;Configurações!$C$5,$C$4:$AH$4,"&lt;="&amp;$AI$3),"")</f>
        <v>0</v>
      </c>
      <c r="AJ89" s="119" t="str">
        <f ca="1">IF(Configurações!$G$20="Ligado",IF(AI89&lt;=0,"Vazio",IF(Configurações!$G$18="Semana",IF(Configurações!$G$19="Contar",ENTRADAS!AI89/Configurações!$C$18,AI89/SUM(AK89:AN89)),AI89/A89)),"")</f>
        <v>Vazio</v>
      </c>
      <c r="AK89" s="70">
        <f t="shared" si="3"/>
        <v>0</v>
      </c>
      <c r="AL89" s="70">
        <f t="shared" si="4"/>
        <v>0</v>
      </c>
      <c r="AM89" s="70">
        <f t="shared" si="5"/>
        <v>0</v>
      </c>
      <c r="AN89" s="70">
        <f ca="1">IF(SUMIF($Y$4:$AH$4,"&lt;=" &amp; $AJ$3,ENTRADAS!Y89:AH89)&gt;0,1,0)</f>
        <v>0</v>
      </c>
    </row>
    <row r="90" spans="1:40" ht="21">
      <c r="A90" s="68">
        <f ca="1">COUNT(INDEX($C:$AH,ROW(),1):INDEX($C:$AH,ROW(),$AI$3+1))</f>
        <v>0</v>
      </c>
      <c r="B90" s="106" t="str">
        <f>INDEX(Cadastro_Mantimentos[[#All],[Colunas4]],MATCH(ROW()-5,Cadastro_Mantimentos[[#All],[Colunas2]],0))</f>
        <v>Macarrão Penne</v>
      </c>
      <c r="C90" s="193"/>
      <c r="D90" s="193"/>
      <c r="E90" s="193"/>
      <c r="F90" s="193"/>
      <c r="G90" s="193"/>
      <c r="H90" s="193"/>
      <c r="I90" s="193"/>
      <c r="J90" s="193"/>
      <c r="K90" s="193"/>
      <c r="L90" s="193"/>
      <c r="M90" s="193"/>
      <c r="N90" s="193"/>
      <c r="O90" s="193"/>
      <c r="P90" s="193"/>
      <c r="Q90" s="193"/>
      <c r="R90" s="193"/>
      <c r="S90" s="193"/>
      <c r="T90" s="193"/>
      <c r="U90" s="193"/>
      <c r="V90" s="193"/>
      <c r="W90" s="193"/>
      <c r="X90" s="193"/>
      <c r="Y90" s="193"/>
      <c r="Z90" s="193"/>
      <c r="AA90" s="193"/>
      <c r="AB90" s="193"/>
      <c r="AC90" s="193"/>
      <c r="AD90" s="193"/>
      <c r="AE90" s="193"/>
      <c r="AF90" s="193"/>
      <c r="AG90" s="193"/>
      <c r="AH90" s="193"/>
      <c r="AI90" s="114">
        <f ca="1">IF(Configurações!$G$10="Ligado",SUMIFS(C90:AH90,$C$4:$AH$4,"&lt;="&amp;Configurações!$C$5,$C$4:$AH$4,"&lt;="&amp;$AI$3),"")</f>
        <v>0</v>
      </c>
      <c r="AJ90" s="119" t="str">
        <f ca="1">IF(Configurações!$G$20="Ligado",IF(AI90&lt;=0,"Vazio",IF(Configurações!$G$18="Semana",IF(Configurações!$G$19="Contar",ENTRADAS!AI90/Configurações!$C$18,AI90/SUM(AK90:AN90)),AI90/A90)),"")</f>
        <v>Vazio</v>
      </c>
      <c r="AK90" s="70">
        <f t="shared" si="3"/>
        <v>0</v>
      </c>
      <c r="AL90" s="70">
        <f t="shared" si="4"/>
        <v>0</v>
      </c>
      <c r="AM90" s="70">
        <f t="shared" si="5"/>
        <v>0</v>
      </c>
      <c r="AN90" s="70">
        <f ca="1">IF(SUMIF($Y$4:$AH$4,"&lt;=" &amp; $AJ$3,ENTRADAS!Y90:AH90)&gt;0,1,0)</f>
        <v>0</v>
      </c>
    </row>
    <row r="91" spans="1:40" ht="21">
      <c r="A91" s="68">
        <f ca="1">COUNT(INDEX($C:$AH,ROW(),1):INDEX($C:$AH,ROW(),$AI$3+1))</f>
        <v>0</v>
      </c>
      <c r="B91" s="106" t="str">
        <f>INDEX(Cadastro_Mantimentos[[#All],[Colunas4]],MATCH(ROW()-5,Cadastro_Mantimentos[[#All],[Colunas2]],0))</f>
        <v>Macarrão Sopa</v>
      </c>
      <c r="C91" s="193"/>
      <c r="D91" s="193"/>
      <c r="E91" s="193"/>
      <c r="F91" s="193"/>
      <c r="G91" s="193"/>
      <c r="H91" s="193"/>
      <c r="I91" s="193"/>
      <c r="J91" s="193"/>
      <c r="K91" s="193"/>
      <c r="L91" s="193"/>
      <c r="M91" s="193"/>
      <c r="N91" s="193"/>
      <c r="O91" s="193"/>
      <c r="P91" s="193"/>
      <c r="Q91" s="193"/>
      <c r="R91" s="193"/>
      <c r="S91" s="193"/>
      <c r="T91" s="193"/>
      <c r="U91" s="193"/>
      <c r="V91" s="193"/>
      <c r="W91" s="193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  <c r="AI91" s="114">
        <f ca="1">IF(Configurações!$G$10="Ligado",SUMIFS(C91:AH91,$C$4:$AH$4,"&lt;="&amp;Configurações!$C$5,$C$4:$AH$4,"&lt;="&amp;$AI$3),"")</f>
        <v>0</v>
      </c>
      <c r="AJ91" s="119" t="str">
        <f ca="1">IF(Configurações!$G$20="Ligado",IF(AI91&lt;=0,"Vazio",IF(Configurações!$G$18="Semana",IF(Configurações!$G$19="Contar",ENTRADAS!AI91/Configurações!$C$18,AI91/SUM(AK91:AN91)),AI91/A91)),"")</f>
        <v>Vazio</v>
      </c>
      <c r="AK91" s="70">
        <f t="shared" si="3"/>
        <v>0</v>
      </c>
      <c r="AL91" s="70">
        <f t="shared" si="4"/>
        <v>0</v>
      </c>
      <c r="AM91" s="70">
        <f t="shared" si="5"/>
        <v>0</v>
      </c>
      <c r="AN91" s="70">
        <f ca="1">IF(SUMIF($Y$4:$AH$4,"&lt;=" &amp; $AJ$3,ENTRADAS!Y91:AH91)&gt;0,1,0)</f>
        <v>0</v>
      </c>
    </row>
    <row r="92" spans="1:40" ht="21">
      <c r="A92" s="68">
        <f ca="1">COUNT(INDEX($C:$AH,ROW(),1):INDEX($C:$AH,ROW(),$AI$3+1))</f>
        <v>0</v>
      </c>
      <c r="B92" s="106" t="str">
        <f>INDEX(Cadastro_Mantimentos[[#All],[Colunas4]],MATCH(ROW()-5,Cadastro_Mantimentos[[#All],[Colunas2]],0))</f>
        <v>Macarrão Yaksoba</v>
      </c>
      <c r="C92" s="193"/>
      <c r="D92" s="193"/>
      <c r="E92" s="193"/>
      <c r="F92" s="193"/>
      <c r="G92" s="193"/>
      <c r="H92" s="193"/>
      <c r="I92" s="193"/>
      <c r="J92" s="193"/>
      <c r="K92" s="193"/>
      <c r="L92" s="193"/>
      <c r="M92" s="193"/>
      <c r="N92" s="193"/>
      <c r="O92" s="193"/>
      <c r="P92" s="193"/>
      <c r="Q92" s="193"/>
      <c r="R92" s="193"/>
      <c r="S92" s="193"/>
      <c r="T92" s="193"/>
      <c r="U92" s="193"/>
      <c r="V92" s="193"/>
      <c r="W92" s="193"/>
      <c r="X92" s="193"/>
      <c r="Y92" s="193"/>
      <c r="Z92" s="193"/>
      <c r="AA92" s="193"/>
      <c r="AB92" s="193"/>
      <c r="AC92" s="193"/>
      <c r="AD92" s="193"/>
      <c r="AE92" s="193"/>
      <c r="AF92" s="193"/>
      <c r="AG92" s="193"/>
      <c r="AH92" s="193"/>
      <c r="AI92" s="114">
        <f ca="1">IF(Configurações!$G$10="Ligado",SUMIFS(C92:AH92,$C$4:$AH$4,"&lt;="&amp;Configurações!$C$5,$C$4:$AH$4,"&lt;="&amp;$AI$3),"")</f>
        <v>0</v>
      </c>
      <c r="AJ92" s="119" t="str">
        <f ca="1">IF(Configurações!$G$20="Ligado",IF(AI92&lt;=0,"Vazio",IF(Configurações!$G$18="Semana",IF(Configurações!$G$19="Contar",ENTRADAS!AI92/Configurações!$C$18,AI92/SUM(AK92:AN92)),AI92/A92)),"")</f>
        <v>Vazio</v>
      </c>
      <c r="AK92" s="70">
        <f t="shared" si="3"/>
        <v>0</v>
      </c>
      <c r="AL92" s="70">
        <f t="shared" si="4"/>
        <v>0</v>
      </c>
      <c r="AM92" s="70">
        <f t="shared" si="5"/>
        <v>0</v>
      </c>
      <c r="AN92" s="70">
        <f ca="1">IF(SUMIF($Y$4:$AH$4,"&lt;=" &amp; $AJ$3,ENTRADAS!Y92:AH92)&gt;0,1,0)</f>
        <v>0</v>
      </c>
    </row>
    <row r="93" spans="1:40" ht="21">
      <c r="A93" s="68">
        <f ca="1">COUNT(INDEX($C:$AH,ROW(),1):INDEX($C:$AH,ROW(),$AI$3+1))</f>
        <v>1</v>
      </c>
      <c r="B93" s="106" t="str">
        <f>INDEX(Cadastro_Mantimentos[[#All],[Colunas4]],MATCH(ROW()-5,Cadastro_Mantimentos[[#All],[Colunas2]],0))</f>
        <v>Maionese</v>
      </c>
      <c r="C93" s="193"/>
      <c r="D93" s="193"/>
      <c r="E93" s="193"/>
      <c r="F93" s="193"/>
      <c r="G93" s="193"/>
      <c r="H93" s="193"/>
      <c r="I93" s="193"/>
      <c r="J93" s="193"/>
      <c r="K93" s="193"/>
      <c r="L93" s="193"/>
      <c r="M93" s="193"/>
      <c r="N93" s="193"/>
      <c r="O93" s="193"/>
      <c r="P93" s="193"/>
      <c r="Q93" s="193"/>
      <c r="R93" s="193"/>
      <c r="S93" s="193"/>
      <c r="T93" s="193"/>
      <c r="U93" s="193">
        <v>18</v>
      </c>
      <c r="V93" s="193"/>
      <c r="W93" s="193"/>
      <c r="X93" s="193"/>
      <c r="Y93" s="193"/>
      <c r="Z93" s="193"/>
      <c r="AA93" s="193"/>
      <c r="AB93" s="193"/>
      <c r="AC93" s="193"/>
      <c r="AD93" s="193"/>
      <c r="AE93" s="193"/>
      <c r="AF93" s="193"/>
      <c r="AG93" s="193"/>
      <c r="AH93" s="193"/>
      <c r="AI93" s="114">
        <f ca="1">IF(Configurações!$G$10="Ligado",SUMIFS(C93:AH93,$C$4:$AH$4,"&lt;="&amp;Configurações!$C$5,$C$4:$AH$4,"&lt;="&amp;$AI$3),"")</f>
        <v>18</v>
      </c>
      <c r="AJ93" s="119">
        <f ca="1">IF(Configurações!$G$20="Ligado",IF(AI93&lt;=0,"Vazio",IF(Configurações!$G$18="Semana",IF(Configurações!$G$19="Contar",ENTRADAS!AI93/Configurações!$C$18,AI93/SUM(AK93:AN93)),AI93/A93)),"")</f>
        <v>18</v>
      </c>
      <c r="AK93" s="70">
        <f t="shared" si="3"/>
        <v>0</v>
      </c>
      <c r="AL93" s="70">
        <f t="shared" si="4"/>
        <v>0</v>
      </c>
      <c r="AM93" s="70">
        <f t="shared" si="5"/>
        <v>1</v>
      </c>
      <c r="AN93" s="70">
        <f ca="1">IF(SUMIF($Y$4:$AH$4,"&lt;=" &amp; $AJ$3,ENTRADAS!Y93:AH93)&gt;0,1,0)</f>
        <v>0</v>
      </c>
    </row>
    <row r="94" spans="1:40" ht="21">
      <c r="A94" s="68">
        <f ca="1">COUNT(INDEX($C:$AH,ROW(),1):INDEX($C:$AH,ROW(),$AI$3+1))</f>
        <v>0</v>
      </c>
      <c r="B94" s="106" t="str">
        <f>INDEX(Cadastro_Mantimentos[[#All],[Colunas4]],MATCH(ROW()-5,Cadastro_Mantimentos[[#All],[Colunas2]],0))</f>
        <v xml:space="preserve">Margarina </v>
      </c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3"/>
      <c r="P94" s="193"/>
      <c r="Q94" s="193"/>
      <c r="R94" s="193"/>
      <c r="S94" s="193"/>
      <c r="T94" s="193"/>
      <c r="U94" s="193"/>
      <c r="V94" s="193"/>
      <c r="W94" s="193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  <c r="AI94" s="114">
        <f ca="1">IF(Configurações!$G$10="Ligado",SUMIFS(C94:AH94,$C$4:$AH$4,"&lt;="&amp;Configurações!$C$5,$C$4:$AH$4,"&lt;="&amp;$AI$3),"")</f>
        <v>0</v>
      </c>
      <c r="AJ94" s="119" t="str">
        <f ca="1">IF(Configurações!$G$20="Ligado",IF(AI94&lt;=0,"Vazio",IF(Configurações!$G$18="Semana",IF(Configurações!$G$19="Contar",ENTRADAS!AI94/Configurações!$C$18,AI94/SUM(AK94:AN94)),AI94/A94)),"")</f>
        <v>Vazio</v>
      </c>
      <c r="AK94" s="70">
        <f t="shared" si="3"/>
        <v>0</v>
      </c>
      <c r="AL94" s="70">
        <f t="shared" si="4"/>
        <v>0</v>
      </c>
      <c r="AM94" s="70">
        <f t="shared" si="5"/>
        <v>0</v>
      </c>
      <c r="AN94" s="70">
        <f ca="1">IF(SUMIF($Y$4:$AH$4,"&lt;=" &amp; $AJ$3,ENTRADAS!Y94:AH94)&gt;0,1,0)</f>
        <v>0</v>
      </c>
    </row>
    <row r="95" spans="1:40" ht="21">
      <c r="A95" s="68">
        <f ca="1">COUNT(INDEX($C:$AH,ROW(),1):INDEX($C:$AH,ROW(),$AI$3+1))</f>
        <v>2</v>
      </c>
      <c r="B95" s="106" t="str">
        <f>INDEX(Cadastro_Mantimentos[[#All],[Colunas4]],MATCH(ROW()-5,Cadastro_Mantimentos[[#All],[Colunas2]],0))</f>
        <v>Margarina  Sachê</v>
      </c>
      <c r="C95" s="193"/>
      <c r="D95" s="193"/>
      <c r="E95" s="193"/>
      <c r="F95" s="193"/>
      <c r="G95" s="193"/>
      <c r="H95" s="193"/>
      <c r="I95" s="193"/>
      <c r="J95" s="193"/>
      <c r="K95" s="193"/>
      <c r="L95" s="193">
        <v>3</v>
      </c>
      <c r="M95" s="193"/>
      <c r="N95" s="193"/>
      <c r="O95" s="193"/>
      <c r="P95" s="193"/>
      <c r="Q95" s="193"/>
      <c r="R95" s="193"/>
      <c r="S95" s="193">
        <v>1</v>
      </c>
      <c r="T95" s="193"/>
      <c r="U95" s="193"/>
      <c r="V95" s="193"/>
      <c r="W95" s="193"/>
      <c r="X95" s="193"/>
      <c r="Y95" s="193"/>
      <c r="Z95" s="193"/>
      <c r="AA95" s="193"/>
      <c r="AB95" s="193"/>
      <c r="AC95" s="193"/>
      <c r="AD95" s="193"/>
      <c r="AE95" s="193"/>
      <c r="AF95" s="193"/>
      <c r="AG95" s="193"/>
      <c r="AH95" s="193"/>
      <c r="AI95" s="114">
        <f ca="1">IF(Configurações!$G$10="Ligado",SUMIFS(C95:AH95,$C$4:$AH$4,"&lt;="&amp;Configurações!$C$5,$C$4:$AH$4,"&lt;="&amp;$AI$3),"")</f>
        <v>4</v>
      </c>
      <c r="AJ95" s="119">
        <f ca="1">IF(Configurações!$G$20="Ligado",IF(AI95&lt;=0,"Vazio",IF(Configurações!$G$18="Semana",IF(Configurações!$G$19="Contar",ENTRADAS!AI95/Configurações!$C$18,AI95/SUM(AK95:AN95)),AI95/A95)),"")</f>
        <v>2</v>
      </c>
      <c r="AK95" s="70">
        <f t="shared" si="3"/>
        <v>0</v>
      </c>
      <c r="AL95" s="70">
        <f t="shared" si="4"/>
        <v>1</v>
      </c>
      <c r="AM95" s="70">
        <f t="shared" si="5"/>
        <v>1</v>
      </c>
      <c r="AN95" s="70">
        <f ca="1">IF(SUMIF($Y$4:$AH$4,"&lt;=" &amp; $AJ$3,ENTRADAS!Y95:AH95)&gt;0,1,0)</f>
        <v>0</v>
      </c>
    </row>
    <row r="96" spans="1:40" ht="21">
      <c r="A96" s="68">
        <f ca="1">COUNT(INDEX($C:$AH,ROW(),1):INDEX($C:$AH,ROW(),$AI$3+1))</f>
        <v>1</v>
      </c>
      <c r="B96" s="106" t="str">
        <f>INDEX(Cadastro_Mantimentos[[#All],[Colunas4]],MATCH(ROW()-5,Cadastro_Mantimentos[[#All],[Colunas2]],0))</f>
        <v xml:space="preserve">Milho Verde </v>
      </c>
      <c r="C96" s="193"/>
      <c r="D96" s="193"/>
      <c r="E96" s="193"/>
      <c r="F96" s="193"/>
      <c r="G96" s="193"/>
      <c r="H96" s="193"/>
      <c r="I96" s="193"/>
      <c r="J96" s="193"/>
      <c r="K96" s="193"/>
      <c r="L96" s="193">
        <v>24</v>
      </c>
      <c r="M96" s="193"/>
      <c r="N96" s="193"/>
      <c r="O96" s="193"/>
      <c r="P96" s="193"/>
      <c r="Q96" s="193"/>
      <c r="R96" s="193"/>
      <c r="S96" s="193"/>
      <c r="T96" s="193"/>
      <c r="U96" s="193"/>
      <c r="V96" s="193"/>
      <c r="W96" s="193"/>
      <c r="X96" s="193"/>
      <c r="Y96" s="193"/>
      <c r="Z96" s="193"/>
      <c r="AA96" s="193"/>
      <c r="AB96" s="193"/>
      <c r="AC96" s="193"/>
      <c r="AD96" s="193"/>
      <c r="AE96" s="193"/>
      <c r="AF96" s="193"/>
      <c r="AG96" s="193"/>
      <c r="AH96" s="193"/>
      <c r="AI96" s="114">
        <f ca="1">IF(Configurações!$G$10="Ligado",SUMIFS(C96:AH96,$C$4:$AH$4,"&lt;="&amp;Configurações!$C$5,$C$4:$AH$4,"&lt;="&amp;$AI$3),"")</f>
        <v>24</v>
      </c>
      <c r="AJ96" s="119">
        <f ca="1">IF(Configurações!$G$20="Ligado",IF(AI96&lt;=0,"Vazio",IF(Configurações!$G$18="Semana",IF(Configurações!$G$19="Contar",ENTRADAS!AI96/Configurações!$C$18,AI96/SUM(AK96:AN96)),AI96/A96)),"")</f>
        <v>24</v>
      </c>
      <c r="AK96" s="70">
        <f t="shared" si="3"/>
        <v>0</v>
      </c>
      <c r="AL96" s="70">
        <f t="shared" si="4"/>
        <v>1</v>
      </c>
      <c r="AM96" s="70">
        <f t="shared" si="5"/>
        <v>0</v>
      </c>
      <c r="AN96" s="70">
        <f ca="1">IF(SUMIF($Y$4:$AH$4,"&lt;=" &amp; $AJ$3,ENTRADAS!Y96:AH96)&gt;0,1,0)</f>
        <v>0</v>
      </c>
    </row>
    <row r="97" spans="1:40" ht="21">
      <c r="A97" s="68">
        <f ca="1">COUNT(INDEX($C:$AH,ROW(),1):INDEX($C:$AH,ROW(),$AI$3+1))</f>
        <v>0</v>
      </c>
      <c r="B97" s="106" t="str">
        <f>INDEX(Cadastro_Mantimentos[[#All],[Colunas4]],MATCH(ROW()-5,Cadastro_Mantimentos[[#All],[Colunas2]],0))</f>
        <v>Molho</v>
      </c>
      <c r="C97" s="193"/>
      <c r="D97" s="193"/>
      <c r="E97" s="193"/>
      <c r="F97" s="193"/>
      <c r="G97" s="193"/>
      <c r="H97" s="193"/>
      <c r="I97" s="193"/>
      <c r="J97" s="193"/>
      <c r="K97" s="193"/>
      <c r="L97" s="193"/>
      <c r="M97" s="193"/>
      <c r="N97" s="193"/>
      <c r="O97" s="193"/>
      <c r="P97" s="193"/>
      <c r="Q97" s="193"/>
      <c r="R97" s="193"/>
      <c r="S97" s="193"/>
      <c r="T97" s="193"/>
      <c r="U97" s="193"/>
      <c r="V97" s="193"/>
      <c r="W97" s="193"/>
      <c r="X97" s="193"/>
      <c r="Y97" s="193"/>
      <c r="Z97" s="193"/>
      <c r="AA97" s="193"/>
      <c r="AB97" s="193"/>
      <c r="AC97" s="193"/>
      <c r="AD97" s="193"/>
      <c r="AE97" s="193"/>
      <c r="AF97" s="193"/>
      <c r="AG97" s="193"/>
      <c r="AH97" s="193"/>
      <c r="AI97" s="114">
        <f ca="1">IF(Configurações!$G$10="Ligado",SUMIFS(C97:AH97,$C$4:$AH$4,"&lt;="&amp;Configurações!$C$5,$C$4:$AH$4,"&lt;="&amp;$AI$3),"")</f>
        <v>0</v>
      </c>
      <c r="AJ97" s="119" t="str">
        <f ca="1">IF(Configurações!$G$20="Ligado",IF(AI97&lt;=0,"Vazio",IF(Configurações!$G$18="Semana",IF(Configurações!$G$19="Contar",ENTRADAS!AI97/Configurações!$C$18,AI97/SUM(AK97:AN97)),AI97/A97)),"")</f>
        <v>Vazio</v>
      </c>
      <c r="AK97" s="70">
        <f t="shared" si="3"/>
        <v>0</v>
      </c>
      <c r="AL97" s="70">
        <f t="shared" si="4"/>
        <v>0</v>
      </c>
      <c r="AM97" s="70">
        <f t="shared" si="5"/>
        <v>0</v>
      </c>
      <c r="AN97" s="70">
        <f ca="1">IF(SUMIF($Y$4:$AH$4,"&lt;=" &amp; $AJ$3,ENTRADAS!Y97:AH97)&gt;0,1,0)</f>
        <v>0</v>
      </c>
    </row>
    <row r="98" spans="1:40" ht="21">
      <c r="A98" s="68">
        <f ca="1">COUNT(INDEX($C:$AH,ROW(),1):INDEX($C:$AH,ROW(),$AI$3+1))</f>
        <v>0</v>
      </c>
      <c r="B98" s="106" t="str">
        <f>INDEX(Cadastro_Mantimentos[[#All],[Colunas4]],MATCH(ROW()-5,Cadastro_Mantimentos[[#All],[Colunas2]],0))</f>
        <v>Molho De Tomate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  <c r="AI98" s="114">
        <f ca="1">IF(Configurações!$G$10="Ligado",SUMIFS(C98:AH98,$C$4:$AH$4,"&lt;="&amp;Configurações!$C$5,$C$4:$AH$4,"&lt;="&amp;$AI$3),"")</f>
        <v>0</v>
      </c>
      <c r="AJ98" s="119" t="str">
        <f ca="1">IF(Configurações!$G$20="Ligado",IF(AI98&lt;=0,"Vazio",IF(Configurações!$G$18="Semana",IF(Configurações!$G$19="Contar",ENTRADAS!AI98/Configurações!$C$18,AI98/SUM(AK98:AN98)),AI98/A98)),"")</f>
        <v>Vazio</v>
      </c>
      <c r="AK98" s="70">
        <f t="shared" si="3"/>
        <v>0</v>
      </c>
      <c r="AL98" s="70">
        <f t="shared" si="4"/>
        <v>0</v>
      </c>
      <c r="AM98" s="70">
        <f t="shared" si="5"/>
        <v>0</v>
      </c>
      <c r="AN98" s="70">
        <f ca="1">IF(SUMIF($Y$4:$AH$4,"&lt;=" &amp; $AJ$3,ENTRADAS!Y98:AH98)&gt;0,1,0)</f>
        <v>0</v>
      </c>
    </row>
    <row r="99" spans="1:40" ht="21">
      <c r="A99" s="68">
        <f ca="1">COUNT(INDEX($C:$AH,ROW(),1):INDEX($C:$AH,ROW(),$AI$3+1))</f>
        <v>0</v>
      </c>
      <c r="B99" s="106" t="str">
        <f>INDEX(Cadastro_Mantimentos[[#All],[Colunas4]],MATCH(ROW()-5,Cadastro_Mantimentos[[#All],[Colunas2]],0))</f>
        <v>Molho Escuro</v>
      </c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  <c r="AI99" s="114">
        <f ca="1">IF(Configurações!$G$10="Ligado",SUMIFS(C99:AH99,$C$4:$AH$4,"&lt;="&amp;Configurações!$C$5,$C$4:$AH$4,"&lt;="&amp;$AI$3),"")</f>
        <v>0</v>
      </c>
      <c r="AJ99" s="119" t="str">
        <f ca="1">IF(Configurações!$G$20="Ligado",IF(AI99&lt;=0,"Vazio",IF(Configurações!$G$18="Semana",IF(Configurações!$G$19="Contar",ENTRADAS!AI99/Configurações!$C$18,AI99/SUM(AK99:AN99)),AI99/A99)),"")</f>
        <v>Vazio</v>
      </c>
      <c r="AK99" s="70">
        <f t="shared" si="3"/>
        <v>0</v>
      </c>
      <c r="AL99" s="70">
        <f t="shared" si="4"/>
        <v>0</v>
      </c>
      <c r="AM99" s="70">
        <f t="shared" si="5"/>
        <v>0</v>
      </c>
      <c r="AN99" s="70">
        <f ca="1">IF(SUMIF($Y$4:$AH$4,"&lt;=" &amp; $AJ$3,ENTRADAS!Y99:AH99)&gt;0,1,0)</f>
        <v>0</v>
      </c>
    </row>
    <row r="100" spans="1:40" ht="21">
      <c r="A100" s="68">
        <f ca="1">COUNT(INDEX($C:$AH,ROW(),1):INDEX($C:$AH,ROW(),$AI$3+1))</f>
        <v>0</v>
      </c>
      <c r="B100" s="106" t="str">
        <f>INDEX(Cadastro_Mantimentos[[#All],[Colunas4]],MATCH(ROW()-5,Cadastro_Mantimentos[[#All],[Colunas2]],0))</f>
        <v>Molho Ingles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  <c r="AI100" s="114">
        <f ca="1">IF(Configurações!$G$10="Ligado",SUMIFS(C100:AH100,$C$4:$AH$4,"&lt;="&amp;Configurações!$C$5,$C$4:$AH$4,"&lt;="&amp;$AI$3),"")</f>
        <v>0</v>
      </c>
      <c r="AJ100" s="119" t="str">
        <f ca="1">IF(Configurações!$G$20="Ligado",IF(AI100&lt;=0,"Vazio",IF(Configurações!$G$18="Semana",IF(Configurações!$G$19="Contar",ENTRADAS!AI100/Configurações!$C$18,AI100/SUM(AK100:AN100)),AI100/A100)),"")</f>
        <v>Vazio</v>
      </c>
      <c r="AK100" s="70">
        <f t="shared" si="3"/>
        <v>0</v>
      </c>
      <c r="AL100" s="70">
        <f t="shared" si="4"/>
        <v>0</v>
      </c>
      <c r="AM100" s="70">
        <f t="shared" si="5"/>
        <v>0</v>
      </c>
      <c r="AN100" s="70">
        <f ca="1">IF(SUMIF($Y$4:$AH$4,"&lt;=" &amp; $AJ$3,ENTRADAS!Y100:AH100)&gt;0,1,0)</f>
        <v>0</v>
      </c>
    </row>
    <row r="101" spans="1:40" ht="21">
      <c r="A101" s="68">
        <f ca="1">COUNT(INDEX($C:$AH,ROW(),1):INDEX($C:$AH,ROW(),$AI$3+1))</f>
        <v>0</v>
      </c>
      <c r="B101" s="106" t="str">
        <f>INDEX(Cadastro_Mantimentos[[#All],[Colunas4]],MATCH(ROW()-5,Cadastro_Mantimentos[[#All],[Colunas2]],0))</f>
        <v>Molho Pimenta</v>
      </c>
      <c r="C101" s="193"/>
      <c r="D101" s="193"/>
      <c r="E101" s="193"/>
      <c r="F101" s="193"/>
      <c r="G101" s="193"/>
      <c r="H101" s="193"/>
      <c r="I101" s="193"/>
      <c r="J101" s="193"/>
      <c r="K101" s="193"/>
      <c r="L101" s="193"/>
      <c r="M101" s="193"/>
      <c r="N101" s="193"/>
      <c r="O101" s="193"/>
      <c r="P101" s="193"/>
      <c r="Q101" s="193"/>
      <c r="R101" s="193"/>
      <c r="S101" s="193"/>
      <c r="T101" s="193"/>
      <c r="U101" s="193"/>
      <c r="V101" s="193"/>
      <c r="W101" s="193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  <c r="AI101" s="114">
        <f ca="1">IF(Configurações!$G$10="Ligado",SUMIFS(C101:AH101,$C$4:$AH$4,"&lt;="&amp;Configurações!$C$5,$C$4:$AH$4,"&lt;="&amp;$AI$3),"")</f>
        <v>0</v>
      </c>
      <c r="AJ101" s="119" t="str">
        <f ca="1">IF(Configurações!$G$20="Ligado",IF(AI101&lt;=0,"Vazio",IF(Configurações!$G$18="Semana",IF(Configurações!$G$19="Contar",ENTRADAS!AI101/Configurações!$C$18,AI101/SUM(AK101:AN101)),AI101/A101)),"")</f>
        <v>Vazio</v>
      </c>
      <c r="AK101" s="70">
        <f t="shared" si="3"/>
        <v>0</v>
      </c>
      <c r="AL101" s="70">
        <f t="shared" si="4"/>
        <v>0</v>
      </c>
      <c r="AM101" s="70">
        <f t="shared" si="5"/>
        <v>0</v>
      </c>
      <c r="AN101" s="70">
        <f ca="1">IF(SUMIF($Y$4:$AH$4,"&lt;=" &amp; $AJ$3,ENTRADAS!Y101:AH101)&gt;0,1,0)</f>
        <v>0</v>
      </c>
    </row>
    <row r="102" spans="1:40" ht="21">
      <c r="A102" s="68">
        <f ca="1">COUNT(INDEX($C:$AH,ROW(),1):INDEX($C:$AH,ROW(),$AI$3+1))</f>
        <v>1</v>
      </c>
      <c r="B102" s="106" t="str">
        <f>INDEX(Cadastro_Mantimentos[[#All],[Colunas4]],MATCH(ROW()-5,Cadastro_Mantimentos[[#All],[Colunas2]],0))</f>
        <v>Mostarda</v>
      </c>
      <c r="C102" s="193"/>
      <c r="D102" s="193"/>
      <c r="E102" s="193"/>
      <c r="F102" s="193"/>
      <c r="G102" s="193"/>
      <c r="H102" s="193"/>
      <c r="I102" s="193"/>
      <c r="J102" s="193"/>
      <c r="K102" s="193"/>
      <c r="L102" s="193"/>
      <c r="M102" s="193">
        <v>3.3</v>
      </c>
      <c r="N102" s="193"/>
      <c r="O102" s="193"/>
      <c r="P102" s="193"/>
      <c r="Q102" s="193"/>
      <c r="R102" s="193"/>
      <c r="S102" s="193"/>
      <c r="T102" s="193"/>
      <c r="U102" s="193"/>
      <c r="V102" s="193"/>
      <c r="W102" s="193"/>
      <c r="X102" s="193"/>
      <c r="Y102" s="193"/>
      <c r="Z102" s="193"/>
      <c r="AA102" s="193"/>
      <c r="AB102" s="193"/>
      <c r="AC102" s="193"/>
      <c r="AD102" s="193"/>
      <c r="AE102" s="193"/>
      <c r="AF102" s="193"/>
      <c r="AG102" s="193"/>
      <c r="AH102" s="193"/>
      <c r="AI102" s="114">
        <f ca="1">IF(Configurações!$G$10="Ligado",SUMIFS(C102:AH102,$C$4:$AH$4,"&lt;="&amp;Configurações!$C$5,$C$4:$AH$4,"&lt;="&amp;$AI$3),"")</f>
        <v>3.3</v>
      </c>
      <c r="AJ102" s="119">
        <f ca="1">IF(Configurações!$G$20="Ligado",IF(AI102&lt;=0,"Vazio",IF(Configurações!$G$18="Semana",IF(Configurações!$G$19="Contar",ENTRADAS!AI102/Configurações!$C$18,AI102/SUM(AK102:AN102)),AI102/A102)),"")</f>
        <v>3.3</v>
      </c>
      <c r="AK102" s="70">
        <f t="shared" si="3"/>
        <v>0</v>
      </c>
      <c r="AL102" s="70">
        <f t="shared" si="4"/>
        <v>1</v>
      </c>
      <c r="AM102" s="70">
        <f t="shared" si="5"/>
        <v>0</v>
      </c>
      <c r="AN102" s="70">
        <f ca="1">IF(SUMIF($Y$4:$AH$4,"&lt;=" &amp; $AJ$3,ENTRADAS!Y102:AH102)&gt;0,1,0)</f>
        <v>0</v>
      </c>
    </row>
    <row r="103" spans="1:40" ht="21">
      <c r="A103" s="68">
        <f ca="1">COUNT(INDEX($C:$AH,ROW(),1):INDEX($C:$AH,ROW(),$AI$3+1))</f>
        <v>2</v>
      </c>
      <c r="B103" s="106" t="str">
        <f>INDEX(Cadastro_Mantimentos[[#All],[Colunas4]],MATCH(ROW()-5,Cadastro_Mantimentos[[#All],[Colunas2]],0))</f>
        <v>Óleo De Soja</v>
      </c>
      <c r="C103" s="193"/>
      <c r="D103" s="193"/>
      <c r="E103" s="193"/>
      <c r="F103" s="193"/>
      <c r="G103" s="193"/>
      <c r="H103" s="193"/>
      <c r="I103" s="193"/>
      <c r="J103" s="193"/>
      <c r="K103" s="193"/>
      <c r="L103" s="193"/>
      <c r="M103" s="193">
        <v>20</v>
      </c>
      <c r="N103" s="193"/>
      <c r="O103" s="193"/>
      <c r="P103" s="193"/>
      <c r="Q103" s="193"/>
      <c r="R103" s="193"/>
      <c r="S103" s="193">
        <v>20</v>
      </c>
      <c r="T103" s="193"/>
      <c r="U103" s="193"/>
      <c r="V103" s="193"/>
      <c r="W103" s="193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14">
        <f ca="1">IF(Configurações!$G$10="Ligado",SUMIFS(C103:AH103,$C$4:$AH$4,"&lt;="&amp;Configurações!$C$5,$C$4:$AH$4,"&lt;="&amp;$AI$3),"")</f>
        <v>40</v>
      </c>
      <c r="AJ103" s="119">
        <f ca="1">IF(Configurações!$G$20="Ligado",IF(AI103&lt;=0,"Vazio",IF(Configurações!$G$18="Semana",IF(Configurações!$G$19="Contar",ENTRADAS!AI103/Configurações!$C$18,AI103/SUM(AK103:AN103)),AI103/A103)),"")</f>
        <v>20</v>
      </c>
      <c r="AK103" s="70">
        <f t="shared" si="3"/>
        <v>0</v>
      </c>
      <c r="AL103" s="70">
        <f t="shared" si="4"/>
        <v>1</v>
      </c>
      <c r="AM103" s="70">
        <f t="shared" si="5"/>
        <v>1</v>
      </c>
      <c r="AN103" s="70">
        <f ca="1">IF(SUMIF($Y$4:$AH$4,"&lt;=" &amp; $AJ$3,ENTRADAS!Y103:AH103)&gt;0,1,0)</f>
        <v>0</v>
      </c>
    </row>
    <row r="104" spans="1:40" ht="21">
      <c r="A104" s="68">
        <f ca="1">COUNT(INDEX($C:$AH,ROW(),1):INDEX($C:$AH,ROW(),$AI$3+1))</f>
        <v>0</v>
      </c>
      <c r="B104" s="106" t="str">
        <f>INDEX(Cadastro_Mantimentos[[#All],[Colunas4]],MATCH(ROW()-5,Cadastro_Mantimentos[[#All],[Colunas2]],0))</f>
        <v>Óleo Maria</v>
      </c>
      <c r="C104" s="193"/>
      <c r="D104" s="193"/>
      <c r="E104" s="193"/>
      <c r="F104" s="193"/>
      <c r="G104" s="193"/>
      <c r="H104" s="193"/>
      <c r="I104" s="193"/>
      <c r="J104" s="193"/>
      <c r="K104" s="193"/>
      <c r="L104" s="193"/>
      <c r="M104" s="193"/>
      <c r="N104" s="193"/>
      <c r="O104" s="193"/>
      <c r="P104" s="193"/>
      <c r="Q104" s="193"/>
      <c r="R104" s="193"/>
      <c r="S104" s="193"/>
      <c r="T104" s="193"/>
      <c r="U104" s="193"/>
      <c r="V104" s="193"/>
      <c r="W104" s="193"/>
      <c r="X104" s="193"/>
      <c r="Y104" s="193"/>
      <c r="Z104" s="193"/>
      <c r="AA104" s="193"/>
      <c r="AB104" s="193"/>
      <c r="AC104" s="193"/>
      <c r="AD104" s="193"/>
      <c r="AE104" s="193"/>
      <c r="AF104" s="193"/>
      <c r="AG104" s="193"/>
      <c r="AH104" s="193"/>
      <c r="AI104" s="114">
        <f ca="1">IF(Configurações!$G$10="Ligado",SUMIFS(C104:AH104,$C$4:$AH$4,"&lt;="&amp;Configurações!$C$5,$C$4:$AH$4,"&lt;="&amp;$AI$3),"")</f>
        <v>0</v>
      </c>
      <c r="AJ104" s="119" t="str">
        <f ca="1">IF(Configurações!$G$20="Ligado",IF(AI104&lt;=0,"Vazio",IF(Configurações!$G$18="Semana",IF(Configurações!$G$19="Contar",ENTRADAS!AI104/Configurações!$C$18,AI104/SUM(AK104:AN104)),AI104/A104)),"")</f>
        <v>Vazio</v>
      </c>
      <c r="AK104" s="70">
        <f t="shared" si="3"/>
        <v>0</v>
      </c>
      <c r="AL104" s="70">
        <f t="shared" si="4"/>
        <v>0</v>
      </c>
      <c r="AM104" s="70">
        <f t="shared" si="5"/>
        <v>0</v>
      </c>
      <c r="AN104" s="70">
        <f ca="1">IF(SUMIF($Y$4:$AH$4,"&lt;=" &amp; $AJ$3,ENTRADAS!Y104:AH104)&gt;0,1,0)</f>
        <v>0</v>
      </c>
    </row>
    <row r="105" spans="1:40" ht="21">
      <c r="A105" s="68">
        <f ca="1">COUNT(INDEX($C:$AH,ROW(),1):INDEX($C:$AH,ROW(),$AI$3+1))</f>
        <v>0</v>
      </c>
      <c r="B105" s="106" t="str">
        <f>INDEX(Cadastro_Mantimentos[[#All],[Colunas4]],MATCH(ROW()-5,Cadastro_Mantimentos[[#All],[Colunas2]],0))</f>
        <v>Orégano</v>
      </c>
      <c r="C105" s="193"/>
      <c r="D105" s="193"/>
      <c r="E105" s="193"/>
      <c r="F105" s="193"/>
      <c r="G105" s="193"/>
      <c r="H105" s="193"/>
      <c r="I105" s="193"/>
      <c r="J105" s="193"/>
      <c r="K105" s="193"/>
      <c r="L105" s="193"/>
      <c r="M105" s="193"/>
      <c r="N105" s="193"/>
      <c r="O105" s="193"/>
      <c r="P105" s="193"/>
      <c r="Q105" s="193"/>
      <c r="R105" s="193"/>
      <c r="S105" s="193"/>
      <c r="T105" s="193"/>
      <c r="U105" s="193"/>
      <c r="V105" s="193"/>
      <c r="W105" s="193"/>
      <c r="X105" s="193"/>
      <c r="Y105" s="193"/>
      <c r="Z105" s="193"/>
      <c r="AA105" s="193"/>
      <c r="AB105" s="193"/>
      <c r="AC105" s="193"/>
      <c r="AD105" s="193"/>
      <c r="AE105" s="193"/>
      <c r="AF105" s="193"/>
      <c r="AG105" s="193"/>
      <c r="AH105" s="193"/>
      <c r="AI105" s="114">
        <f ca="1">IF(Configurações!$G$10="Ligado",SUMIFS(C105:AH105,$C$4:$AH$4,"&lt;="&amp;Configurações!$C$5,$C$4:$AH$4,"&lt;="&amp;$AI$3),"")</f>
        <v>0</v>
      </c>
      <c r="AJ105" s="119" t="str">
        <f ca="1">IF(Configurações!$G$20="Ligado",IF(AI105&lt;=0,"Vazio",IF(Configurações!$G$18="Semana",IF(Configurações!$G$19="Contar",ENTRADAS!AI105/Configurações!$C$18,AI105/SUM(AK105:AN105)),AI105/A105)),"")</f>
        <v>Vazio</v>
      </c>
      <c r="AK105" s="70">
        <f t="shared" si="3"/>
        <v>0</v>
      </c>
      <c r="AL105" s="70">
        <f t="shared" si="4"/>
        <v>0</v>
      </c>
      <c r="AM105" s="70">
        <f t="shared" si="5"/>
        <v>0</v>
      </c>
      <c r="AN105" s="70">
        <f ca="1">IF(SUMIF($Y$4:$AH$4,"&lt;=" &amp; $AJ$3,ENTRADAS!Y105:AH105)&gt;0,1,0)</f>
        <v>0</v>
      </c>
    </row>
    <row r="106" spans="1:40" ht="21">
      <c r="A106" s="68">
        <f ca="1">COUNT(INDEX($C:$AH,ROW(),1):INDEX($C:$AH,ROW(),$AI$3+1))</f>
        <v>1</v>
      </c>
      <c r="B106" s="106" t="str">
        <f>INDEX(Cadastro_Mantimentos[[#All],[Colunas4]],MATCH(ROW()-5,Cadastro_Mantimentos[[#All],[Colunas2]],0))</f>
        <v>Pão De Forma</v>
      </c>
      <c r="C106" s="193">
        <v>7</v>
      </c>
      <c r="D106" s="193"/>
      <c r="E106" s="193"/>
      <c r="F106" s="193"/>
      <c r="G106" s="193"/>
      <c r="H106" s="193"/>
      <c r="I106" s="193"/>
      <c r="J106" s="193"/>
      <c r="K106" s="193"/>
      <c r="L106" s="193"/>
      <c r="M106" s="193"/>
      <c r="N106" s="193"/>
      <c r="O106" s="193"/>
      <c r="P106" s="193"/>
      <c r="Q106" s="193"/>
      <c r="R106" s="193"/>
      <c r="S106" s="193"/>
      <c r="T106" s="193"/>
      <c r="U106" s="193"/>
      <c r="V106" s="193"/>
      <c r="W106" s="193"/>
      <c r="X106" s="193"/>
      <c r="Y106" s="193"/>
      <c r="Z106" s="193"/>
      <c r="AA106" s="193"/>
      <c r="AB106" s="193"/>
      <c r="AC106" s="193"/>
      <c r="AD106" s="193"/>
      <c r="AE106" s="193"/>
      <c r="AF106" s="193"/>
      <c r="AG106" s="193"/>
      <c r="AH106" s="193"/>
      <c r="AI106" s="114">
        <f ca="1">IF(Configurações!$G$10="Ligado",SUMIFS(C106:AH106,$C$4:$AH$4,"&lt;="&amp;Configurações!$C$5,$C$4:$AH$4,"&lt;="&amp;$AI$3),"")</f>
        <v>7</v>
      </c>
      <c r="AJ106" s="119">
        <f ca="1">IF(Configurações!$G$20="Ligado",IF(AI106&lt;=0,"Vazio",IF(Configurações!$G$18="Semana",IF(Configurações!$G$19="Contar",ENTRADAS!AI106/Configurações!$C$18,AI106/SUM(AK106:AN106)),AI106/A106)),"")</f>
        <v>7</v>
      </c>
      <c r="AK106" s="70">
        <f t="shared" si="3"/>
        <v>1</v>
      </c>
      <c r="AL106" s="70">
        <f t="shared" si="4"/>
        <v>0</v>
      </c>
      <c r="AM106" s="70">
        <f t="shared" si="5"/>
        <v>0</v>
      </c>
      <c r="AN106" s="70">
        <f ca="1">IF(SUMIF($Y$4:$AH$4,"&lt;=" &amp; $AJ$3,ENTRADAS!Y106:AH106)&gt;0,1,0)</f>
        <v>0</v>
      </c>
    </row>
    <row r="107" spans="1:40" ht="21">
      <c r="A107" s="68">
        <f ca="1">COUNT(INDEX($C:$AH,ROW(),1):INDEX($C:$AH,ROW(),$AI$3+1))</f>
        <v>1</v>
      </c>
      <c r="B107" s="106" t="str">
        <f>INDEX(Cadastro_Mantimentos[[#All],[Colunas4]],MATCH(ROW()-5,Cadastro_Mantimentos[[#All],[Colunas2]],0))</f>
        <v>Pão Integral</v>
      </c>
      <c r="C107" s="193">
        <v>1</v>
      </c>
      <c r="D107" s="193"/>
      <c r="E107" s="193"/>
      <c r="F107" s="193"/>
      <c r="G107" s="193"/>
      <c r="H107" s="193"/>
      <c r="I107" s="193"/>
      <c r="J107" s="193"/>
      <c r="K107" s="193"/>
      <c r="L107" s="193"/>
      <c r="M107" s="193"/>
      <c r="N107" s="193"/>
      <c r="O107" s="193"/>
      <c r="P107" s="193"/>
      <c r="Q107" s="193"/>
      <c r="R107" s="193"/>
      <c r="S107" s="193"/>
      <c r="T107" s="193"/>
      <c r="U107" s="193"/>
      <c r="V107" s="193"/>
      <c r="W107" s="193"/>
      <c r="X107" s="193"/>
      <c r="Y107" s="193"/>
      <c r="Z107" s="193"/>
      <c r="AA107" s="193"/>
      <c r="AB107" s="193"/>
      <c r="AC107" s="193"/>
      <c r="AD107" s="193"/>
      <c r="AE107" s="193"/>
      <c r="AF107" s="193"/>
      <c r="AG107" s="193"/>
      <c r="AH107" s="193"/>
      <c r="AI107" s="114">
        <f ca="1">IF(Configurações!$G$10="Ligado",SUMIFS(C107:AH107,$C$4:$AH$4,"&lt;="&amp;Configurações!$C$5,$C$4:$AH$4,"&lt;="&amp;$AI$3),"")</f>
        <v>1</v>
      </c>
      <c r="AJ107" s="119">
        <f ca="1">IF(Configurações!$G$20="Ligado",IF(AI107&lt;=0,"Vazio",IF(Configurações!$G$18="Semana",IF(Configurações!$G$19="Contar",ENTRADAS!AI107/Configurações!$C$18,AI107/SUM(AK107:AN107)),AI107/A107)),"")</f>
        <v>1</v>
      </c>
      <c r="AK107" s="70">
        <f t="shared" si="3"/>
        <v>1</v>
      </c>
      <c r="AL107" s="70">
        <f t="shared" si="4"/>
        <v>0</v>
      </c>
      <c r="AM107" s="70">
        <f t="shared" si="5"/>
        <v>0</v>
      </c>
      <c r="AN107" s="70">
        <f ca="1">IF(SUMIF($Y$4:$AH$4,"&lt;=" &amp; $AJ$3,ENTRADAS!Y107:AH107)&gt;0,1,0)</f>
        <v>0</v>
      </c>
    </row>
    <row r="108" spans="1:40" ht="21">
      <c r="A108" s="68">
        <f ca="1">COUNT(INDEX($C:$AH,ROW(),1):INDEX($C:$AH,ROW(),$AI$3+1))</f>
        <v>0</v>
      </c>
      <c r="B108" s="106" t="str">
        <f>INDEX(Cadastro_Mantimentos[[#All],[Colunas4]],MATCH(ROW()-5,Cadastro_Mantimentos[[#All],[Colunas2]],0))</f>
        <v>Páprica</v>
      </c>
      <c r="C108" s="193"/>
      <c r="D108" s="193"/>
      <c r="E108" s="193"/>
      <c r="F108" s="193"/>
      <c r="G108" s="193"/>
      <c r="H108" s="193"/>
      <c r="I108" s="193"/>
      <c r="J108" s="193"/>
      <c r="K108" s="193"/>
      <c r="L108" s="193"/>
      <c r="M108" s="193"/>
      <c r="N108" s="193"/>
      <c r="O108" s="193"/>
      <c r="P108" s="193"/>
      <c r="Q108" s="193"/>
      <c r="R108" s="193"/>
      <c r="S108" s="193"/>
      <c r="T108" s="193"/>
      <c r="U108" s="193"/>
      <c r="V108" s="193"/>
      <c r="W108" s="193"/>
      <c r="X108" s="193"/>
      <c r="Y108" s="193"/>
      <c r="Z108" s="193"/>
      <c r="AA108" s="193"/>
      <c r="AB108" s="193"/>
      <c r="AC108" s="193"/>
      <c r="AD108" s="193"/>
      <c r="AE108" s="193"/>
      <c r="AF108" s="193"/>
      <c r="AG108" s="193"/>
      <c r="AH108" s="193"/>
      <c r="AI108" s="114">
        <f ca="1">IF(Configurações!$G$10="Ligado",SUMIFS(C108:AH108,$C$4:$AH$4,"&lt;="&amp;Configurações!$C$5,$C$4:$AH$4,"&lt;="&amp;$AI$3),"")</f>
        <v>0</v>
      </c>
      <c r="AJ108" s="119" t="str">
        <f ca="1">IF(Configurações!$G$20="Ligado",IF(AI108&lt;=0,"Vazio",IF(Configurações!$G$18="Semana",IF(Configurações!$G$19="Contar",ENTRADAS!AI108/Configurações!$C$18,AI108/SUM(AK108:AN108)),AI108/A108)),"")</f>
        <v>Vazio</v>
      </c>
      <c r="AK108" s="70">
        <f t="shared" si="3"/>
        <v>0</v>
      </c>
      <c r="AL108" s="70">
        <f t="shared" si="4"/>
        <v>0</v>
      </c>
      <c r="AM108" s="70">
        <f t="shared" si="5"/>
        <v>0</v>
      </c>
      <c r="AN108" s="70">
        <f ca="1">IF(SUMIF($Y$4:$AH$4,"&lt;=" &amp; $AJ$3,ENTRADAS!Y108:AH108)&gt;0,1,0)</f>
        <v>0</v>
      </c>
    </row>
    <row r="109" spans="1:40" ht="21">
      <c r="A109" s="68">
        <f ca="1">COUNT(INDEX($C:$AH,ROW(),1):INDEX($C:$AH,ROW(),$AI$3+1))</f>
        <v>2</v>
      </c>
      <c r="B109" s="106" t="str">
        <f>INDEX(Cadastro_Mantimentos[[#All],[Colunas4]],MATCH(ROW()-5,Cadastro_Mantimentos[[#All],[Colunas2]],0))</f>
        <v>Pêssego Em Calda</v>
      </c>
      <c r="C109" s="193"/>
      <c r="D109" s="193"/>
      <c r="E109" s="193"/>
      <c r="F109" s="193"/>
      <c r="G109" s="193"/>
      <c r="H109" s="193"/>
      <c r="I109" s="193"/>
      <c r="J109" s="193"/>
      <c r="K109" s="193"/>
      <c r="L109" s="193"/>
      <c r="M109" s="193">
        <v>6</v>
      </c>
      <c r="N109" s="193"/>
      <c r="O109" s="193"/>
      <c r="P109" s="193"/>
      <c r="Q109" s="193"/>
      <c r="R109" s="193"/>
      <c r="S109" s="193"/>
      <c r="T109" s="193"/>
      <c r="U109" s="193">
        <v>5</v>
      </c>
      <c r="V109" s="193"/>
      <c r="W109" s="193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  <c r="AI109" s="114">
        <f ca="1">IF(Configurações!$G$10="Ligado",SUMIFS(C109:AH109,$C$4:$AH$4,"&lt;="&amp;Configurações!$C$5,$C$4:$AH$4,"&lt;="&amp;$AI$3),"")</f>
        <v>11</v>
      </c>
      <c r="AJ109" s="119">
        <f ca="1">IF(Configurações!$G$20="Ligado",IF(AI109&lt;=0,"Vazio",IF(Configurações!$G$18="Semana",IF(Configurações!$G$19="Contar",ENTRADAS!AI109/Configurações!$C$18,AI109/SUM(AK109:AN109)),AI109/A109)),"")</f>
        <v>5.5</v>
      </c>
      <c r="AK109" s="70">
        <f t="shared" si="3"/>
        <v>0</v>
      </c>
      <c r="AL109" s="70">
        <f t="shared" si="4"/>
        <v>1</v>
      </c>
      <c r="AM109" s="70">
        <f t="shared" si="5"/>
        <v>1</v>
      </c>
      <c r="AN109" s="70">
        <f ca="1">IF(SUMIF($Y$4:$AH$4,"&lt;=" &amp; $AJ$3,ENTRADAS!Y109:AH109)&gt;0,1,0)</f>
        <v>0</v>
      </c>
    </row>
    <row r="110" spans="1:40" ht="21">
      <c r="A110" s="68">
        <f ca="1">COUNT(INDEX($C:$AH,ROW(),1):INDEX($C:$AH,ROW(),$AI$3+1))</f>
        <v>0</v>
      </c>
      <c r="B110" s="106" t="str">
        <f>INDEX(Cadastro_Mantimentos[[#All],[Colunas4]],MATCH(ROW()-5,Cadastro_Mantimentos[[#All],[Colunas2]],0))</f>
        <v>Pó Pudim Baunilha</v>
      </c>
      <c r="C110" s="193"/>
      <c r="D110" s="193"/>
      <c r="E110" s="193"/>
      <c r="F110" s="193"/>
      <c r="G110" s="193"/>
      <c r="H110" s="193"/>
      <c r="I110" s="193"/>
      <c r="J110" s="193"/>
      <c r="K110" s="193"/>
      <c r="L110" s="193"/>
      <c r="M110" s="193"/>
      <c r="N110" s="193"/>
      <c r="O110" s="193"/>
      <c r="P110" s="193"/>
      <c r="Q110" s="193"/>
      <c r="R110" s="193"/>
      <c r="S110" s="193"/>
      <c r="T110" s="193"/>
      <c r="U110" s="193"/>
      <c r="V110" s="193"/>
      <c r="W110" s="193"/>
      <c r="X110" s="193"/>
      <c r="Y110" s="193"/>
      <c r="Z110" s="193"/>
      <c r="AA110" s="193"/>
      <c r="AB110" s="193"/>
      <c r="AC110" s="193"/>
      <c r="AD110" s="193"/>
      <c r="AE110" s="193"/>
      <c r="AF110" s="193"/>
      <c r="AG110" s="193"/>
      <c r="AH110" s="193"/>
      <c r="AI110" s="114">
        <f ca="1">IF(Configurações!$G$10="Ligado",SUMIFS(C110:AH110,$C$4:$AH$4,"&lt;="&amp;Configurações!$C$5,$C$4:$AH$4,"&lt;="&amp;$AI$3),"")</f>
        <v>0</v>
      </c>
      <c r="AJ110" s="119" t="str">
        <f ca="1">IF(Configurações!$G$20="Ligado",IF(AI110&lt;=0,"Vazio",IF(Configurações!$G$18="Semana",IF(Configurações!$G$19="Contar",ENTRADAS!AI110/Configurações!$C$18,AI110/SUM(AK110:AN110)),AI110/A110)),"")</f>
        <v>Vazio</v>
      </c>
      <c r="AK110" s="70">
        <f t="shared" si="3"/>
        <v>0</v>
      </c>
      <c r="AL110" s="70">
        <f t="shared" si="4"/>
        <v>0</v>
      </c>
      <c r="AM110" s="70">
        <f t="shared" si="5"/>
        <v>0</v>
      </c>
      <c r="AN110" s="70">
        <f ca="1">IF(SUMIF($Y$4:$AH$4,"&lt;=" &amp; $AJ$3,ENTRADAS!Y110:AH110)&gt;0,1,0)</f>
        <v>0</v>
      </c>
    </row>
    <row r="111" spans="1:40" ht="21">
      <c r="A111" s="68">
        <f ca="1">COUNT(INDEX($C:$AH,ROW(),1):INDEX($C:$AH,ROW(),$AI$3+1))</f>
        <v>0</v>
      </c>
      <c r="B111" s="106" t="str">
        <f>INDEX(Cadastro_Mantimentos[[#All],[Colunas4]],MATCH(ROW()-5,Cadastro_Mantimentos[[#All],[Colunas2]],0))</f>
        <v>Pó Pudim Caramelo</v>
      </c>
      <c r="C111" s="193"/>
      <c r="D111" s="193"/>
      <c r="E111" s="193"/>
      <c r="F111" s="193"/>
      <c r="G111" s="193"/>
      <c r="H111" s="193"/>
      <c r="I111" s="193"/>
      <c r="J111" s="193"/>
      <c r="K111" s="193"/>
      <c r="L111" s="193"/>
      <c r="M111" s="193"/>
      <c r="N111" s="193"/>
      <c r="O111" s="193"/>
      <c r="P111" s="193"/>
      <c r="Q111" s="193"/>
      <c r="R111" s="193"/>
      <c r="S111" s="193"/>
      <c r="T111" s="193"/>
      <c r="U111" s="193"/>
      <c r="V111" s="193"/>
      <c r="W111" s="193"/>
      <c r="X111" s="193"/>
      <c r="Y111" s="193"/>
      <c r="Z111" s="193"/>
      <c r="AA111" s="193"/>
      <c r="AB111" s="193"/>
      <c r="AC111" s="193"/>
      <c r="AD111" s="193"/>
      <c r="AE111" s="193"/>
      <c r="AF111" s="193"/>
      <c r="AG111" s="193"/>
      <c r="AH111" s="193"/>
      <c r="AI111" s="114">
        <f ca="1">IF(Configurações!$G$10="Ligado",SUMIFS(C111:AH111,$C$4:$AH$4,"&lt;="&amp;Configurações!$C$5,$C$4:$AH$4,"&lt;="&amp;$AI$3),"")</f>
        <v>0</v>
      </c>
      <c r="AJ111" s="119" t="str">
        <f ca="1">IF(Configurações!$G$20="Ligado",IF(AI111&lt;=0,"Vazio",IF(Configurações!$G$18="Semana",IF(Configurações!$G$19="Contar",ENTRADAS!AI111/Configurações!$C$18,AI111/SUM(AK111:AN111)),AI111/A111)),"")</f>
        <v>Vazio</v>
      </c>
      <c r="AK111" s="70">
        <f t="shared" si="3"/>
        <v>0</v>
      </c>
      <c r="AL111" s="70">
        <f t="shared" si="4"/>
        <v>0</v>
      </c>
      <c r="AM111" s="70">
        <f t="shared" si="5"/>
        <v>0</v>
      </c>
      <c r="AN111" s="70">
        <f ca="1">IF(SUMIF($Y$4:$AH$4,"&lt;=" &amp; $AJ$3,ENTRADAS!Y111:AH111)&gt;0,1,0)</f>
        <v>0</v>
      </c>
    </row>
    <row r="112" spans="1:40" ht="21">
      <c r="A112" s="68">
        <f ca="1">COUNT(INDEX($C:$AH,ROW(),1):INDEX($C:$AH,ROW(),$AI$3+1))</f>
        <v>0</v>
      </c>
      <c r="B112" s="106" t="str">
        <f>INDEX(Cadastro_Mantimentos[[#All],[Colunas4]],MATCH(ROW()-5,Cadastro_Mantimentos[[#All],[Colunas2]],0))</f>
        <v>Pó Pudim Chocolate</v>
      </c>
      <c r="C112" s="193"/>
      <c r="D112" s="193"/>
      <c r="E112" s="193"/>
      <c r="F112" s="193"/>
      <c r="G112" s="193"/>
      <c r="H112" s="193"/>
      <c r="I112" s="193"/>
      <c r="J112" s="193"/>
      <c r="K112" s="193"/>
      <c r="L112" s="193"/>
      <c r="M112" s="193"/>
      <c r="N112" s="193"/>
      <c r="O112" s="193"/>
      <c r="P112" s="193"/>
      <c r="Q112" s="193"/>
      <c r="R112" s="193"/>
      <c r="S112" s="193"/>
      <c r="T112" s="193"/>
      <c r="U112" s="193"/>
      <c r="V112" s="193"/>
      <c r="W112" s="193"/>
      <c r="X112" s="193"/>
      <c r="Y112" s="193"/>
      <c r="Z112" s="193"/>
      <c r="AA112" s="193"/>
      <c r="AB112" s="193"/>
      <c r="AC112" s="193"/>
      <c r="AD112" s="193"/>
      <c r="AE112" s="193"/>
      <c r="AF112" s="193"/>
      <c r="AG112" s="193"/>
      <c r="AH112" s="193"/>
      <c r="AI112" s="114">
        <f ca="1">IF(Configurações!$G$10="Ligado",SUMIFS(C112:AH112,$C$4:$AH$4,"&lt;="&amp;Configurações!$C$5,$C$4:$AH$4,"&lt;="&amp;$AI$3),"")</f>
        <v>0</v>
      </c>
      <c r="AJ112" s="119" t="str">
        <f ca="1">IF(Configurações!$G$20="Ligado",IF(AI112&lt;=0,"Vazio",IF(Configurações!$G$18="Semana",IF(Configurações!$G$19="Contar",ENTRADAS!AI112/Configurações!$C$18,AI112/SUM(AK112:AN112)),AI112/A112)),"")</f>
        <v>Vazio</v>
      </c>
      <c r="AK112" s="70">
        <f t="shared" si="3"/>
        <v>0</v>
      </c>
      <c r="AL112" s="70">
        <f t="shared" si="4"/>
        <v>0</v>
      </c>
      <c r="AM112" s="70">
        <f t="shared" si="5"/>
        <v>0</v>
      </c>
      <c r="AN112" s="70">
        <f ca="1">IF(SUMIF($Y$4:$AH$4,"&lt;=" &amp; $AJ$3,ENTRADAS!Y112:AH112)&gt;0,1,0)</f>
        <v>0</v>
      </c>
    </row>
    <row r="113" spans="1:40" ht="21">
      <c r="A113" s="68">
        <f ca="1">COUNT(INDEX($C:$AH,ROW(),1):INDEX($C:$AH,ROW(),$AI$3+1))</f>
        <v>0</v>
      </c>
      <c r="B113" s="106" t="str">
        <f>INDEX(Cadastro_Mantimentos[[#All],[Colunas4]],MATCH(ROW()-5,Cadastro_Mantimentos[[#All],[Colunas2]],0))</f>
        <v>Pó Pudim Coco</v>
      </c>
      <c r="C113" s="193"/>
      <c r="D113" s="193"/>
      <c r="E113" s="193"/>
      <c r="F113" s="193"/>
      <c r="G113" s="193"/>
      <c r="H113" s="193"/>
      <c r="I113" s="193"/>
      <c r="J113" s="193"/>
      <c r="K113" s="193"/>
      <c r="L113" s="193"/>
      <c r="M113" s="193"/>
      <c r="N113" s="193"/>
      <c r="O113" s="193"/>
      <c r="P113" s="193"/>
      <c r="Q113" s="193"/>
      <c r="R113" s="193"/>
      <c r="S113" s="193"/>
      <c r="T113" s="193"/>
      <c r="U113" s="193"/>
      <c r="V113" s="193"/>
      <c r="W113" s="193"/>
      <c r="X113" s="193"/>
      <c r="Y113" s="193"/>
      <c r="Z113" s="193"/>
      <c r="AA113" s="193"/>
      <c r="AB113" s="193"/>
      <c r="AC113" s="193"/>
      <c r="AD113" s="193"/>
      <c r="AE113" s="193"/>
      <c r="AF113" s="193"/>
      <c r="AG113" s="193"/>
      <c r="AH113" s="193"/>
      <c r="AI113" s="114">
        <f ca="1">IF(Configurações!$G$10="Ligado",SUMIFS(C113:AH113,$C$4:$AH$4,"&lt;="&amp;Configurações!$C$5,$C$4:$AH$4,"&lt;="&amp;$AI$3),"")</f>
        <v>0</v>
      </c>
      <c r="AJ113" s="119" t="str">
        <f ca="1">IF(Configurações!$G$20="Ligado",IF(AI113&lt;=0,"Vazio",IF(Configurações!$G$18="Semana",IF(Configurações!$G$19="Contar",ENTRADAS!AI113/Configurações!$C$18,AI113/SUM(AK113:AN113)),AI113/A113)),"")</f>
        <v>Vazio</v>
      </c>
      <c r="AK113" s="70">
        <f t="shared" si="3"/>
        <v>0</v>
      </c>
      <c r="AL113" s="70">
        <f t="shared" si="4"/>
        <v>0</v>
      </c>
      <c r="AM113" s="70">
        <f t="shared" si="5"/>
        <v>0</v>
      </c>
      <c r="AN113" s="70">
        <f ca="1">IF(SUMIF($Y$4:$AH$4,"&lt;=" &amp; $AJ$3,ENTRADAS!Y113:AH113)&gt;0,1,0)</f>
        <v>0</v>
      </c>
    </row>
    <row r="114" spans="1:40" ht="21">
      <c r="A114" s="68">
        <f ca="1">COUNT(INDEX($C:$AH,ROW(),1):INDEX($C:$AH,ROW(),$AI$3+1))</f>
        <v>0</v>
      </c>
      <c r="B114" s="106" t="str">
        <f>INDEX(Cadastro_Mantimentos[[#All],[Colunas4]],MATCH(ROW()-5,Cadastro_Mantimentos[[#All],[Colunas2]],0))</f>
        <v>Pó Pudim Morango</v>
      </c>
      <c r="C114" s="193"/>
      <c r="D114" s="193"/>
      <c r="E114" s="193"/>
      <c r="F114" s="193"/>
      <c r="G114" s="193"/>
      <c r="H114" s="193"/>
      <c r="I114" s="193"/>
      <c r="J114" s="193"/>
      <c r="K114" s="193"/>
      <c r="L114" s="193"/>
      <c r="M114" s="193"/>
      <c r="N114" s="193"/>
      <c r="O114" s="193"/>
      <c r="P114" s="193"/>
      <c r="Q114" s="193"/>
      <c r="R114" s="193"/>
      <c r="S114" s="193"/>
      <c r="T114" s="193"/>
      <c r="U114" s="193"/>
      <c r="V114" s="193"/>
      <c r="W114" s="193"/>
      <c r="X114" s="193"/>
      <c r="Y114" s="193"/>
      <c r="Z114" s="193"/>
      <c r="AA114" s="193"/>
      <c r="AB114" s="193"/>
      <c r="AC114" s="193"/>
      <c r="AD114" s="193"/>
      <c r="AE114" s="193"/>
      <c r="AF114" s="193"/>
      <c r="AG114" s="193"/>
      <c r="AH114" s="193"/>
      <c r="AI114" s="114">
        <f ca="1">IF(Configurações!$G$10="Ligado",SUMIFS(C114:AH114,$C$4:$AH$4,"&lt;="&amp;Configurações!$C$5,$C$4:$AH$4,"&lt;="&amp;$AI$3),"")</f>
        <v>0</v>
      </c>
      <c r="AJ114" s="119" t="str">
        <f ca="1">IF(Configurações!$G$20="Ligado",IF(AI114&lt;=0,"Vazio",IF(Configurações!$G$18="Semana",IF(Configurações!$G$19="Contar",ENTRADAS!AI114/Configurações!$C$18,AI114/SUM(AK114:AN114)),AI114/A114)),"")</f>
        <v>Vazio</v>
      </c>
      <c r="AK114" s="70">
        <f t="shared" si="3"/>
        <v>0</v>
      </c>
      <c r="AL114" s="70">
        <f t="shared" si="4"/>
        <v>0</v>
      </c>
      <c r="AM114" s="70">
        <f t="shared" si="5"/>
        <v>0</v>
      </c>
      <c r="AN114" s="70">
        <f ca="1">IF(SUMIF($Y$4:$AH$4,"&lt;=" &amp; $AJ$3,ENTRADAS!Y114:AH114)&gt;0,1,0)</f>
        <v>0</v>
      </c>
    </row>
    <row r="115" spans="1:40" ht="21">
      <c r="A115" s="68">
        <f ca="1">COUNT(INDEX($C:$AH,ROW(),1):INDEX($C:$AH,ROW(),$AI$3+1))</f>
        <v>2</v>
      </c>
      <c r="B115" s="106" t="str">
        <f>INDEX(Cadastro_Mantimentos[[#All],[Colunas4]],MATCH(ROW()-5,Cadastro_Mantimentos[[#All],[Colunas2]],0))</f>
        <v>Polenta</v>
      </c>
      <c r="C115" s="193"/>
      <c r="D115" s="193"/>
      <c r="E115" s="193"/>
      <c r="F115" s="193"/>
      <c r="G115" s="193"/>
      <c r="H115" s="193"/>
      <c r="I115" s="193"/>
      <c r="J115" s="193"/>
      <c r="K115" s="193"/>
      <c r="L115" s="193">
        <f>8*2.5</f>
        <v>20</v>
      </c>
      <c r="M115" s="193"/>
      <c r="N115" s="193"/>
      <c r="O115" s="193"/>
      <c r="P115" s="193"/>
      <c r="Q115" s="193"/>
      <c r="R115" s="193"/>
      <c r="S115" s="193">
        <v>20</v>
      </c>
      <c r="T115" s="193"/>
      <c r="U115" s="193"/>
      <c r="V115" s="193"/>
      <c r="W115" s="193"/>
      <c r="X115" s="193"/>
      <c r="Y115" s="193"/>
      <c r="Z115" s="193"/>
      <c r="AA115" s="193"/>
      <c r="AB115" s="193"/>
      <c r="AC115" s="193"/>
      <c r="AD115" s="193"/>
      <c r="AE115" s="193"/>
      <c r="AF115" s="193"/>
      <c r="AG115" s="193"/>
      <c r="AH115" s="193"/>
      <c r="AI115" s="114">
        <f ca="1">IF(Configurações!$G$10="Ligado",SUMIFS(C115:AH115,$C$4:$AH$4,"&lt;="&amp;Configurações!$C$5,$C$4:$AH$4,"&lt;="&amp;$AI$3),"")</f>
        <v>40</v>
      </c>
      <c r="AJ115" s="119">
        <f ca="1">IF(Configurações!$G$20="Ligado",IF(AI115&lt;=0,"Vazio",IF(Configurações!$G$18="Semana",IF(Configurações!$G$19="Contar",ENTRADAS!AI115/Configurações!$C$18,AI115/SUM(AK115:AN115)),AI115/A115)),"")</f>
        <v>20</v>
      </c>
      <c r="AK115" s="70">
        <f t="shared" si="3"/>
        <v>0</v>
      </c>
      <c r="AL115" s="70">
        <f t="shared" si="4"/>
        <v>1</v>
      </c>
      <c r="AM115" s="70">
        <f t="shared" si="5"/>
        <v>1</v>
      </c>
      <c r="AN115" s="70">
        <f ca="1">IF(SUMIF($Y$4:$AH$4,"&lt;=" &amp; $AJ$3,ENTRADAS!Y115:AH115)&gt;0,1,0)</f>
        <v>0</v>
      </c>
    </row>
    <row r="116" spans="1:40" ht="21">
      <c r="A116" s="68">
        <f ca="1">COUNT(INDEX($C:$AH,ROW(),1):INDEX($C:$AH,ROW(),$AI$3+1))</f>
        <v>1</v>
      </c>
      <c r="B116" s="106" t="str">
        <f>INDEX(Cadastro_Mantimentos[[#All],[Colunas4]],MATCH(ROW()-5,Cadastro_Mantimentos[[#All],[Colunas2]],0))</f>
        <v>Pure</v>
      </c>
      <c r="C116" s="193"/>
      <c r="D116" s="193"/>
      <c r="E116" s="193"/>
      <c r="F116" s="193"/>
      <c r="G116" s="193"/>
      <c r="H116" s="193"/>
      <c r="I116" s="193"/>
      <c r="J116" s="193"/>
      <c r="K116" s="193"/>
      <c r="L116" s="193"/>
      <c r="M116" s="193">
        <v>3</v>
      </c>
      <c r="N116" s="193"/>
      <c r="O116" s="193"/>
      <c r="P116" s="193"/>
      <c r="Q116" s="193"/>
      <c r="R116" s="193"/>
      <c r="S116" s="193"/>
      <c r="T116" s="193"/>
      <c r="U116" s="193"/>
      <c r="V116" s="193"/>
      <c r="W116" s="193"/>
      <c r="X116" s="193"/>
      <c r="Y116" s="193"/>
      <c r="Z116" s="193"/>
      <c r="AA116" s="193"/>
      <c r="AB116" s="193"/>
      <c r="AC116" s="193"/>
      <c r="AD116" s="193"/>
      <c r="AE116" s="193"/>
      <c r="AF116" s="193"/>
      <c r="AG116" s="193"/>
      <c r="AH116" s="193"/>
      <c r="AI116" s="114">
        <f ca="1">IF(Configurações!$G$10="Ligado",SUMIFS(C116:AH116,$C$4:$AH$4,"&lt;="&amp;Configurações!$C$5,$C$4:$AH$4,"&lt;="&amp;$AI$3),"")</f>
        <v>3</v>
      </c>
      <c r="AJ116" s="119">
        <f ca="1">IF(Configurações!$G$20="Ligado",IF(AI116&lt;=0,"Vazio",IF(Configurações!$G$18="Semana",IF(Configurações!$G$19="Contar",ENTRADAS!AI116/Configurações!$C$18,AI116/SUM(AK116:AN116)),AI116/A116)),"")</f>
        <v>3</v>
      </c>
      <c r="AK116" s="70">
        <f t="shared" si="3"/>
        <v>0</v>
      </c>
      <c r="AL116" s="70">
        <f t="shared" si="4"/>
        <v>1</v>
      </c>
      <c r="AM116" s="70">
        <f t="shared" si="5"/>
        <v>0</v>
      </c>
      <c r="AN116" s="70">
        <f ca="1">IF(SUMIF($Y$4:$AH$4,"&lt;=" &amp; $AJ$3,ENTRADAS!Y116:AH116)&gt;0,1,0)</f>
        <v>0</v>
      </c>
    </row>
    <row r="117" spans="1:40" ht="21">
      <c r="A117" s="68">
        <f ca="1">COUNT(INDEX($C:$AH,ROW(),1):INDEX($C:$AH,ROW(),$AI$3+1))</f>
        <v>0</v>
      </c>
      <c r="B117" s="106" t="str">
        <f>INDEX(Cadastro_Mantimentos[[#All],[Colunas4]],MATCH(ROW()-5,Cadastro_Mantimentos[[#All],[Colunas2]],0))</f>
        <v>Sagu</v>
      </c>
      <c r="C117" s="193"/>
      <c r="D117" s="193"/>
      <c r="E117" s="193"/>
      <c r="F117" s="193"/>
      <c r="G117" s="193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193"/>
      <c r="W117" s="193"/>
      <c r="X117" s="193"/>
      <c r="Y117" s="193"/>
      <c r="Z117" s="193"/>
      <c r="AA117" s="193"/>
      <c r="AB117" s="193"/>
      <c r="AC117" s="193"/>
      <c r="AD117" s="193"/>
      <c r="AE117" s="193"/>
      <c r="AF117" s="193"/>
      <c r="AG117" s="193"/>
      <c r="AH117" s="193"/>
      <c r="AI117" s="114">
        <f ca="1">IF(Configurações!$G$10="Ligado",SUMIFS(C117:AH117,$C$4:$AH$4,"&lt;="&amp;Configurações!$C$5,$C$4:$AH$4,"&lt;="&amp;$AI$3),"")</f>
        <v>0</v>
      </c>
      <c r="AJ117" s="119" t="str">
        <f ca="1">IF(Configurações!$G$20="Ligado",IF(AI117&lt;=0,"Vazio",IF(Configurações!$G$18="Semana",IF(Configurações!$G$19="Contar",ENTRADAS!AI117/Configurações!$C$18,AI117/SUM(AK117:AN117)),AI117/A117)),"")</f>
        <v>Vazio</v>
      </c>
      <c r="AK117" s="70">
        <f t="shared" si="3"/>
        <v>0</v>
      </c>
      <c r="AL117" s="70">
        <f t="shared" si="4"/>
        <v>0</v>
      </c>
      <c r="AM117" s="70">
        <f t="shared" si="5"/>
        <v>0</v>
      </c>
      <c r="AN117" s="70">
        <f ca="1">IF(SUMIF($Y$4:$AH$4,"&lt;=" &amp; $AJ$3,ENTRADAS!Y117:AH117)&gt;0,1,0)</f>
        <v>0</v>
      </c>
    </row>
    <row r="118" spans="1:40" ht="21">
      <c r="A118" s="68">
        <f ca="1">COUNT(INDEX($C:$AH,ROW(),1):INDEX($C:$AH,ROW(),$AI$3+1))</f>
        <v>0</v>
      </c>
      <c r="B118" s="106" t="str">
        <f>INDEX(Cadastro_Mantimentos[[#All],[Colunas4]],MATCH(ROW()-5,Cadastro_Mantimentos[[#All],[Colunas2]],0))</f>
        <v xml:space="preserve">Sal </v>
      </c>
      <c r="C118" s="193"/>
      <c r="D118" s="193"/>
      <c r="E118" s="193"/>
      <c r="F118" s="193"/>
      <c r="G118" s="193"/>
      <c r="H118" s="193"/>
      <c r="I118" s="193"/>
      <c r="J118" s="193"/>
      <c r="K118" s="193"/>
      <c r="L118" s="193"/>
      <c r="M118" s="193"/>
      <c r="N118" s="193"/>
      <c r="O118" s="193"/>
      <c r="P118" s="193"/>
      <c r="Q118" s="193"/>
      <c r="R118" s="193"/>
      <c r="S118" s="193"/>
      <c r="T118" s="193"/>
      <c r="U118" s="193"/>
      <c r="V118" s="193"/>
      <c r="W118" s="193"/>
      <c r="X118" s="193"/>
      <c r="Y118" s="193"/>
      <c r="Z118" s="193"/>
      <c r="AA118" s="193"/>
      <c r="AB118" s="193"/>
      <c r="AC118" s="193"/>
      <c r="AD118" s="193"/>
      <c r="AE118" s="193"/>
      <c r="AF118" s="193"/>
      <c r="AG118" s="193"/>
      <c r="AH118" s="193"/>
      <c r="AI118" s="114">
        <f ca="1">IF(Configurações!$G$10="Ligado",SUMIFS(C118:AH118,$C$4:$AH$4,"&lt;="&amp;Configurações!$C$5,$C$4:$AH$4,"&lt;="&amp;$AI$3),"")</f>
        <v>0</v>
      </c>
      <c r="AJ118" s="119" t="str">
        <f ca="1">IF(Configurações!$G$20="Ligado",IF(AI118&lt;=0,"Vazio",IF(Configurações!$G$18="Semana",IF(Configurações!$G$19="Contar",ENTRADAS!AI118/Configurações!$C$18,AI118/SUM(AK118:AN118)),AI118/A118)),"")</f>
        <v>Vazio</v>
      </c>
      <c r="AK118" s="70">
        <f t="shared" si="3"/>
        <v>0</v>
      </c>
      <c r="AL118" s="70">
        <f t="shared" si="4"/>
        <v>0</v>
      </c>
      <c r="AM118" s="70">
        <f t="shared" si="5"/>
        <v>0</v>
      </c>
      <c r="AN118" s="70">
        <f ca="1">IF(SUMIF($Y$4:$AH$4,"&lt;=" &amp; $AJ$3,ENTRADAS!Y118:AH118)&gt;0,1,0)</f>
        <v>0</v>
      </c>
    </row>
    <row r="119" spans="1:40" ht="21">
      <c r="A119" s="68">
        <f ca="1">COUNT(INDEX($C:$AH,ROW(),1):INDEX($C:$AH,ROW(),$AI$3+1))</f>
        <v>0</v>
      </c>
      <c r="B119" s="106" t="str">
        <f>INDEX(Cadastro_Mantimentos[[#All],[Colunas4]],MATCH(ROW()-5,Cadastro_Mantimentos[[#All],[Colunas2]],0))</f>
        <v>Sal Sache</v>
      </c>
      <c r="C119" s="193"/>
      <c r="D119" s="193"/>
      <c r="E119" s="193"/>
      <c r="F119" s="193"/>
      <c r="G119" s="193"/>
      <c r="H119" s="193"/>
      <c r="I119" s="193"/>
      <c r="J119" s="193"/>
      <c r="K119" s="193"/>
      <c r="L119" s="193"/>
      <c r="M119" s="193"/>
      <c r="N119" s="193"/>
      <c r="O119" s="193"/>
      <c r="P119" s="193"/>
      <c r="Q119" s="193"/>
      <c r="R119" s="193"/>
      <c r="S119" s="193"/>
      <c r="T119" s="193"/>
      <c r="U119" s="193"/>
      <c r="V119" s="193"/>
      <c r="W119" s="193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14">
        <f ca="1">IF(Configurações!$G$10="Ligado",SUMIFS(C119:AH119,$C$4:$AH$4,"&lt;="&amp;Configurações!$C$5,$C$4:$AH$4,"&lt;="&amp;$AI$3),"")</f>
        <v>0</v>
      </c>
      <c r="AJ119" s="119" t="str">
        <f ca="1">IF(Configurações!$G$20="Ligado",IF(AI119&lt;=0,"Vazio",IF(Configurações!$G$18="Semana",IF(Configurações!$G$19="Contar",ENTRADAS!AI119/Configurações!$C$18,AI119/SUM(AK119:AN119)),AI119/A119)),"")</f>
        <v>Vazio</v>
      </c>
      <c r="AK119" s="70">
        <f t="shared" si="3"/>
        <v>0</v>
      </c>
      <c r="AL119" s="70">
        <f t="shared" si="4"/>
        <v>0</v>
      </c>
      <c r="AM119" s="70">
        <f t="shared" si="5"/>
        <v>0</v>
      </c>
      <c r="AN119" s="70">
        <f ca="1">IF(SUMIF($Y$4:$AH$4,"&lt;=" &amp; $AJ$3,ENTRADAS!Y119:AH119)&gt;0,1,0)</f>
        <v>0</v>
      </c>
    </row>
    <row r="120" spans="1:40" ht="21">
      <c r="A120" s="68">
        <f ca="1">COUNT(INDEX($C:$AH,ROW(),1):INDEX($C:$AH,ROW(),$AI$3+1))</f>
        <v>0</v>
      </c>
      <c r="B120" s="106" t="str">
        <f>INDEX(Cadastro_Mantimentos[[#All],[Colunas4]],MATCH(ROW()-5,Cadastro_Mantimentos[[#All],[Colunas2]],0))</f>
        <v>Sardinha</v>
      </c>
      <c r="C120" s="193"/>
      <c r="D120" s="193"/>
      <c r="E120" s="193"/>
      <c r="F120" s="193"/>
      <c r="G120" s="193"/>
      <c r="H120" s="193"/>
      <c r="I120" s="193"/>
      <c r="J120" s="193"/>
      <c r="K120" s="193"/>
      <c r="L120" s="193"/>
      <c r="M120" s="193"/>
      <c r="N120" s="193"/>
      <c r="O120" s="193"/>
      <c r="P120" s="193"/>
      <c r="Q120" s="193"/>
      <c r="R120" s="193"/>
      <c r="S120" s="193"/>
      <c r="T120" s="193"/>
      <c r="U120" s="193"/>
      <c r="V120" s="193"/>
      <c r="W120" s="193"/>
      <c r="X120" s="193"/>
      <c r="Y120" s="193"/>
      <c r="Z120" s="193"/>
      <c r="AA120" s="193"/>
      <c r="AB120" s="193"/>
      <c r="AC120" s="193"/>
      <c r="AD120" s="193"/>
      <c r="AE120" s="193"/>
      <c r="AF120" s="193"/>
      <c r="AG120" s="193"/>
      <c r="AH120" s="193"/>
      <c r="AI120" s="114">
        <f ca="1">IF(Configurações!$G$10="Ligado",SUMIFS(C120:AH120,$C$4:$AH$4,"&lt;="&amp;Configurações!$C$5,$C$4:$AH$4,"&lt;="&amp;$AI$3),"")</f>
        <v>0</v>
      </c>
      <c r="AJ120" s="119" t="str">
        <f ca="1">IF(Configurações!$G$20="Ligado",IF(AI120&lt;=0,"Vazio",IF(Configurações!$G$18="Semana",IF(Configurações!$G$19="Contar",ENTRADAS!AI120/Configurações!$C$18,AI120/SUM(AK120:AN120)),AI120/A120)),"")</f>
        <v>Vazio</v>
      </c>
      <c r="AK120" s="70">
        <f t="shared" si="3"/>
        <v>0</v>
      </c>
      <c r="AL120" s="70">
        <f t="shared" si="4"/>
        <v>0</v>
      </c>
      <c r="AM120" s="70">
        <f t="shared" si="5"/>
        <v>0</v>
      </c>
      <c r="AN120" s="70">
        <f ca="1">IF(SUMIF($Y$4:$AH$4,"&lt;=" &amp; $AJ$3,ENTRADAS!Y120:AH120)&gt;0,1,0)</f>
        <v>0</v>
      </c>
    </row>
    <row r="121" spans="1:40" ht="21">
      <c r="A121" s="68">
        <f ca="1">COUNT(INDEX($C:$AH,ROW(),1):INDEX($C:$AH,ROW(),$AI$3+1))</f>
        <v>0</v>
      </c>
      <c r="B121" s="106" t="str">
        <f>INDEX(Cadastro_Mantimentos[[#All],[Colunas4]],MATCH(ROW()-5,Cadastro_Mantimentos[[#All],[Colunas2]],0))</f>
        <v>Shoyo</v>
      </c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  <c r="M121" s="193"/>
      <c r="N121" s="193"/>
      <c r="O121" s="193"/>
      <c r="P121" s="193"/>
      <c r="Q121" s="193"/>
      <c r="R121" s="193"/>
      <c r="S121" s="193"/>
      <c r="T121" s="193"/>
      <c r="U121" s="193"/>
      <c r="V121" s="193"/>
      <c r="W121" s="193"/>
      <c r="X121" s="193"/>
      <c r="Y121" s="193"/>
      <c r="Z121" s="193"/>
      <c r="AA121" s="193"/>
      <c r="AB121" s="193"/>
      <c r="AC121" s="193"/>
      <c r="AD121" s="193"/>
      <c r="AE121" s="193"/>
      <c r="AF121" s="193"/>
      <c r="AG121" s="193"/>
      <c r="AH121" s="193"/>
      <c r="AI121" s="114">
        <f ca="1">IF(Configurações!$G$10="Ligado",SUMIFS(C121:AH121,$C$4:$AH$4,"&lt;="&amp;Configurações!$C$5,$C$4:$AH$4,"&lt;="&amp;$AI$3),"")</f>
        <v>0</v>
      </c>
      <c r="AJ121" s="119" t="str">
        <f ca="1">IF(Configurações!$G$20="Ligado",IF(AI121&lt;=0,"Vazio",IF(Configurações!$G$18="Semana",IF(Configurações!$G$19="Contar",ENTRADAS!AI121/Configurações!$C$18,AI121/SUM(AK121:AN121)),AI121/A121)),"")</f>
        <v>Vazio</v>
      </c>
      <c r="AK121" s="70">
        <f t="shared" si="3"/>
        <v>0</v>
      </c>
      <c r="AL121" s="70">
        <f t="shared" si="4"/>
        <v>0</v>
      </c>
      <c r="AM121" s="70">
        <f t="shared" si="5"/>
        <v>0</v>
      </c>
      <c r="AN121" s="70">
        <f ca="1">IF(SUMIF($Y$4:$AH$4,"&lt;=" &amp; $AJ$3,ENTRADAS!Y121:AH121)&gt;0,1,0)</f>
        <v>0</v>
      </c>
    </row>
    <row r="122" spans="1:40" ht="21">
      <c r="A122" s="68">
        <f ca="1">COUNT(INDEX($C:$AH,ROW(),1):INDEX($C:$AH,ROW(),$AI$3+1))</f>
        <v>0</v>
      </c>
      <c r="B122" s="106" t="str">
        <f>INDEX(Cadastro_Mantimentos[[#All],[Colunas4]],MATCH(ROW()-5,Cadastro_Mantimentos[[#All],[Colunas2]],0))</f>
        <v>Soja em Grãos</v>
      </c>
      <c r="C122" s="193"/>
      <c r="D122" s="193"/>
      <c r="E122" s="193"/>
      <c r="F122" s="193"/>
      <c r="G122" s="193"/>
      <c r="H122" s="193"/>
      <c r="I122" s="193"/>
      <c r="J122" s="193"/>
      <c r="K122" s="193"/>
      <c r="L122" s="193"/>
      <c r="M122" s="193"/>
      <c r="N122" s="193"/>
      <c r="O122" s="193"/>
      <c r="P122" s="193"/>
      <c r="Q122" s="193"/>
      <c r="R122" s="193"/>
      <c r="S122" s="193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14">
        <f ca="1">IF(Configurações!$G$10="Ligado",SUMIFS(C122:AH122,$C$4:$AH$4,"&lt;="&amp;Configurações!$C$5,$C$4:$AH$4,"&lt;="&amp;$AI$3),"")</f>
        <v>0</v>
      </c>
      <c r="AJ122" s="119" t="str">
        <f ca="1">IF(Configurações!$G$20="Ligado",IF(AI122&lt;=0,"Vazio",IF(Configurações!$G$18="Semana",IF(Configurações!$G$19="Contar",ENTRADAS!AI122/Configurações!$C$18,AI122/SUM(AK122:AN122)),AI122/A122)),"")</f>
        <v>Vazio</v>
      </c>
      <c r="AK122" s="70">
        <f t="shared" si="3"/>
        <v>0</v>
      </c>
      <c r="AL122" s="70">
        <f t="shared" si="4"/>
        <v>0</v>
      </c>
      <c r="AM122" s="70">
        <f t="shared" si="5"/>
        <v>0</v>
      </c>
      <c r="AN122" s="70">
        <f ca="1">IF(SUMIF($Y$4:$AH$4,"&lt;=" &amp; $AJ$3,ENTRADAS!Y122:AH122)&gt;0,1,0)</f>
        <v>0</v>
      </c>
    </row>
    <row r="123" spans="1:40" ht="21">
      <c r="A123" s="68">
        <f ca="1">COUNT(INDEX($C:$AH,ROW(),1):INDEX($C:$AH,ROW(),$AI$3+1))</f>
        <v>2</v>
      </c>
      <c r="B123" s="106" t="str">
        <f>INDEX(Cadastro_Mantimentos[[#All],[Colunas4]],MATCH(ROW()-5,Cadastro_Mantimentos[[#All],[Colunas2]],0))</f>
        <v xml:space="preserve">Suco De Abacaxi </v>
      </c>
      <c r="C123" s="193"/>
      <c r="D123" s="193"/>
      <c r="E123" s="193">
        <v>5</v>
      </c>
      <c r="F123" s="193"/>
      <c r="G123" s="193"/>
      <c r="H123" s="193"/>
      <c r="I123" s="193"/>
      <c r="J123" s="193"/>
      <c r="K123" s="193"/>
      <c r="L123" s="193"/>
      <c r="M123" s="193"/>
      <c r="N123" s="193"/>
      <c r="O123" s="193"/>
      <c r="P123" s="193"/>
      <c r="Q123" s="193"/>
      <c r="R123" s="193">
        <v>5</v>
      </c>
      <c r="S123" s="193"/>
      <c r="T123" s="193"/>
      <c r="U123" s="193"/>
      <c r="V123" s="193"/>
      <c r="W123" s="193"/>
      <c r="X123" s="193"/>
      <c r="Y123" s="193"/>
      <c r="Z123" s="193"/>
      <c r="AA123" s="193"/>
      <c r="AB123" s="193"/>
      <c r="AC123" s="193"/>
      <c r="AD123" s="193"/>
      <c r="AE123" s="193"/>
      <c r="AF123" s="193"/>
      <c r="AG123" s="193"/>
      <c r="AH123" s="193"/>
      <c r="AI123" s="114">
        <f ca="1">IF(Configurações!$G$10="Ligado",SUMIFS(C123:AH123,$C$4:$AH$4,"&lt;="&amp;Configurações!$C$5,$C$4:$AH$4,"&lt;="&amp;$AI$3),"")</f>
        <v>10</v>
      </c>
      <c r="AJ123" s="119">
        <f ca="1">IF(Configurações!$G$20="Ligado",IF(AI123&lt;=0,"Vazio",IF(Configurações!$G$18="Semana",IF(Configurações!$G$19="Contar",ENTRADAS!AI123/Configurações!$C$18,AI123/SUM(AK123:AN123)),AI123/A123)),"")</f>
        <v>5</v>
      </c>
      <c r="AK123" s="70">
        <f t="shared" si="3"/>
        <v>1</v>
      </c>
      <c r="AL123" s="70">
        <f t="shared" si="4"/>
        <v>0</v>
      </c>
      <c r="AM123" s="70">
        <f t="shared" si="5"/>
        <v>1</v>
      </c>
      <c r="AN123" s="70">
        <f ca="1">IF(SUMIF($Y$4:$AH$4,"&lt;=" &amp; $AJ$3,ENTRADAS!Y123:AH123)&gt;0,1,0)</f>
        <v>0</v>
      </c>
    </row>
    <row r="124" spans="1:40" ht="21">
      <c r="A124" s="68">
        <f ca="1">COUNT(INDEX($C:$AH,ROW(),1):INDEX($C:$AH,ROW(),$AI$3+1))</f>
        <v>0</v>
      </c>
      <c r="B124" s="106" t="str">
        <f>INDEX(Cadastro_Mantimentos[[#All],[Colunas4]],MATCH(ROW()-5,Cadastro_Mantimentos[[#All],[Colunas2]],0))</f>
        <v>Suco de Acerola</v>
      </c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  <c r="M124" s="193"/>
      <c r="N124" s="193"/>
      <c r="O124" s="193"/>
      <c r="P124" s="193"/>
      <c r="Q124" s="193"/>
      <c r="R124" s="193"/>
      <c r="S124" s="193"/>
      <c r="T124" s="193"/>
      <c r="U124" s="193"/>
      <c r="V124" s="193"/>
      <c r="W124" s="193"/>
      <c r="X124" s="193"/>
      <c r="Y124" s="193"/>
      <c r="Z124" s="193"/>
      <c r="AA124" s="193"/>
      <c r="AB124" s="193"/>
      <c r="AC124" s="193"/>
      <c r="AD124" s="193"/>
      <c r="AE124" s="193"/>
      <c r="AF124" s="193"/>
      <c r="AG124" s="193"/>
      <c r="AH124" s="193"/>
      <c r="AI124" s="114">
        <f ca="1">IF(Configurações!$G$10="Ligado",SUMIFS(C124:AH124,$C$4:$AH$4,"&lt;="&amp;Configurações!$C$5,$C$4:$AH$4,"&lt;="&amp;$AI$3),"")</f>
        <v>0</v>
      </c>
      <c r="AJ124" s="119" t="str">
        <f ca="1">IF(Configurações!$G$20="Ligado",IF(AI124&lt;=0,"Vazio",IF(Configurações!$G$18="Semana",IF(Configurações!$G$19="Contar",ENTRADAS!AI124/Configurações!$C$18,AI124/SUM(AK124:AN124)),AI124/A124)),"")</f>
        <v>Vazio</v>
      </c>
      <c r="AK124" s="70">
        <f t="shared" si="3"/>
        <v>0</v>
      </c>
      <c r="AL124" s="70">
        <f t="shared" si="4"/>
        <v>0</v>
      </c>
      <c r="AM124" s="70">
        <f t="shared" si="5"/>
        <v>0</v>
      </c>
      <c r="AN124" s="70">
        <f ca="1">IF(SUMIF($Y$4:$AH$4,"&lt;=" &amp; $AJ$3,ENTRADAS!Y124:AH124)&gt;0,1,0)</f>
        <v>0</v>
      </c>
    </row>
    <row r="125" spans="1:40" ht="21">
      <c r="A125" s="68">
        <f ca="1">COUNT(INDEX($C:$AH,ROW(),1):INDEX($C:$AH,ROW(),$AI$3+1))</f>
        <v>0</v>
      </c>
      <c r="B125" s="106" t="str">
        <f>INDEX(Cadastro_Mantimentos[[#All],[Colunas4]],MATCH(ROW()-5,Cadastro_Mantimentos[[#All],[Colunas2]],0))</f>
        <v>Suco De Cajú</v>
      </c>
      <c r="C125" s="193"/>
      <c r="D125" s="193"/>
      <c r="E125" s="193"/>
      <c r="F125" s="193"/>
      <c r="G125" s="193"/>
      <c r="H125" s="193"/>
      <c r="I125" s="193"/>
      <c r="J125" s="193"/>
      <c r="K125" s="193"/>
      <c r="L125" s="193"/>
      <c r="M125" s="193"/>
      <c r="N125" s="193"/>
      <c r="O125" s="193"/>
      <c r="P125" s="193"/>
      <c r="Q125" s="193"/>
      <c r="R125" s="193"/>
      <c r="S125" s="193"/>
      <c r="T125" s="193"/>
      <c r="U125" s="193"/>
      <c r="V125" s="193"/>
      <c r="W125" s="193"/>
      <c r="X125" s="193"/>
      <c r="Y125" s="193"/>
      <c r="Z125" s="193"/>
      <c r="AA125" s="193"/>
      <c r="AB125" s="193"/>
      <c r="AC125" s="193"/>
      <c r="AD125" s="193"/>
      <c r="AE125" s="193"/>
      <c r="AF125" s="193"/>
      <c r="AG125" s="193"/>
      <c r="AH125" s="193"/>
      <c r="AI125" s="114">
        <f ca="1">IF(Configurações!$G$10="Ligado",SUMIFS(C125:AH125,$C$4:$AH$4,"&lt;="&amp;Configurações!$C$5,$C$4:$AH$4,"&lt;="&amp;$AI$3),"")</f>
        <v>0</v>
      </c>
      <c r="AJ125" s="119" t="str">
        <f ca="1">IF(Configurações!$G$20="Ligado",IF(AI125&lt;=0,"Vazio",IF(Configurações!$G$18="Semana",IF(Configurações!$G$19="Contar",ENTRADAS!AI125/Configurações!$C$18,AI125/SUM(AK125:AN125)),AI125/A125)),"")</f>
        <v>Vazio</v>
      </c>
      <c r="AK125" s="70">
        <f t="shared" si="3"/>
        <v>0</v>
      </c>
      <c r="AL125" s="70">
        <f t="shared" si="4"/>
        <v>0</v>
      </c>
      <c r="AM125" s="70">
        <f t="shared" si="5"/>
        <v>0</v>
      </c>
      <c r="AN125" s="70">
        <f ca="1">IF(SUMIF($Y$4:$AH$4,"&lt;=" &amp; $AJ$3,ENTRADAS!Y125:AH125)&gt;0,1,0)</f>
        <v>0</v>
      </c>
    </row>
    <row r="126" spans="1:40" ht="21">
      <c r="A126" s="68">
        <f ca="1">COUNT(INDEX($C:$AH,ROW(),1):INDEX($C:$AH,ROW(),$AI$3+1))</f>
        <v>2</v>
      </c>
      <c r="B126" s="106" t="str">
        <f>INDEX(Cadastro_Mantimentos[[#All],[Colunas4]],MATCH(ROW()-5,Cadastro_Mantimentos[[#All],[Colunas2]],0))</f>
        <v>Suco De Goiaba</v>
      </c>
      <c r="C126" s="193"/>
      <c r="D126" s="193"/>
      <c r="E126" s="193">
        <v>5</v>
      </c>
      <c r="F126" s="193"/>
      <c r="G126" s="193"/>
      <c r="H126" s="193"/>
      <c r="I126" s="193"/>
      <c r="J126" s="193"/>
      <c r="K126" s="193"/>
      <c r="L126" s="193">
        <v>2</v>
      </c>
      <c r="M126" s="193"/>
      <c r="N126" s="193"/>
      <c r="O126" s="193"/>
      <c r="P126" s="193"/>
      <c r="Q126" s="193"/>
      <c r="R126" s="193"/>
      <c r="S126" s="193"/>
      <c r="T126" s="193"/>
      <c r="U126" s="193"/>
      <c r="V126" s="193"/>
      <c r="W126" s="193"/>
      <c r="X126" s="193"/>
      <c r="Y126" s="193"/>
      <c r="Z126" s="193"/>
      <c r="AA126" s="193"/>
      <c r="AB126" s="193"/>
      <c r="AC126" s="193"/>
      <c r="AD126" s="193"/>
      <c r="AE126" s="193"/>
      <c r="AF126" s="193"/>
      <c r="AG126" s="193"/>
      <c r="AH126" s="193"/>
      <c r="AI126" s="114">
        <f ca="1">IF(Configurações!$G$10="Ligado",SUMIFS(C126:AH126,$C$4:$AH$4,"&lt;="&amp;Configurações!$C$5,$C$4:$AH$4,"&lt;="&amp;$AI$3),"")</f>
        <v>7</v>
      </c>
      <c r="AJ126" s="119">
        <f ca="1">IF(Configurações!$G$20="Ligado",IF(AI126&lt;=0,"Vazio",IF(Configurações!$G$18="Semana",IF(Configurações!$G$19="Contar",ENTRADAS!AI126/Configurações!$C$18,AI126/SUM(AK126:AN126)),AI126/A126)),"")</f>
        <v>3.5</v>
      </c>
      <c r="AK126" s="70">
        <f t="shared" si="3"/>
        <v>1</v>
      </c>
      <c r="AL126" s="70">
        <f t="shared" si="4"/>
        <v>1</v>
      </c>
      <c r="AM126" s="70">
        <f t="shared" si="5"/>
        <v>0</v>
      </c>
      <c r="AN126" s="70">
        <f ca="1">IF(SUMIF($Y$4:$AH$4,"&lt;=" &amp; $AJ$3,ENTRADAS!Y126:AH126)&gt;0,1,0)</f>
        <v>0</v>
      </c>
    </row>
    <row r="127" spans="1:40" ht="21">
      <c r="A127" s="68">
        <f ca="1">COUNT(INDEX($C:$AH,ROW(),1):INDEX($C:$AH,ROW(),$AI$3+1))</f>
        <v>0</v>
      </c>
      <c r="B127" s="106" t="str">
        <f>INDEX(Cadastro_Mantimentos[[#All],[Colunas4]],MATCH(ROW()-5,Cadastro_Mantimentos[[#All],[Colunas2]],0))</f>
        <v>Suco De Laranja</v>
      </c>
      <c r="C127" s="193"/>
      <c r="D127" s="193"/>
      <c r="E127" s="193"/>
      <c r="F127" s="193"/>
      <c r="G127" s="193"/>
      <c r="H127" s="193"/>
      <c r="I127" s="193"/>
      <c r="J127" s="193"/>
      <c r="K127" s="193"/>
      <c r="L127" s="193"/>
      <c r="M127" s="193"/>
      <c r="N127" s="193"/>
      <c r="O127" s="193"/>
      <c r="P127" s="193"/>
      <c r="Q127" s="193"/>
      <c r="R127" s="193"/>
      <c r="S127" s="193"/>
      <c r="T127" s="193"/>
      <c r="U127" s="193"/>
      <c r="V127" s="193"/>
      <c r="W127" s="193"/>
      <c r="X127" s="193"/>
      <c r="Y127" s="193"/>
      <c r="Z127" s="193"/>
      <c r="AA127" s="193"/>
      <c r="AB127" s="193"/>
      <c r="AC127" s="193"/>
      <c r="AD127" s="193"/>
      <c r="AE127" s="193"/>
      <c r="AF127" s="193"/>
      <c r="AG127" s="193"/>
      <c r="AH127" s="193"/>
      <c r="AI127" s="114">
        <f ca="1">IF(Configurações!$G$10="Ligado",SUMIFS(C127:AH127,$C$4:$AH$4,"&lt;="&amp;Configurações!$C$5,$C$4:$AH$4,"&lt;="&amp;$AI$3),"")</f>
        <v>0</v>
      </c>
      <c r="AJ127" s="119" t="str">
        <f ca="1">IF(Configurações!$G$20="Ligado",IF(AI127&lt;=0,"Vazio",IF(Configurações!$G$18="Semana",IF(Configurações!$G$19="Contar",ENTRADAS!AI127/Configurações!$C$18,AI127/SUM(AK127:AN127)),AI127/A127)),"")</f>
        <v>Vazio</v>
      </c>
      <c r="AK127" s="70">
        <f t="shared" si="3"/>
        <v>0</v>
      </c>
      <c r="AL127" s="70">
        <f t="shared" si="4"/>
        <v>0</v>
      </c>
      <c r="AM127" s="70">
        <f t="shared" si="5"/>
        <v>0</v>
      </c>
      <c r="AN127" s="70">
        <f ca="1">IF(SUMIF($Y$4:$AH$4,"&lt;=" &amp; $AJ$3,ENTRADAS!Y127:AH127)&gt;0,1,0)</f>
        <v>0</v>
      </c>
    </row>
    <row r="128" spans="1:40" ht="21">
      <c r="A128" s="68">
        <f ca="1">COUNT(INDEX($C:$AH,ROW(),1):INDEX($C:$AH,ROW(),$AI$3+1))</f>
        <v>0</v>
      </c>
      <c r="B128" s="106" t="str">
        <f>INDEX(Cadastro_Mantimentos[[#All],[Colunas4]],MATCH(ROW()-5,Cadastro_Mantimentos[[#All],[Colunas2]],0))</f>
        <v>Suco de Manga</v>
      </c>
      <c r="C128" s="193"/>
      <c r="D128" s="193"/>
      <c r="E128" s="193"/>
      <c r="F128" s="193"/>
      <c r="G128" s="193"/>
      <c r="H128" s="193"/>
      <c r="I128" s="193"/>
      <c r="J128" s="193"/>
      <c r="K128" s="193"/>
      <c r="L128" s="193"/>
      <c r="M128" s="193"/>
      <c r="N128" s="193"/>
      <c r="O128" s="193"/>
      <c r="P128" s="193"/>
      <c r="Q128" s="193"/>
      <c r="R128" s="193"/>
      <c r="S128" s="193"/>
      <c r="T128" s="193"/>
      <c r="U128" s="193"/>
      <c r="V128" s="193"/>
      <c r="W128" s="193"/>
      <c r="X128" s="193"/>
      <c r="Y128" s="193"/>
      <c r="Z128" s="193"/>
      <c r="AA128" s="193"/>
      <c r="AB128" s="193"/>
      <c r="AC128" s="193"/>
      <c r="AD128" s="193"/>
      <c r="AE128" s="193"/>
      <c r="AF128" s="193"/>
      <c r="AG128" s="193"/>
      <c r="AH128" s="193"/>
      <c r="AI128" s="114">
        <f ca="1">IF(Configurações!$G$10="Ligado",SUMIFS(C128:AH128,$C$4:$AH$4,"&lt;="&amp;Configurações!$C$5,$C$4:$AH$4,"&lt;="&amp;$AI$3),"")</f>
        <v>0</v>
      </c>
      <c r="AJ128" s="119" t="str">
        <f ca="1">IF(Configurações!$G$20="Ligado",IF(AI128&lt;=0,"Vazio",IF(Configurações!$G$18="Semana",IF(Configurações!$G$19="Contar",ENTRADAS!AI128/Configurações!$C$18,AI128/SUM(AK128:AN128)),AI128/A128)),"")</f>
        <v>Vazio</v>
      </c>
      <c r="AK128" s="70">
        <f t="shared" si="3"/>
        <v>0</v>
      </c>
      <c r="AL128" s="70">
        <f t="shared" si="4"/>
        <v>0</v>
      </c>
      <c r="AM128" s="70">
        <f t="shared" si="5"/>
        <v>0</v>
      </c>
      <c r="AN128" s="70">
        <f ca="1">IF(SUMIF($Y$4:$AH$4,"&lt;=" &amp; $AJ$3,ENTRADAS!Y128:AH128)&gt;0,1,0)</f>
        <v>0</v>
      </c>
    </row>
    <row r="129" spans="1:40" ht="21">
      <c r="A129" s="68">
        <f ca="1">Configurações!$C$5-(Configurações!$C$5-(COUNT(C130:AH130)))</f>
        <v>0</v>
      </c>
      <c r="B129" s="106" t="str">
        <f>INDEX(Cadastro_Mantimentos[[#All],[Colunas4]],MATCH(ROW()-5,Cadastro_Mantimentos[[#All],[Colunas2]],0))</f>
        <v>Suco De Maracujá</v>
      </c>
      <c r="C129" s="207"/>
      <c r="D129" s="193"/>
      <c r="E129" s="193"/>
      <c r="F129" s="193"/>
      <c r="G129" s="193"/>
      <c r="H129" s="193"/>
      <c r="I129" s="207"/>
      <c r="J129" s="193"/>
      <c r="K129" s="193"/>
      <c r="L129" s="193"/>
      <c r="M129" s="193"/>
      <c r="N129" s="193"/>
      <c r="O129" s="193"/>
      <c r="P129" s="193"/>
      <c r="Q129" s="193"/>
      <c r="R129" s="193"/>
      <c r="S129" s="193"/>
      <c r="T129" s="193"/>
      <c r="U129" s="193"/>
      <c r="V129" s="193"/>
      <c r="W129" s="193"/>
      <c r="X129" s="193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  <c r="AI129" s="131">
        <f ca="1">IF(Configurações!$G$10="Ligado",SUMIFS(C129:AH129,$C$4:$AH$4,"&lt;="&amp;Configurações!$C$5,$C$4:$AH$4,"&lt;="&amp;$AI$3),"")</f>
        <v>0</v>
      </c>
      <c r="AJ129" s="119" t="str">
        <f ca="1">IF(Configurações!$G$20="Ligado",IF(AI129&lt;=0,"Vazio",IF(Configurações!$G$18="Semana",IF(Configurações!$G$19="Contar",ENTRADAS!AI129/Configurações!$C$18,AI129/SUM(AK129:AN129)),AI129/A129)),"")</f>
        <v>Vazio</v>
      </c>
      <c r="AK129" s="70">
        <f t="shared" si="3"/>
        <v>0</v>
      </c>
      <c r="AL129" s="70">
        <f t="shared" si="4"/>
        <v>0</v>
      </c>
      <c r="AM129" s="70">
        <f t="shared" si="5"/>
        <v>0</v>
      </c>
      <c r="AN129" s="70">
        <f ca="1">IF(SUMIF($Y$4:$AH$4,"&lt;=" &amp; $AJ$3,ENTRADAS!Y129:AH129)&gt;0,1,0)</f>
        <v>0</v>
      </c>
    </row>
    <row r="130" spans="1:40" ht="21">
      <c r="A130" s="68">
        <f ca="1">Configurações!$C$5-(Configurações!$C$5-(COUNT(C131:AH131)))</f>
        <v>2</v>
      </c>
      <c r="B130" s="106" t="str">
        <f>INDEX(Cadastro_Mantimentos[[#All],[Colunas4]],MATCH(ROW()-5,Cadastro_Mantimentos[[#All],[Colunas2]],0))</f>
        <v>Suco De Tangerina</v>
      </c>
      <c r="C130" s="207"/>
      <c r="D130" s="193"/>
      <c r="E130" s="193"/>
      <c r="F130" s="193"/>
      <c r="G130" s="193"/>
      <c r="H130" s="193"/>
      <c r="I130" s="207"/>
      <c r="J130" s="193"/>
      <c r="K130" s="193"/>
      <c r="L130" s="193"/>
      <c r="M130" s="193"/>
      <c r="N130" s="193"/>
      <c r="O130" s="193"/>
      <c r="P130" s="193"/>
      <c r="Q130" s="193"/>
      <c r="R130" s="193"/>
      <c r="S130" s="193"/>
      <c r="T130" s="193"/>
      <c r="U130" s="193"/>
      <c r="V130" s="193"/>
      <c r="W130" s="193"/>
      <c r="X130" s="193"/>
      <c r="Y130" s="193"/>
      <c r="Z130" s="193"/>
      <c r="AA130" s="193"/>
      <c r="AB130" s="193"/>
      <c r="AC130" s="193"/>
      <c r="AD130" s="193"/>
      <c r="AE130" s="193"/>
      <c r="AF130" s="193"/>
      <c r="AG130" s="193"/>
      <c r="AH130" s="193"/>
      <c r="AI130" s="131">
        <f ca="1">IF(Configurações!$G$10="Ligado",SUMIFS(C130:AH130,$C$4:$AH$4,"&lt;="&amp;Configurações!$C$5,$C$4:$AH$4,"&lt;="&amp;$AI$3),"")</f>
        <v>0</v>
      </c>
      <c r="AJ130" s="119" t="str">
        <f ca="1">IF(Configurações!$G$20="Ligado",IF(AI130&lt;=0,"Vazio",IF(Configurações!$G$18="Semana",IF(Configurações!$G$19="Contar",ENTRADAS!AI130/Configurações!$C$18,AI130/SUM(AK130:AN130)),AI130/A130)),"")</f>
        <v>Vazio</v>
      </c>
      <c r="AK130" s="70">
        <f t="shared" si="3"/>
        <v>0</v>
      </c>
      <c r="AL130" s="70">
        <f t="shared" si="4"/>
        <v>0</v>
      </c>
      <c r="AM130" s="70">
        <f t="shared" si="5"/>
        <v>0</v>
      </c>
      <c r="AN130" s="70">
        <f ca="1">IF(SUMIF($Y$4:$AH$4,"&lt;=" &amp; $AJ$3,ENTRADAS!Y130:AH130)&gt;0,1,0)</f>
        <v>0</v>
      </c>
    </row>
    <row r="131" spans="1:40" ht="21">
      <c r="A131" s="68">
        <f ca="1">COUNT(INDEX($C:$AH,ROW(),1):INDEX($C:$AH,ROW(),$AI$3+1))</f>
        <v>2</v>
      </c>
      <c r="B131" s="106" t="str">
        <f>INDEX(Cadastro_Mantimentos[[#All],[Colunas4]],MATCH(ROW()-5,Cadastro_Mantimentos[[#All],[Colunas2]],0))</f>
        <v>Suco de Uva</v>
      </c>
      <c r="C131" s="193"/>
      <c r="D131" s="193"/>
      <c r="E131" s="193">
        <v>5</v>
      </c>
      <c r="F131" s="193"/>
      <c r="G131" s="193"/>
      <c r="H131" s="193"/>
      <c r="I131" s="193"/>
      <c r="J131" s="193"/>
      <c r="K131" s="193"/>
      <c r="L131" s="193"/>
      <c r="M131" s="193"/>
      <c r="N131" s="193"/>
      <c r="O131" s="193"/>
      <c r="P131" s="193"/>
      <c r="Q131" s="193"/>
      <c r="R131" s="193">
        <v>5</v>
      </c>
      <c r="S131" s="193"/>
      <c r="T131" s="193"/>
      <c r="U131" s="193"/>
      <c r="V131" s="193"/>
      <c r="W131" s="193"/>
      <c r="X131" s="193"/>
      <c r="Y131" s="193"/>
      <c r="Z131" s="193"/>
      <c r="AA131" s="193"/>
      <c r="AB131" s="193"/>
      <c r="AC131" s="193"/>
      <c r="AD131" s="193"/>
      <c r="AE131" s="193"/>
      <c r="AF131" s="193"/>
      <c r="AG131" s="193"/>
      <c r="AH131" s="193"/>
      <c r="AI131" s="114">
        <f ca="1">IF(Configurações!$G$10="Ligado",SUMIFS(C131:AH131,$C$4:$AH$4,"&lt;="&amp;Configurações!$C$5,$C$4:$AH$4,"&lt;="&amp;$AI$3),"")</f>
        <v>10</v>
      </c>
      <c r="AJ131" s="119">
        <f ca="1">IF(Configurações!$G$20="Ligado",IF(AI131&lt;=0,"Vazio",IF(Configurações!$G$18="Semana",IF(Configurações!$G$19="Contar",ENTRADAS!AI131/Configurações!$C$18,AI131/SUM(AK131:AN131)),AI131/A131)),"")</f>
        <v>5</v>
      </c>
      <c r="AK131" s="70">
        <f t="shared" si="3"/>
        <v>1</v>
      </c>
      <c r="AL131" s="70">
        <f t="shared" si="4"/>
        <v>0</v>
      </c>
      <c r="AM131" s="70">
        <f t="shared" si="5"/>
        <v>1</v>
      </c>
      <c r="AN131" s="70">
        <f ca="1">IF(SUMIF($Y$4:$AH$4,"&lt;=" &amp; $AJ$3,ENTRADAS!Y131:AH131)&gt;0,1,0)</f>
        <v>0</v>
      </c>
    </row>
    <row r="132" spans="1:40" ht="21">
      <c r="A132" s="68">
        <f ca="1">COUNT(INDEX($C:$AH,ROW(),1):INDEX($C:$AH,ROW(),$AI$3+1))</f>
        <v>0</v>
      </c>
      <c r="B132" s="106" t="str">
        <f>INDEX(Cadastro_Mantimentos[[#All],[Colunas4]],MATCH(ROW()-5,Cadastro_Mantimentos[[#All],[Colunas2]],0))</f>
        <v>Tempero Fondor</v>
      </c>
      <c r="C132" s="193"/>
      <c r="D132" s="193"/>
      <c r="E132" s="193"/>
      <c r="F132" s="193"/>
      <c r="G132" s="193"/>
      <c r="H132" s="193"/>
      <c r="I132" s="193"/>
      <c r="J132" s="193"/>
      <c r="K132" s="193"/>
      <c r="L132" s="193"/>
      <c r="M132" s="193"/>
      <c r="N132" s="193"/>
      <c r="O132" s="193"/>
      <c r="P132" s="193"/>
      <c r="Q132" s="193"/>
      <c r="R132" s="193"/>
      <c r="S132" s="193"/>
      <c r="T132" s="193"/>
      <c r="U132" s="193"/>
      <c r="V132" s="193"/>
      <c r="W132" s="193"/>
      <c r="X132" s="193"/>
      <c r="Y132" s="193"/>
      <c r="Z132" s="193"/>
      <c r="AA132" s="193"/>
      <c r="AB132" s="193"/>
      <c r="AC132" s="193"/>
      <c r="AD132" s="193"/>
      <c r="AE132" s="193"/>
      <c r="AF132" s="193"/>
      <c r="AG132" s="193"/>
      <c r="AH132" s="193"/>
      <c r="AI132" s="114">
        <f ca="1">IF(Configurações!$G$10="Ligado",SUMIFS(C132:AH132,$C$4:$AH$4,"&lt;="&amp;Configurações!$C$5,$C$4:$AH$4,"&lt;="&amp;$AI$3),"")</f>
        <v>0</v>
      </c>
      <c r="AJ132" s="119" t="str">
        <f ca="1">IF(Configurações!$G$20="Ligado",IF(AI132&lt;=0,"Vazio",IF(Configurações!$G$18="Semana",IF(Configurações!$G$19="Contar",ENTRADAS!AI132/Configurações!$C$18,AI132/SUM(AK132:AN132)),AI132/A132)),"")</f>
        <v>Vazio</v>
      </c>
      <c r="AK132" s="70">
        <f t="shared" si="3"/>
        <v>0</v>
      </c>
      <c r="AL132" s="70">
        <f t="shared" si="4"/>
        <v>0</v>
      </c>
      <c r="AM132" s="70">
        <f t="shared" si="5"/>
        <v>0</v>
      </c>
      <c r="AN132" s="70">
        <f ca="1">IF(SUMIF($Y$4:$AH$4,"&lt;=" &amp; $AJ$3,ENTRADAS!Y132:AH132)&gt;0,1,0)</f>
        <v>0</v>
      </c>
    </row>
    <row r="133" spans="1:40" ht="21">
      <c r="A133" s="68">
        <f ca="1">Configurações!$C$5-(Configurações!$C$5-(COUNT(C134:AH134)))</f>
        <v>1</v>
      </c>
      <c r="B133" s="106" t="str">
        <f>INDEX(Cadastro_Mantimentos[[#All],[Colunas4]],MATCH(ROW()-5,Cadastro_Mantimentos[[#All],[Colunas2]],0))</f>
        <v xml:space="preserve">Trigo Para Kibe </v>
      </c>
      <c r="C133" s="207"/>
      <c r="D133" s="193"/>
      <c r="E133" s="193"/>
      <c r="F133" s="193"/>
      <c r="G133" s="193"/>
      <c r="H133" s="193"/>
      <c r="I133" s="207"/>
      <c r="J133" s="193"/>
      <c r="K133" s="193"/>
      <c r="L133" s="193">
        <v>5</v>
      </c>
      <c r="M133" s="193"/>
      <c r="N133" s="193"/>
      <c r="O133" s="193"/>
      <c r="P133" s="193"/>
      <c r="Q133" s="193"/>
      <c r="R133" s="193"/>
      <c r="S133" s="193"/>
      <c r="T133" s="193"/>
      <c r="U133" s="193"/>
      <c r="V133" s="193"/>
      <c r="W133" s="193"/>
      <c r="X133" s="193"/>
      <c r="Y133" s="193"/>
      <c r="Z133" s="193"/>
      <c r="AA133" s="193"/>
      <c r="AB133" s="193"/>
      <c r="AC133" s="193"/>
      <c r="AD133" s="193"/>
      <c r="AE133" s="193"/>
      <c r="AF133" s="193"/>
      <c r="AG133" s="193"/>
      <c r="AH133" s="193"/>
      <c r="AI133" s="144">
        <f ca="1">IF(Configurações!$G$10="Ligado",SUMIFS(C133:AH133,$C$4:$AH$4,"&lt;="&amp;Configurações!$C$5,$C$4:$AH$4,"&lt;="&amp;$AI$3),"")</f>
        <v>5</v>
      </c>
      <c r="AJ133" s="119">
        <f ca="1">IF(Configurações!$G$20="Ligado",IF(AI133&lt;=0,"Vazio",IF(Configurações!$G$18="Semana",IF(Configurações!$G$19="Contar",ENTRADAS!AI133/Configurações!$C$18,AI133/SUM(AK133:AN133)),AI133/A133)),"")</f>
        <v>5</v>
      </c>
      <c r="AK133" s="70">
        <f t="shared" si="3"/>
        <v>0</v>
      </c>
      <c r="AL133" s="70">
        <f t="shared" si="4"/>
        <v>1</v>
      </c>
      <c r="AM133" s="70">
        <f t="shared" si="5"/>
        <v>0</v>
      </c>
      <c r="AN133" s="70">
        <f ca="1">IF(SUMIF($Y$4:$AH$4,"&lt;=" &amp; $AJ$3,ENTRADAS!Y133:AH133)&gt;0,1,0)</f>
        <v>0</v>
      </c>
    </row>
    <row r="134" spans="1:40" ht="21">
      <c r="A134" s="68">
        <f ca="1">Configurações!$C$5-(Configurações!$C$5-(COUNT(C135:AH135)))</f>
        <v>0</v>
      </c>
      <c r="B134" s="106" t="str">
        <f>INDEX(Cadastro_Mantimentos[[#All],[Colunas4]],MATCH(ROW()-5,Cadastro_Mantimentos[[#All],[Colunas2]],0))</f>
        <v>Uva Passa Preta</v>
      </c>
      <c r="C134" s="207"/>
      <c r="D134" s="193"/>
      <c r="E134" s="193"/>
      <c r="F134" s="193"/>
      <c r="G134" s="193"/>
      <c r="H134" s="193"/>
      <c r="I134" s="207"/>
      <c r="J134" s="193"/>
      <c r="K134" s="193"/>
      <c r="L134" s="193"/>
      <c r="M134" s="193"/>
      <c r="N134" s="193"/>
      <c r="O134" s="193"/>
      <c r="P134" s="193"/>
      <c r="Q134" s="193"/>
      <c r="R134" s="193"/>
      <c r="S134" s="193">
        <f>33*0.1</f>
        <v>3.3000000000000003</v>
      </c>
      <c r="T134" s="193"/>
      <c r="U134" s="193"/>
      <c r="V134" s="193"/>
      <c r="W134" s="193"/>
      <c r="X134" s="193"/>
      <c r="Y134" s="193"/>
      <c r="Z134" s="193"/>
      <c r="AA134" s="193"/>
      <c r="AB134" s="193"/>
      <c r="AC134" s="193"/>
      <c r="AD134" s="193"/>
      <c r="AE134" s="193"/>
      <c r="AF134" s="193"/>
      <c r="AG134" s="193"/>
      <c r="AH134" s="193"/>
      <c r="AI134" s="144">
        <f ca="1">IF(Configurações!$G$10="Ligado",SUMIFS(C134:AH134,$C$4:$AH$4,"&lt;="&amp;Configurações!$C$5,$C$4:$AH$4,"&lt;="&amp;$AI$3),"")</f>
        <v>3.3000000000000003</v>
      </c>
      <c r="AJ134" s="119">
        <f ca="1">IF(Configurações!$G$20="Ligado",IF(AI134&lt;=0,"Vazio",IF(Configurações!$G$18="Semana",IF(Configurações!$G$19="Contar",ENTRADAS!AI134/Configurações!$C$18,AI134/SUM(AK134:AN134)),AI134/A134)),"")</f>
        <v>3.3000000000000003</v>
      </c>
      <c r="AK134" s="70">
        <f t="shared" si="3"/>
        <v>0</v>
      </c>
      <c r="AL134" s="70">
        <f t="shared" si="4"/>
        <v>0</v>
      </c>
      <c r="AM134" s="70">
        <f t="shared" si="5"/>
        <v>1</v>
      </c>
      <c r="AN134" s="70">
        <f ca="1">IF(SUMIF($Y$4:$AH$4,"&lt;=" &amp; $AJ$3,ENTRADAS!Y134:AH134)&gt;0,1,0)</f>
        <v>0</v>
      </c>
    </row>
    <row r="135" spans="1:40" ht="21">
      <c r="A135" s="68">
        <f ca="1">Configurações!$C$5-(Configurações!$C$5-(COUNT(C136:AH136)))</f>
        <v>1</v>
      </c>
      <c r="B135" s="106" t="str">
        <f>INDEX(Cadastro_Mantimentos[[#All],[Colunas4]],MATCH(ROW()-5,Cadastro_Mantimentos[[#All],[Colunas2]],0))</f>
        <v xml:space="preserve">Vinagre </v>
      </c>
      <c r="C135" s="207"/>
      <c r="D135" s="193"/>
      <c r="E135" s="193"/>
      <c r="F135" s="193"/>
      <c r="G135" s="193"/>
      <c r="H135" s="193"/>
      <c r="I135" s="207"/>
      <c r="J135" s="193"/>
      <c r="K135" s="193"/>
      <c r="L135" s="193"/>
      <c r="M135" s="193"/>
      <c r="N135" s="193"/>
      <c r="O135" s="193"/>
      <c r="P135" s="193"/>
      <c r="Q135" s="193"/>
      <c r="R135" s="193"/>
      <c r="S135" s="193"/>
      <c r="T135" s="193"/>
      <c r="U135" s="193"/>
      <c r="V135" s="193"/>
      <c r="W135" s="193"/>
      <c r="X135" s="193"/>
      <c r="Y135" s="193"/>
      <c r="Z135" s="193"/>
      <c r="AA135" s="193"/>
      <c r="AB135" s="193"/>
      <c r="AC135" s="193"/>
      <c r="AD135" s="193"/>
      <c r="AE135" s="193"/>
      <c r="AF135" s="193"/>
      <c r="AG135" s="193"/>
      <c r="AH135" s="193"/>
      <c r="AI135" s="144">
        <f ca="1">IF(Configurações!$G$10="Ligado",SUMIFS(C135:AH135,$C$4:$AH$4,"&lt;="&amp;Configurações!$C$5,$C$4:$AH$4,"&lt;="&amp;$AI$3),"")</f>
        <v>0</v>
      </c>
      <c r="AJ135" s="119" t="str">
        <f ca="1">IF(Configurações!$G$20="Ligado",IF(AI135&lt;=0,"Vazio",IF(Configurações!$G$18="Semana",IF(Configurações!$G$19="Contar",ENTRADAS!AI135/Configurações!$C$18,AI135/SUM(AK135:AN135)),AI135/A135)),"")</f>
        <v>Vazio</v>
      </c>
      <c r="AK135" s="70">
        <f>IF(SUM(C135:J135)&gt;0,1,0)</f>
        <v>0</v>
      </c>
      <c r="AL135" s="70">
        <f>IF(SUM(K135:Q135)&gt;0,1,0)</f>
        <v>0</v>
      </c>
      <c r="AM135" s="70">
        <f>IF(SUM(R135:X135)&gt;0,1,0)</f>
        <v>0</v>
      </c>
      <c r="AN135" s="70">
        <f ca="1">IF(SUMIF($Y$4:$AH$4,"&lt;=" &amp; $AJ$3,ENTRADAS!Y135:AH135)&gt;0,1,0)</f>
        <v>0</v>
      </c>
    </row>
    <row r="136" spans="1:40" ht="21">
      <c r="A136" s="68">
        <f ca="1">Configurações!$C$5-(Configurações!$C$5-(COUNT(C137:AH137)))</f>
        <v>0</v>
      </c>
      <c r="B136" s="106" t="str">
        <f>INDEX(Cadastro_Mantimentos[[#All],[Colunas4]],MATCH(ROW()-5,Cadastro_Mantimentos[[#All],[Colunas2]],0))</f>
        <v>Vinagre Sachê</v>
      </c>
      <c r="C136" s="207"/>
      <c r="D136" s="193"/>
      <c r="E136" s="193"/>
      <c r="F136" s="193"/>
      <c r="G136" s="193"/>
      <c r="H136" s="193"/>
      <c r="I136" s="207"/>
      <c r="J136" s="193"/>
      <c r="K136" s="193"/>
      <c r="L136" s="193"/>
      <c r="M136" s="193">
        <v>1</v>
      </c>
      <c r="N136" s="193"/>
      <c r="O136" s="193"/>
      <c r="P136" s="193"/>
      <c r="Q136" s="193"/>
      <c r="R136" s="193"/>
      <c r="S136" s="193"/>
      <c r="T136" s="193"/>
      <c r="U136" s="193"/>
      <c r="V136" s="193"/>
      <c r="W136" s="193"/>
      <c r="X136" s="193"/>
      <c r="Y136" s="193"/>
      <c r="Z136" s="193"/>
      <c r="AA136" s="193"/>
      <c r="AB136" s="193"/>
      <c r="AC136" s="193"/>
      <c r="AD136" s="193"/>
      <c r="AE136" s="193"/>
      <c r="AF136" s="193"/>
      <c r="AG136" s="193"/>
      <c r="AH136" s="193"/>
      <c r="AI136" s="144">
        <f ca="1">IF(Configurações!$G$10="Ligado",SUMIFS(C136:AH136,$C$4:$AH$4,"&lt;="&amp;Configurações!$C$5,$C$4:$AH$4,"&lt;="&amp;$AI$3),"")</f>
        <v>1</v>
      </c>
      <c r="AJ136" s="119">
        <f ca="1">IF(Configurações!$G$20="Ligado",IF(AI136&lt;=0,"Vazio",IF(Configurações!$G$18="Semana",IF(Configurações!$G$19="Contar",ENTRADAS!AI136/Configurações!$C$18,AI136/SUM(AK136:AN136)),AI136/A136)),"")</f>
        <v>1</v>
      </c>
      <c r="AK136" s="70">
        <f>IF(SUM(C136:J136)&gt;0,1,0)</f>
        <v>0</v>
      </c>
      <c r="AL136" s="70">
        <f>IF(SUM(K136:Q136)&gt;0,1,0)</f>
        <v>1</v>
      </c>
      <c r="AM136" s="70">
        <f>IF(SUM(R136:X136)&gt;0,1,0)</f>
        <v>0</v>
      </c>
      <c r="AN136" s="70">
        <f ca="1">IF(SUMIF($Y$4:$AH$4,"&lt;=" &amp; $AJ$3,ENTRADAS!Y136:AH136)&gt;0,1,0)</f>
        <v>0</v>
      </c>
    </row>
    <row r="137" spans="1:40" ht="21">
      <c r="A137" s="68">
        <f ca="1">COUNT(INDEX($C:$AH,ROW(),1):INDEX($C:$AH,ROW(),$AI$3+1))</f>
        <v>0</v>
      </c>
      <c r="B137" s="106" t="str">
        <f>INDEX(Cadastro_Mantimentos[[#All],[Colunas4]],MATCH(ROW()-5,Cadastro_Mantimentos[[#All],[Colunas2]],0))</f>
        <v>Vinho</v>
      </c>
      <c r="C137" s="193"/>
      <c r="D137" s="193"/>
      <c r="E137" s="193"/>
      <c r="F137" s="193"/>
      <c r="G137" s="193"/>
      <c r="H137" s="193"/>
      <c r="I137" s="193"/>
      <c r="J137" s="193"/>
      <c r="K137" s="193"/>
      <c r="L137" s="193"/>
      <c r="M137" s="193"/>
      <c r="N137" s="193"/>
      <c r="O137" s="193"/>
      <c r="P137" s="193"/>
      <c r="Q137" s="193"/>
      <c r="R137" s="193"/>
      <c r="S137" s="193"/>
      <c r="T137" s="193"/>
      <c r="U137" s="193"/>
      <c r="V137" s="193"/>
      <c r="W137" s="193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  <c r="AI137" s="114">
        <f ca="1">IF(Configurações!$G$10="Ligado",SUMIFS(C137:AH137,$C$4:$AH$4,"&lt;="&amp;Configurações!$C$5,$C$4:$AH$4,"&lt;="&amp;$AI$3),"")</f>
        <v>0</v>
      </c>
      <c r="AJ137" s="119" t="str">
        <f ca="1">IF(Configurações!$G$20="Ligado",IF(AI137&lt;=0,"Vazio",IF(Configurações!$G$18="Semana",IF(Configurações!$G$19="Contar",ENTRADAS!AI137/Configurações!$C$18,AI137/SUM(AK137:AN137)),AI137/A137)),"")</f>
        <v>Vazio</v>
      </c>
      <c r="AK137" s="70">
        <f>IF(SUM(C137:J137)&gt;0,1,0)</f>
        <v>0</v>
      </c>
      <c r="AL137" s="70">
        <f>IF(SUM(K137:Q137)&gt;0,1,0)</f>
        <v>0</v>
      </c>
      <c r="AM137" s="70">
        <f>IF(SUM(R137:X137)&gt;0,1,0)</f>
        <v>0</v>
      </c>
      <c r="AN137" s="70">
        <f ca="1">IF(SUMIF($Y$4:$AH$4,"&lt;=" &amp; $AJ$3,ENTRADAS!Y137:AH137)&gt;0,1,0)</f>
        <v>0</v>
      </c>
    </row>
    <row r="138" spans="1:40" ht="16.5" thickBot="1">
      <c r="A138" s="2"/>
      <c r="AJ138" s="11"/>
      <c r="AK138" s="70"/>
      <c r="AL138" s="70"/>
      <c r="AM138" s="70"/>
      <c r="AN138" s="70"/>
    </row>
    <row r="139" spans="1:40" ht="24" thickBot="1">
      <c r="A139" s="2"/>
      <c r="B139" s="461" t="s">
        <v>182</v>
      </c>
      <c r="C139" s="463"/>
      <c r="D139" s="463"/>
      <c r="E139" s="463"/>
      <c r="F139" s="463"/>
      <c r="G139" s="463"/>
      <c r="H139" s="463"/>
      <c r="I139" s="463"/>
      <c r="J139" s="463"/>
      <c r="K139" s="463"/>
      <c r="L139" s="463"/>
      <c r="M139" s="463"/>
      <c r="N139" s="463"/>
      <c r="O139" s="463"/>
      <c r="P139" s="463"/>
      <c r="Q139" s="463"/>
      <c r="R139" s="463"/>
      <c r="S139" s="463"/>
      <c r="T139" s="463"/>
      <c r="U139" s="463"/>
      <c r="V139" s="463"/>
      <c r="W139" s="463"/>
      <c r="X139" s="463"/>
      <c r="Y139" s="463"/>
      <c r="Z139" s="463"/>
      <c r="AA139" s="463"/>
      <c r="AB139" s="463"/>
      <c r="AC139" s="463"/>
      <c r="AD139" s="463"/>
      <c r="AE139" s="463"/>
      <c r="AF139" s="463"/>
      <c r="AG139" s="463"/>
      <c r="AH139" s="463"/>
      <c r="AI139" s="463"/>
      <c r="AJ139" s="463"/>
      <c r="AK139" s="70"/>
      <c r="AL139" s="70"/>
      <c r="AM139" s="70"/>
      <c r="AN139" s="70"/>
    </row>
    <row r="140" spans="1:40" ht="21">
      <c r="A140" s="68">
        <f ca="1">COUNT(INDEX($C:$AH,ROW(),1):INDEX($C:$AH,ROW(),$AI$3+1))</f>
        <v>1</v>
      </c>
      <c r="B140" s="106" t="str">
        <f>INDEX(Cadastro_Carnes[[#All],[Colunas4]],MATCH(ROW()-5,Cadastro_Carnes[[#All],[Colunas2]],0))</f>
        <v>Almondega</v>
      </c>
      <c r="C140" s="193"/>
      <c r="D140" s="193"/>
      <c r="E140" s="193"/>
      <c r="F140" s="193"/>
      <c r="G140" s="193"/>
      <c r="H140" s="193"/>
      <c r="I140" s="193"/>
      <c r="J140" s="193"/>
      <c r="K140" s="193"/>
      <c r="L140" s="193"/>
      <c r="M140" s="193"/>
      <c r="N140" s="193"/>
      <c r="O140" s="193"/>
      <c r="P140" s="193"/>
      <c r="Q140" s="193"/>
      <c r="R140" s="193"/>
      <c r="S140" s="193">
        <v>18</v>
      </c>
      <c r="T140" s="193"/>
      <c r="U140" s="193"/>
      <c r="V140" s="193"/>
      <c r="W140" s="193"/>
      <c r="X140" s="193"/>
      <c r="Y140" s="193"/>
      <c r="Z140" s="193"/>
      <c r="AA140" s="193"/>
      <c r="AB140" s="193"/>
      <c r="AC140" s="193"/>
      <c r="AD140" s="193"/>
      <c r="AE140" s="193"/>
      <c r="AF140" s="193"/>
      <c r="AG140" s="193"/>
      <c r="AH140" s="193"/>
      <c r="AI140" s="115">
        <f ca="1">IF(Configurações!$G$10="Ligado",SUMIFS(C140:AH140,$C$4:$AH$4,"&lt;="&amp;Configurações!$C$5,$C$4:$AH$4,"&lt;="&amp;$AI$3),"")</f>
        <v>18</v>
      </c>
      <c r="AJ140" s="119">
        <f ca="1">IF(Configurações!$G$20="Ligado",IF(AI140&lt;=0,"Vazio",IF(Configurações!$G$18="Semana",IF(Configurações!$G$19="Contar",ENTRADAS!AI140/Configurações!$C$18,AI140/SUM(AK140:AN140)),AI140/A140)),"")</f>
        <v>18</v>
      </c>
      <c r="AK140" s="70">
        <f t="shared" ref="AK140:AK168" si="6">IF(SUM(C140:J140)&gt;0,1,0)</f>
        <v>0</v>
      </c>
      <c r="AL140" s="70">
        <f t="shared" ref="AL140:AL168" si="7">IF(SUM(K140:Q140)&gt;0,1,0)</f>
        <v>0</v>
      </c>
      <c r="AM140" s="70">
        <f t="shared" ref="AM140:AM168" si="8">IF(SUM(R140:X140)&gt;0,1,0)</f>
        <v>1</v>
      </c>
      <c r="AN140" s="70">
        <f ca="1">IF(SUMIF($Y$4:$AH$4,"&lt;=" &amp; $AJ$3,ENTRADAS!Y140:AH140)&gt;0,1,0)</f>
        <v>0</v>
      </c>
    </row>
    <row r="141" spans="1:40" ht="21">
      <c r="A141" s="68">
        <f ca="1">COUNT(INDEX($C:$AH,ROW(),1):INDEX($C:$AH,ROW(),$AI$3+1))</f>
        <v>1</v>
      </c>
      <c r="B141" s="106" t="str">
        <f>INDEX(Cadastro_Carnes[[#All],[Colunas4]],MATCH(ROW()-5,Cadastro_Carnes[[#All],[Colunas2]],0))</f>
        <v xml:space="preserve">Bacon </v>
      </c>
      <c r="C141" s="193"/>
      <c r="D141" s="193"/>
      <c r="E141" s="193"/>
      <c r="F141" s="193"/>
      <c r="G141" s="193"/>
      <c r="H141" s="193"/>
      <c r="I141" s="193"/>
      <c r="J141" s="193"/>
      <c r="K141" s="193"/>
      <c r="L141" s="193"/>
      <c r="M141" s="193"/>
      <c r="N141" s="193"/>
      <c r="O141" s="193"/>
      <c r="P141" s="193"/>
      <c r="Q141" s="193"/>
      <c r="R141" s="193"/>
      <c r="S141" s="193"/>
      <c r="T141" s="193"/>
      <c r="U141" s="193">
        <v>10</v>
      </c>
      <c r="V141" s="193"/>
      <c r="W141" s="193"/>
      <c r="X141" s="193"/>
      <c r="Y141" s="193"/>
      <c r="Z141" s="193"/>
      <c r="AA141" s="193"/>
      <c r="AB141" s="193"/>
      <c r="AC141" s="193"/>
      <c r="AD141" s="193"/>
      <c r="AE141" s="193"/>
      <c r="AF141" s="193"/>
      <c r="AG141" s="193"/>
      <c r="AH141" s="193"/>
      <c r="AI141" s="115">
        <f ca="1">IF(Configurações!$G$10="Ligado",SUMIFS(C141:AH141,$C$4:$AH$4,"&lt;="&amp;Configurações!$C$5,$C$4:$AH$4,"&lt;="&amp;$AI$3),"")</f>
        <v>10</v>
      </c>
      <c r="AJ141" s="119">
        <f ca="1">IF(Configurações!$G$20="Ligado",IF(AI141&lt;=0,"Vazio",IF(Configurações!$G$18="Semana",IF(Configurações!$G$19="Contar",ENTRADAS!AI141/Configurações!$C$18,AI141/SUM(AK141:AN141)),AI141/A141)),"")</f>
        <v>10</v>
      </c>
      <c r="AK141" s="70">
        <f t="shared" si="6"/>
        <v>0</v>
      </c>
      <c r="AL141" s="70">
        <f t="shared" si="7"/>
        <v>0</v>
      </c>
      <c r="AM141" s="70">
        <f t="shared" si="8"/>
        <v>1</v>
      </c>
      <c r="AN141" s="70">
        <f ca="1">IF(SUMIF($Y$4:$AH$4,"&lt;=" &amp; $AJ$3,ENTRADAS!Y141:AH141)&gt;0,1,0)</f>
        <v>0</v>
      </c>
    </row>
    <row r="142" spans="1:40" ht="21">
      <c r="A142" s="68">
        <f ca="1">COUNT(INDEX($C:$AH,ROW(),1):INDEX($C:$AH,ROW(),$AI$3+1))</f>
        <v>1</v>
      </c>
      <c r="B142" s="106" t="str">
        <f>INDEX(Cadastro_Carnes[[#All],[Colunas4]],MATCH(ROW()-5,Cadastro_Carnes[[#All],[Colunas2]],0))</f>
        <v>Barriga</v>
      </c>
      <c r="C142" s="193"/>
      <c r="D142" s="193"/>
      <c r="E142" s="193"/>
      <c r="F142" s="193"/>
      <c r="G142" s="193"/>
      <c r="H142" s="193"/>
      <c r="I142" s="193"/>
      <c r="J142" s="193"/>
      <c r="K142" s="193"/>
      <c r="L142" s="193"/>
      <c r="M142" s="193"/>
      <c r="N142" s="193"/>
      <c r="O142" s="193"/>
      <c r="P142" s="193"/>
      <c r="Q142" s="193"/>
      <c r="R142" s="193"/>
      <c r="S142" s="193"/>
      <c r="T142" s="193">
        <v>30.25</v>
      </c>
      <c r="U142" s="193"/>
      <c r="V142" s="193"/>
      <c r="W142" s="193"/>
      <c r="X142" s="193"/>
      <c r="Y142" s="193"/>
      <c r="Z142" s="193"/>
      <c r="AA142" s="193"/>
      <c r="AB142" s="193"/>
      <c r="AC142" s="193"/>
      <c r="AD142" s="193"/>
      <c r="AE142" s="193"/>
      <c r="AF142" s="193"/>
      <c r="AG142" s="193"/>
      <c r="AH142" s="193"/>
      <c r="AI142" s="115">
        <f ca="1">IF(Configurações!$G$10="Ligado",SUMIFS(C142:AH142,$C$4:$AH$4,"&lt;="&amp;Configurações!$C$5,$C$4:$AH$4,"&lt;="&amp;$AI$3),"")</f>
        <v>30.25</v>
      </c>
      <c r="AJ142" s="119">
        <f ca="1">IF(Configurações!$G$20="Ligado",IF(AI142&lt;=0,"Vazio",IF(Configurações!$G$18="Semana",IF(Configurações!$G$19="Contar",ENTRADAS!AI142/Configurações!$C$18,AI142/SUM(AK142:AN142)),AI142/A142)),"")</f>
        <v>30.25</v>
      </c>
      <c r="AK142" s="70">
        <f t="shared" si="6"/>
        <v>0</v>
      </c>
      <c r="AL142" s="70">
        <f t="shared" si="7"/>
        <v>0</v>
      </c>
      <c r="AM142" s="70">
        <f t="shared" si="8"/>
        <v>1</v>
      </c>
      <c r="AN142" s="70">
        <f ca="1">IF(SUMIF($Y$4:$AH$4,"&lt;=" &amp; $AJ$3,ENTRADAS!Y142:AH142)&gt;0,1,0)</f>
        <v>0</v>
      </c>
    </row>
    <row r="143" spans="1:40" ht="21">
      <c r="A143" s="68">
        <f ca="1">COUNT(INDEX($C:$AH,ROW(),1):INDEX($C:$AH,ROW(),$AI$3+1))</f>
        <v>1</v>
      </c>
      <c r="B143" s="106" t="str">
        <f>INDEX(Cadastro_Carnes[[#All],[Colunas4]],MATCH(ROW()-5,Cadastro_Carnes[[#All],[Colunas2]],0))</f>
        <v>Bisteca Porco</v>
      </c>
      <c r="C143" s="193"/>
      <c r="D143" s="193"/>
      <c r="E143" s="193"/>
      <c r="F143" s="193"/>
      <c r="G143" s="193"/>
      <c r="H143" s="193"/>
      <c r="I143" s="193"/>
      <c r="J143" s="193"/>
      <c r="K143" s="193"/>
      <c r="L143" s="193"/>
      <c r="M143" s="193"/>
      <c r="N143" s="193"/>
      <c r="O143" s="193"/>
      <c r="P143" s="193"/>
      <c r="Q143" s="193"/>
      <c r="R143" s="193"/>
      <c r="S143" s="193">
        <v>19.7</v>
      </c>
      <c r="T143" s="193"/>
      <c r="U143" s="193"/>
      <c r="V143" s="193"/>
      <c r="W143" s="193"/>
      <c r="X143" s="193"/>
      <c r="Y143" s="193"/>
      <c r="Z143" s="193"/>
      <c r="AA143" s="193"/>
      <c r="AB143" s="193"/>
      <c r="AC143" s="193"/>
      <c r="AD143" s="193"/>
      <c r="AE143" s="193"/>
      <c r="AF143" s="193"/>
      <c r="AG143" s="193"/>
      <c r="AH143" s="193"/>
      <c r="AI143" s="115">
        <f ca="1">IF(Configurações!$G$10="Ligado",SUMIFS(C143:AH143,$C$4:$AH$4,"&lt;="&amp;Configurações!$C$5,$C$4:$AH$4,"&lt;="&amp;$AI$3),"")</f>
        <v>19.7</v>
      </c>
      <c r="AJ143" s="119">
        <f ca="1">IF(Configurações!$G$20="Ligado",IF(AI143&lt;=0,"Vazio",IF(Configurações!$G$18="Semana",IF(Configurações!$G$19="Contar",ENTRADAS!AI143/Configurações!$C$18,AI143/SUM(AK143:AN143)),AI143/A143)),"")</f>
        <v>19.7</v>
      </c>
      <c r="AK143" s="70">
        <f t="shared" si="6"/>
        <v>0</v>
      </c>
      <c r="AL143" s="70">
        <f t="shared" si="7"/>
        <v>0</v>
      </c>
      <c r="AM143" s="70">
        <f t="shared" si="8"/>
        <v>1</v>
      </c>
      <c r="AN143" s="70">
        <f ca="1">IF(SUMIF($Y$4:$AH$4,"&lt;=" &amp; $AJ$3,ENTRADAS!Y143:AH143)&gt;0,1,0)</f>
        <v>0</v>
      </c>
    </row>
    <row r="144" spans="1:40" ht="21">
      <c r="A144" s="68">
        <f ca="1">COUNT(INDEX($C:$AH,ROW(),1):INDEX($C:$AH,ROW(),$AI$3+1))</f>
        <v>1</v>
      </c>
      <c r="B144" s="106" t="str">
        <f>INDEX(Cadastro_Carnes[[#All],[Colunas4]],MATCH(ROW()-5,Cadastro_Carnes[[#All],[Colunas2]],0))</f>
        <v>Carne Moida Patinho</v>
      </c>
      <c r="C144" s="193"/>
      <c r="D144" s="193"/>
      <c r="E144" s="193"/>
      <c r="F144" s="193"/>
      <c r="G144" s="193"/>
      <c r="H144" s="193"/>
      <c r="I144" s="193"/>
      <c r="J144" s="193"/>
      <c r="K144" s="193"/>
      <c r="L144" s="193"/>
      <c r="M144" s="193"/>
      <c r="N144" s="193"/>
      <c r="O144" s="193"/>
      <c r="P144" s="193"/>
      <c r="Q144" s="193"/>
      <c r="R144" s="193"/>
      <c r="S144" s="193"/>
      <c r="T144" s="193">
        <v>18.771999999999998</v>
      </c>
      <c r="U144" s="193"/>
      <c r="V144" s="193"/>
      <c r="W144" s="193"/>
      <c r="X144" s="193"/>
      <c r="Y144" s="193"/>
      <c r="Z144" s="193"/>
      <c r="AA144" s="193"/>
      <c r="AB144" s="193"/>
      <c r="AC144" s="193"/>
      <c r="AD144" s="193"/>
      <c r="AE144" s="193"/>
      <c r="AF144" s="193"/>
      <c r="AG144" s="193"/>
      <c r="AH144" s="193"/>
      <c r="AI144" s="115">
        <f ca="1">IF(Configurações!$G$10="Ligado",SUMIFS(C144:AH144,$C$4:$AH$4,"&lt;="&amp;Configurações!$C$5,$C$4:$AH$4,"&lt;="&amp;$AI$3),"")</f>
        <v>18.771999999999998</v>
      </c>
      <c r="AJ144" s="119">
        <f ca="1">IF(Configurações!$G$20="Ligado",IF(AI144&lt;=0,"Vazio",IF(Configurações!$G$18="Semana",IF(Configurações!$G$19="Contar",ENTRADAS!AI144/Configurações!$C$18,AI144/SUM(AK144:AN144)),AI144/A144)),"")</f>
        <v>18.771999999999998</v>
      </c>
      <c r="AK144" s="70">
        <f t="shared" si="6"/>
        <v>0</v>
      </c>
      <c r="AL144" s="70">
        <f t="shared" si="7"/>
        <v>0</v>
      </c>
      <c r="AM144" s="70">
        <f t="shared" si="8"/>
        <v>1</v>
      </c>
      <c r="AN144" s="70">
        <f ca="1">IF(SUMIF($Y$4:$AH$4,"&lt;=" &amp; $AJ$3,ENTRADAS!Y144:AH144)&gt;0,1,0)</f>
        <v>0</v>
      </c>
    </row>
    <row r="145" spans="1:40" ht="21">
      <c r="A145" s="68">
        <f ca="1">COUNT(INDEX($C:$AH,ROW(),1):INDEX($C:$AH,ROW(),$AI$3+1))</f>
        <v>2</v>
      </c>
      <c r="B145" s="106" t="str">
        <f>INDEX(Cadastro_Carnes[[#All],[Colunas4]],MATCH(ROW()-5,Cadastro_Carnes[[#All],[Colunas2]],0))</f>
        <v>Carne Seca</v>
      </c>
      <c r="C145" s="193"/>
      <c r="D145" s="193">
        <v>20</v>
      </c>
      <c r="E145" s="193"/>
      <c r="F145" s="193"/>
      <c r="G145" s="193"/>
      <c r="H145" s="193"/>
      <c r="I145" s="193"/>
      <c r="J145" s="193"/>
      <c r="K145" s="193"/>
      <c r="L145" s="193"/>
      <c r="M145" s="193"/>
      <c r="N145" s="193">
        <v>30</v>
      </c>
      <c r="O145" s="193"/>
      <c r="P145" s="193"/>
      <c r="Q145" s="193"/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193"/>
      <c r="AD145" s="193"/>
      <c r="AE145" s="193"/>
      <c r="AF145" s="193"/>
      <c r="AG145" s="193"/>
      <c r="AH145" s="193"/>
      <c r="AI145" s="115">
        <f ca="1">IF(Configurações!$G$10="Ligado",SUMIFS(C145:AH145,$C$4:$AH$4,"&lt;="&amp;Configurações!$C$5,$C$4:$AH$4,"&lt;="&amp;$AI$3),"")</f>
        <v>50</v>
      </c>
      <c r="AJ145" s="119">
        <f ca="1">IF(Configurações!$G$20="Ligado",IF(AI145&lt;=0,"Vazio",IF(Configurações!$G$18="Semana",IF(Configurações!$G$19="Contar",ENTRADAS!AI145/Configurações!$C$18,AI145/SUM(AK145:AN145)),AI145/A145)),"")</f>
        <v>25</v>
      </c>
      <c r="AK145" s="70">
        <f t="shared" si="6"/>
        <v>1</v>
      </c>
      <c r="AL145" s="70">
        <f t="shared" si="7"/>
        <v>1</v>
      </c>
      <c r="AM145" s="70">
        <f t="shared" si="8"/>
        <v>0</v>
      </c>
      <c r="AN145" s="70">
        <f ca="1">IF(SUMIF($Y$4:$AH$4,"&lt;=" &amp; $AJ$3,ENTRADAS!Y145:AH145)&gt;0,1,0)</f>
        <v>0</v>
      </c>
    </row>
    <row r="146" spans="1:40" ht="21">
      <c r="A146" s="68">
        <f ca="1">COUNT(INDEX($C:$AH,ROW(),1):INDEX($C:$AH,ROW(),$AI$3+1))</f>
        <v>0</v>
      </c>
      <c r="B146" s="106" t="str">
        <f>INDEX(Cadastro_Carnes[[#All],[Colunas4]],MATCH(ROW()-5,Cadastro_Carnes[[#All],[Colunas2]],0))</f>
        <v>Cheester</v>
      </c>
      <c r="C146" s="193"/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3"/>
      <c r="P146" s="193"/>
      <c r="Q146" s="193"/>
      <c r="R146" s="193"/>
      <c r="S146" s="193"/>
      <c r="T146" s="193"/>
      <c r="U146" s="193"/>
      <c r="V146" s="193"/>
      <c r="W146" s="193"/>
      <c r="X146" s="193"/>
      <c r="Y146" s="193"/>
      <c r="Z146" s="193"/>
      <c r="AA146" s="193"/>
      <c r="AB146" s="193"/>
      <c r="AC146" s="193"/>
      <c r="AD146" s="193"/>
      <c r="AE146" s="193"/>
      <c r="AF146" s="193"/>
      <c r="AG146" s="193"/>
      <c r="AH146" s="193"/>
      <c r="AI146" s="115">
        <f ca="1">IF(Configurações!$G$10="Ligado",SUMIFS(C146:AH146,$C$4:$AH$4,"&lt;="&amp;Configurações!$C$5,$C$4:$AH$4,"&lt;="&amp;$AI$3),"")</f>
        <v>0</v>
      </c>
      <c r="AJ146" s="119" t="str">
        <f ca="1">IF(Configurações!$G$20="Ligado",IF(AI146&lt;=0,"Vazio",IF(Configurações!$G$18="Semana",IF(Configurações!$G$19="Contar",ENTRADAS!AI146/Configurações!$C$18,AI146/SUM(AK146:AN146)),AI146/A146)),"")</f>
        <v>Vazio</v>
      </c>
      <c r="AK146" s="70">
        <f t="shared" si="6"/>
        <v>0</v>
      </c>
      <c r="AL146" s="70">
        <f t="shared" si="7"/>
        <v>0</v>
      </c>
      <c r="AM146" s="70">
        <f t="shared" si="8"/>
        <v>0</v>
      </c>
      <c r="AN146" s="70">
        <f ca="1">IF(SUMIF($Y$4:$AH$4,"&lt;=" &amp; $AJ$3,ENTRADAS!Y146:AH146)&gt;0,1,0)</f>
        <v>0</v>
      </c>
    </row>
    <row r="147" spans="1:40" ht="21">
      <c r="A147" s="68">
        <f ca="1">COUNT(INDEX($C:$AH,ROW(),1):INDEX($C:$AH,ROW(),$AI$3+1))</f>
        <v>2</v>
      </c>
      <c r="B147" s="106" t="str">
        <f>INDEX(Cadastro_Carnes[[#All],[Colunas4]],MATCH(ROW()-5,Cadastro_Carnes[[#All],[Colunas2]],0))</f>
        <v>Contra Filé</v>
      </c>
      <c r="C147" s="193"/>
      <c r="D147" s="193"/>
      <c r="E147" s="193"/>
      <c r="F147" s="193"/>
      <c r="G147" s="193"/>
      <c r="H147" s="193"/>
      <c r="I147" s="193"/>
      <c r="J147" s="193"/>
      <c r="K147" s="193"/>
      <c r="L147" s="193"/>
      <c r="M147" s="193">
        <v>23.370999999999999</v>
      </c>
      <c r="N147" s="193"/>
      <c r="O147" s="193"/>
      <c r="P147" s="193"/>
      <c r="Q147" s="193"/>
      <c r="R147" s="193"/>
      <c r="S147" s="193">
        <v>23.449000000000002</v>
      </c>
      <c r="T147" s="193"/>
      <c r="U147" s="193"/>
      <c r="V147" s="193"/>
      <c r="W147" s="193"/>
      <c r="X147" s="193"/>
      <c r="Y147" s="193"/>
      <c r="Z147" s="193"/>
      <c r="AA147" s="193"/>
      <c r="AB147" s="193"/>
      <c r="AC147" s="193"/>
      <c r="AD147" s="193"/>
      <c r="AE147" s="193"/>
      <c r="AF147" s="193"/>
      <c r="AG147" s="193"/>
      <c r="AH147" s="193"/>
      <c r="AI147" s="115">
        <f ca="1">IF(Configurações!$G$10="Ligado",SUMIFS(C147:AH147,$C$4:$AH$4,"&lt;="&amp;Configurações!$C$5,$C$4:$AH$4,"&lt;="&amp;$AI$3),"")</f>
        <v>46.82</v>
      </c>
      <c r="AJ147" s="119">
        <f ca="1">IF(Configurações!$G$20="Ligado",IF(AI147&lt;=0,"Vazio",IF(Configurações!$G$18="Semana",IF(Configurações!$G$19="Contar",ENTRADAS!AI147/Configurações!$C$18,AI147/SUM(AK147:AN147)),AI147/A147)),"")</f>
        <v>23.41</v>
      </c>
      <c r="AK147" s="70">
        <f t="shared" si="6"/>
        <v>0</v>
      </c>
      <c r="AL147" s="70">
        <f t="shared" si="7"/>
        <v>1</v>
      </c>
      <c r="AM147" s="70">
        <f t="shared" si="8"/>
        <v>1</v>
      </c>
      <c r="AN147" s="70">
        <f ca="1">IF(SUMIF($Y$4:$AH$4,"&lt;=" &amp; $AJ$3,ENTRADAS!Y147:AH147)&gt;0,1,0)</f>
        <v>0</v>
      </c>
    </row>
    <row r="148" spans="1:40" ht="21">
      <c r="A148" s="68">
        <f ca="1">COUNT(INDEX($C:$AH,ROW(),1):INDEX($C:$AH,ROW(),$AI$3+1))</f>
        <v>1</v>
      </c>
      <c r="B148" s="106" t="str">
        <f>INDEX(Cadastro_Carnes[[#All],[Colunas4]],MATCH(ROW()-5,Cadastro_Carnes[[#All],[Colunas2]],0))</f>
        <v>Costela Fresca</v>
      </c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3"/>
      <c r="N148" s="193"/>
      <c r="O148" s="193"/>
      <c r="P148" s="193"/>
      <c r="Q148" s="193"/>
      <c r="R148" s="193"/>
      <c r="S148" s="193"/>
      <c r="T148" s="193">
        <v>20.879000000000001</v>
      </c>
      <c r="U148" s="193"/>
      <c r="V148" s="193"/>
      <c r="W148" s="193"/>
      <c r="X148" s="193"/>
      <c r="Y148" s="193"/>
      <c r="Z148" s="193"/>
      <c r="AA148" s="193"/>
      <c r="AB148" s="193"/>
      <c r="AC148" s="193"/>
      <c r="AD148" s="193"/>
      <c r="AE148" s="193"/>
      <c r="AF148" s="193"/>
      <c r="AG148" s="193"/>
      <c r="AH148" s="193"/>
      <c r="AI148" s="115">
        <f ca="1">IF(Configurações!$G$10="Ligado",SUMIFS(C148:AH148,$C$4:$AH$4,"&lt;="&amp;Configurações!$C$5,$C$4:$AH$4,"&lt;="&amp;$AI$3),"")</f>
        <v>20.879000000000001</v>
      </c>
      <c r="AJ148" s="119">
        <f ca="1">IF(Configurações!$G$20="Ligado",IF(AI148&lt;=0,"Vazio",IF(Configurações!$G$18="Semana",IF(Configurações!$G$19="Contar",ENTRADAS!AI148/Configurações!$C$18,AI148/SUM(AK148:AN148)),AI148/A148)),"")</f>
        <v>20.879000000000001</v>
      </c>
      <c r="AK148" s="70">
        <f t="shared" si="6"/>
        <v>0</v>
      </c>
      <c r="AL148" s="70">
        <f t="shared" si="7"/>
        <v>0</v>
      </c>
      <c r="AM148" s="70">
        <f t="shared" si="8"/>
        <v>1</v>
      </c>
      <c r="AN148" s="70">
        <f ca="1">IF(SUMIF($Y$4:$AH$4,"&lt;=" &amp; $AJ$3,ENTRADAS!Y148:AH148)&gt;0,1,0)</f>
        <v>0</v>
      </c>
    </row>
    <row r="149" spans="1:40" ht="21">
      <c r="A149" s="68">
        <f ca="1">COUNT(INDEX($C:$AH,ROW(),1):INDEX($C:$AH,ROW(),$AI$3+1))</f>
        <v>2</v>
      </c>
      <c r="B149" s="106" t="str">
        <f>INDEX(Cadastro_Carnes[[#All],[Colunas4]],MATCH(ROW()-5,Cadastro_Carnes[[#All],[Colunas2]],0))</f>
        <v>Costela Salgada</v>
      </c>
      <c r="C149" s="193"/>
      <c r="D149" s="193"/>
      <c r="E149" s="193"/>
      <c r="F149" s="193"/>
      <c r="G149" s="193"/>
      <c r="H149" s="193"/>
      <c r="I149" s="193"/>
      <c r="J149" s="193"/>
      <c r="K149" s="193"/>
      <c r="L149" s="193"/>
      <c r="M149" s="193"/>
      <c r="N149" s="193"/>
      <c r="O149" s="193"/>
      <c r="P149" s="193"/>
      <c r="Q149" s="193"/>
      <c r="R149" s="193"/>
      <c r="S149" s="193">
        <v>20</v>
      </c>
      <c r="T149" s="193">
        <v>22.09</v>
      </c>
      <c r="U149" s="193"/>
      <c r="V149" s="193"/>
      <c r="W149" s="193"/>
      <c r="X149" s="193"/>
      <c r="Y149" s="193"/>
      <c r="Z149" s="193"/>
      <c r="AA149" s="193"/>
      <c r="AB149" s="193"/>
      <c r="AC149" s="193"/>
      <c r="AD149" s="193"/>
      <c r="AE149" s="193"/>
      <c r="AF149" s="193"/>
      <c r="AG149" s="193"/>
      <c r="AH149" s="193"/>
      <c r="AI149" s="115">
        <f ca="1">IF(Configurações!$G$10="Ligado",SUMIFS(C149:AH149,$C$4:$AH$4,"&lt;="&amp;Configurações!$C$5,$C$4:$AH$4,"&lt;="&amp;$AI$3),"")</f>
        <v>42.09</v>
      </c>
      <c r="AJ149" s="119">
        <f ca="1">IF(Configurações!$G$20="Ligado",IF(AI149&lt;=0,"Vazio",IF(Configurações!$G$18="Semana",IF(Configurações!$G$19="Contar",ENTRADAS!AI149/Configurações!$C$18,AI149/SUM(AK149:AN149)),AI149/A149)),"")</f>
        <v>42.09</v>
      </c>
      <c r="AK149" s="70">
        <f t="shared" si="6"/>
        <v>0</v>
      </c>
      <c r="AL149" s="70">
        <f t="shared" si="7"/>
        <v>0</v>
      </c>
      <c r="AM149" s="70">
        <f t="shared" si="8"/>
        <v>1</v>
      </c>
      <c r="AN149" s="70">
        <f ca="1">IF(SUMIF($Y$4:$AH$4,"&lt;=" &amp; $AJ$3,ENTRADAS!Y149:AH149)&gt;0,1,0)</f>
        <v>0</v>
      </c>
    </row>
    <row r="150" spans="1:40" ht="21">
      <c r="A150" s="68">
        <f ca="1">COUNT(INDEX($C:$AH,ROW(),1):INDEX($C:$AH,ROW(),$AI$3+1))</f>
        <v>3</v>
      </c>
      <c r="B150" s="106" t="str">
        <f>INDEX(Cadastro_Carnes[[#All],[Colunas4]],MATCH(ROW()-5,Cadastro_Carnes[[#All],[Colunas2]],0))</f>
        <v>Coxa Com Sobrecoxa</v>
      </c>
      <c r="C150" s="193"/>
      <c r="D150" s="193"/>
      <c r="E150" s="193"/>
      <c r="F150" s="193"/>
      <c r="G150" s="193"/>
      <c r="H150" s="193"/>
      <c r="I150" s="193"/>
      <c r="J150" s="193"/>
      <c r="K150" s="193"/>
      <c r="L150" s="193"/>
      <c r="M150" s="193">
        <v>32</v>
      </c>
      <c r="N150" s="193"/>
      <c r="O150" s="193"/>
      <c r="P150" s="193"/>
      <c r="Q150" s="193"/>
      <c r="R150" s="193"/>
      <c r="S150" s="193"/>
      <c r="T150" s="193">
        <v>40</v>
      </c>
      <c r="U150" s="193">
        <v>40</v>
      </c>
      <c r="V150" s="193"/>
      <c r="W150" s="193"/>
      <c r="X150" s="193"/>
      <c r="Y150" s="193"/>
      <c r="Z150" s="193"/>
      <c r="AA150" s="193"/>
      <c r="AB150" s="193"/>
      <c r="AC150" s="193"/>
      <c r="AD150" s="193"/>
      <c r="AE150" s="193"/>
      <c r="AF150" s="193"/>
      <c r="AG150" s="193"/>
      <c r="AH150" s="193"/>
      <c r="AI150" s="115">
        <f ca="1">IF(Configurações!$G$10="Ligado",SUMIFS(C150:AH150,$C$4:$AH$4,"&lt;="&amp;Configurações!$C$5,$C$4:$AH$4,"&lt;="&amp;$AI$3),"")</f>
        <v>112</v>
      </c>
      <c r="AJ150" s="119">
        <f ca="1">IF(Configurações!$G$20="Ligado",IF(AI150&lt;=0,"Vazio",IF(Configurações!$G$18="Semana",IF(Configurações!$G$19="Contar",ENTRADAS!AI150/Configurações!$C$18,AI150/SUM(AK150:AN150)),AI150/A150)),"")</f>
        <v>56</v>
      </c>
      <c r="AK150" s="70">
        <f t="shared" si="6"/>
        <v>0</v>
      </c>
      <c r="AL150" s="70">
        <f t="shared" si="7"/>
        <v>1</v>
      </c>
      <c r="AM150" s="70">
        <f t="shared" si="8"/>
        <v>1</v>
      </c>
      <c r="AN150" s="70">
        <f ca="1">IF(SUMIF($Y$4:$AH$4,"&lt;=" &amp; $AJ$3,ENTRADAS!Y150:AH150)&gt;0,1,0)</f>
        <v>0</v>
      </c>
    </row>
    <row r="151" spans="1:40" ht="21">
      <c r="A151" s="68">
        <f ca="1">COUNT(INDEX($C:$AH,ROW(),1):INDEX($C:$AH,ROW(),$AI$3+1))</f>
        <v>1</v>
      </c>
      <c r="B151" s="106" t="str">
        <f>INDEX(Cadastro_Carnes[[#All],[Colunas4]],MATCH(ROW()-5,Cadastro_Carnes[[#All],[Colunas2]],0))</f>
        <v>Coxão Duro</v>
      </c>
      <c r="C151" s="193"/>
      <c r="D151" s="193">
        <v>24.722000000000001</v>
      </c>
      <c r="E151" s="193"/>
      <c r="F151" s="193"/>
      <c r="G151" s="193"/>
      <c r="H151" s="193"/>
      <c r="I151" s="193"/>
      <c r="J151" s="193"/>
      <c r="K151" s="193"/>
      <c r="L151" s="193"/>
      <c r="M151" s="193"/>
      <c r="N151" s="193"/>
      <c r="O151" s="193"/>
      <c r="P151" s="193"/>
      <c r="Q151" s="193"/>
      <c r="R151" s="193"/>
      <c r="S151" s="193"/>
      <c r="T151" s="193"/>
      <c r="U151" s="193"/>
      <c r="V151" s="193"/>
      <c r="W151" s="193"/>
      <c r="X151" s="193"/>
      <c r="Y151" s="193"/>
      <c r="Z151" s="193"/>
      <c r="AA151" s="193"/>
      <c r="AB151" s="193"/>
      <c r="AC151" s="193"/>
      <c r="AD151" s="193"/>
      <c r="AE151" s="193"/>
      <c r="AF151" s="193"/>
      <c r="AG151" s="193"/>
      <c r="AH151" s="193"/>
      <c r="AI151" s="115">
        <f ca="1">IF(Configurações!$G$10="Ligado",SUMIFS(C151:AH151,$C$4:$AH$4,"&lt;="&amp;Configurações!$C$5,$C$4:$AH$4,"&lt;="&amp;$AI$3),"")</f>
        <v>24.722000000000001</v>
      </c>
      <c r="AJ151" s="119">
        <f ca="1">IF(Configurações!$G$20="Ligado",IF(AI151&lt;=0,"Vazio",IF(Configurações!$G$18="Semana",IF(Configurações!$G$19="Contar",ENTRADAS!AI151/Configurações!$C$18,AI151/SUM(AK151:AN151)),AI151/A151)),"")</f>
        <v>24.722000000000001</v>
      </c>
      <c r="AK151" s="70">
        <f t="shared" si="6"/>
        <v>1</v>
      </c>
      <c r="AL151" s="70">
        <f t="shared" si="7"/>
        <v>0</v>
      </c>
      <c r="AM151" s="70">
        <f t="shared" si="8"/>
        <v>0</v>
      </c>
      <c r="AN151" s="70">
        <f ca="1">IF(SUMIF($Y$4:$AH$4,"&lt;=" &amp; $AJ$3,ENTRADAS!Y151:AH151)&gt;0,1,0)</f>
        <v>0</v>
      </c>
    </row>
    <row r="152" spans="1:40" ht="21">
      <c r="A152" s="68">
        <f ca="1">COUNT(INDEX($C:$AH,ROW(),1):INDEX($C:$AH,ROW(),$AI$3+1))</f>
        <v>2</v>
      </c>
      <c r="B152" s="106" t="str">
        <f>INDEX(Cadastro_Carnes[[#All],[Colunas4]],MATCH(ROW()-5,Cadastro_Carnes[[#All],[Colunas2]],0))</f>
        <v xml:space="preserve">Coxão Mole </v>
      </c>
      <c r="C152" s="193"/>
      <c r="D152" s="193">
        <v>23.341999999999999</v>
      </c>
      <c r="E152" s="193"/>
      <c r="F152" s="193"/>
      <c r="G152" s="193"/>
      <c r="H152" s="193"/>
      <c r="I152" s="193"/>
      <c r="J152" s="193"/>
      <c r="K152" s="193"/>
      <c r="L152" s="193"/>
      <c r="M152" s="193"/>
      <c r="N152" s="193"/>
      <c r="O152" s="193"/>
      <c r="P152" s="193"/>
      <c r="Q152" s="193"/>
      <c r="R152" s="193"/>
      <c r="S152" s="193"/>
      <c r="T152" s="193">
        <v>41.119</v>
      </c>
      <c r="U152" s="193"/>
      <c r="V152" s="193"/>
      <c r="W152" s="193"/>
      <c r="X152" s="193"/>
      <c r="Y152" s="193"/>
      <c r="Z152" s="193"/>
      <c r="AA152" s="193"/>
      <c r="AB152" s="193"/>
      <c r="AC152" s="193"/>
      <c r="AD152" s="193"/>
      <c r="AE152" s="193"/>
      <c r="AF152" s="193"/>
      <c r="AG152" s="193"/>
      <c r="AH152" s="193"/>
      <c r="AI152" s="115">
        <f ca="1">IF(Configurações!$G$10="Ligado",SUMIFS(C152:AH152,$C$4:$AH$4,"&lt;="&amp;Configurações!$C$5,$C$4:$AH$4,"&lt;="&amp;$AI$3),"")</f>
        <v>64.460999999999999</v>
      </c>
      <c r="AJ152" s="119">
        <f ca="1">IF(Configurações!$G$20="Ligado",IF(AI152&lt;=0,"Vazio",IF(Configurações!$G$18="Semana",IF(Configurações!$G$19="Contar",ENTRADAS!AI152/Configurações!$C$18,AI152/SUM(AK152:AN152)),AI152/A152)),"")</f>
        <v>32.230499999999999</v>
      </c>
      <c r="AK152" s="70">
        <f t="shared" si="6"/>
        <v>1</v>
      </c>
      <c r="AL152" s="70">
        <f t="shared" si="7"/>
        <v>0</v>
      </c>
      <c r="AM152" s="70">
        <f t="shared" si="8"/>
        <v>1</v>
      </c>
      <c r="AN152" s="70">
        <f ca="1">IF(SUMIF($Y$4:$AH$4,"&lt;=" &amp; $AJ$3,ENTRADAS!Y152:AH152)&gt;0,1,0)</f>
        <v>0</v>
      </c>
    </row>
    <row r="153" spans="1:40" ht="21">
      <c r="A153" s="68">
        <f ca="1">COUNT(INDEX($C:$AH,ROW(),1):INDEX($C:$AH,ROW(),$AI$3+1))</f>
        <v>2</v>
      </c>
      <c r="B153" s="106" t="str">
        <f>INDEX(Cadastro_Carnes[[#All],[Colunas4]],MATCH(ROW()-5,Cadastro_Carnes[[#All],[Colunas2]],0))</f>
        <v>Cupim</v>
      </c>
      <c r="C153" s="193"/>
      <c r="D153" s="193">
        <v>22.745999999999999</v>
      </c>
      <c r="E153" s="193"/>
      <c r="F153" s="193"/>
      <c r="G153" s="193"/>
      <c r="H153" s="193"/>
      <c r="I153" s="193"/>
      <c r="J153" s="193"/>
      <c r="K153" s="193"/>
      <c r="L153" s="193"/>
      <c r="M153" s="193"/>
      <c r="N153" s="193"/>
      <c r="O153" s="193"/>
      <c r="P153" s="193"/>
      <c r="Q153" s="193"/>
      <c r="R153" s="193"/>
      <c r="S153" s="193"/>
      <c r="T153" s="193">
        <v>23.978999999999999</v>
      </c>
      <c r="U153" s="193"/>
      <c r="V153" s="193"/>
      <c r="W153" s="193"/>
      <c r="X153" s="193"/>
      <c r="Y153" s="193"/>
      <c r="Z153" s="193"/>
      <c r="AA153" s="193"/>
      <c r="AB153" s="193"/>
      <c r="AC153" s="193"/>
      <c r="AD153" s="193"/>
      <c r="AE153" s="193"/>
      <c r="AF153" s="193"/>
      <c r="AG153" s="193"/>
      <c r="AH153" s="193"/>
      <c r="AI153" s="115">
        <f ca="1">IF(Configurações!$G$10="Ligado",SUMIFS(C153:AH153,$C$4:$AH$4,"&lt;="&amp;Configurações!$C$5,$C$4:$AH$4,"&lt;="&amp;$AI$3),"")</f>
        <v>46.724999999999994</v>
      </c>
      <c r="AJ153" s="119">
        <f ca="1">IF(Configurações!$G$20="Ligado",IF(AI153&lt;=0,"Vazio",IF(Configurações!$G$18="Semana",IF(Configurações!$G$19="Contar",ENTRADAS!AI153/Configurações!$C$18,AI153/SUM(AK153:AN153)),AI153/A153)),"")</f>
        <v>23.362499999999997</v>
      </c>
      <c r="AK153" s="70">
        <f t="shared" si="6"/>
        <v>1</v>
      </c>
      <c r="AL153" s="70">
        <f t="shared" si="7"/>
        <v>0</v>
      </c>
      <c r="AM153" s="70">
        <f t="shared" si="8"/>
        <v>1</v>
      </c>
      <c r="AN153" s="70">
        <f ca="1">IF(SUMIF($Y$4:$AH$4,"&lt;=" &amp; $AJ$3,ENTRADAS!Y153:AH153)&gt;0,1,0)</f>
        <v>0</v>
      </c>
    </row>
    <row r="154" spans="1:40" ht="21">
      <c r="A154" s="68">
        <f ca="1">COUNT(INDEX($C:$AH,ROW(),1):INDEX($C:$AH,ROW(),$AI$3+1))</f>
        <v>2</v>
      </c>
      <c r="B154" s="106" t="str">
        <f>INDEX(Cadastro_Carnes[[#All],[Colunas4]],MATCH(ROW()-5,Cadastro_Carnes[[#All],[Colunas2]],0))</f>
        <v>Filé Frango</v>
      </c>
      <c r="C154" s="193"/>
      <c r="D154" s="193"/>
      <c r="E154" s="193"/>
      <c r="F154" s="193"/>
      <c r="G154" s="193"/>
      <c r="H154" s="193"/>
      <c r="I154" s="193"/>
      <c r="J154" s="193"/>
      <c r="K154" s="193"/>
      <c r="L154" s="193"/>
      <c r="M154" s="193">
        <v>40</v>
      </c>
      <c r="N154" s="193"/>
      <c r="O154" s="193"/>
      <c r="P154" s="193"/>
      <c r="Q154" s="193"/>
      <c r="R154" s="193"/>
      <c r="S154" s="193">
        <v>40</v>
      </c>
      <c r="T154" s="193"/>
      <c r="U154" s="193"/>
      <c r="V154" s="193"/>
      <c r="W154" s="193"/>
      <c r="X154" s="193"/>
      <c r="Y154" s="193"/>
      <c r="Z154" s="193"/>
      <c r="AA154" s="193"/>
      <c r="AB154" s="193"/>
      <c r="AC154" s="193"/>
      <c r="AD154" s="193"/>
      <c r="AE154" s="193"/>
      <c r="AF154" s="193"/>
      <c r="AG154" s="193"/>
      <c r="AH154" s="193"/>
      <c r="AI154" s="115">
        <f ca="1">IF(Configurações!$G$10="Ligado",SUMIFS(C154:AH154,$C$4:$AH$4,"&lt;="&amp;Configurações!$C$5,$C$4:$AH$4,"&lt;="&amp;$AI$3),"")</f>
        <v>80</v>
      </c>
      <c r="AJ154" s="119">
        <f ca="1">IF(Configurações!$G$20="Ligado",IF(AI154&lt;=0,"Vazio",IF(Configurações!$G$18="Semana",IF(Configurações!$G$19="Contar",ENTRADAS!AI154/Configurações!$C$18,AI154/SUM(AK154:AN154)),AI154/A154)),"")</f>
        <v>40</v>
      </c>
      <c r="AK154" s="70">
        <f t="shared" si="6"/>
        <v>0</v>
      </c>
      <c r="AL154" s="70">
        <f t="shared" si="7"/>
        <v>1</v>
      </c>
      <c r="AM154" s="70">
        <f t="shared" si="8"/>
        <v>1</v>
      </c>
      <c r="AN154" s="70">
        <f ca="1">IF(SUMIF($Y$4:$AH$4,"&lt;=" &amp; $AJ$3,ENTRADAS!Y154:AH154)&gt;0,1,0)</f>
        <v>0</v>
      </c>
    </row>
    <row r="155" spans="1:40" ht="21">
      <c r="A155" s="68">
        <f ca="1">COUNT(INDEX($C:$AH,ROW(),1):INDEX($C:$AH,ROW(),$AI$3+1))</f>
        <v>0</v>
      </c>
      <c r="B155" s="106" t="str">
        <f>INDEX(Cadastro_Carnes[[#All],[Colunas4]],MATCH(ROW()-5,Cadastro_Carnes[[#All],[Colunas2]],0))</f>
        <v>Fraldinha</v>
      </c>
      <c r="C155" s="193"/>
      <c r="D155" s="193"/>
      <c r="E155" s="193"/>
      <c r="F155" s="193"/>
      <c r="G155" s="193"/>
      <c r="H155" s="193"/>
      <c r="I155" s="193"/>
      <c r="J155" s="193"/>
      <c r="K155" s="193"/>
      <c r="L155" s="193"/>
      <c r="M155" s="193"/>
      <c r="N155" s="193"/>
      <c r="O155" s="193"/>
      <c r="P155" s="193"/>
      <c r="Q155" s="193"/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193"/>
      <c r="AD155" s="193"/>
      <c r="AE155" s="193"/>
      <c r="AF155" s="193"/>
      <c r="AG155" s="193"/>
      <c r="AH155" s="193"/>
      <c r="AI155" s="115">
        <f ca="1">IF(Configurações!$G$10="Ligado",SUMIFS(C155:AH155,$C$4:$AH$4,"&lt;="&amp;Configurações!$C$5,$C$4:$AH$4,"&lt;="&amp;$AI$3),"")</f>
        <v>0</v>
      </c>
      <c r="AJ155" s="119" t="str">
        <f ca="1">IF(Configurações!$G$20="Ligado",IF(AI155&lt;=0,"Vazio",IF(Configurações!$G$18="Semana",IF(Configurações!$G$19="Contar",ENTRADAS!AI155/Configurações!$C$18,AI155/SUM(AK155:AN155)),AI155/A155)),"")</f>
        <v>Vazio</v>
      </c>
      <c r="AK155" s="70">
        <f t="shared" si="6"/>
        <v>0</v>
      </c>
      <c r="AL155" s="70">
        <f t="shared" si="7"/>
        <v>0</v>
      </c>
      <c r="AM155" s="70">
        <f t="shared" si="8"/>
        <v>0</v>
      </c>
      <c r="AN155" s="70">
        <f ca="1">IF(SUMIF($Y$4:$AH$4,"&lt;=" &amp; $AJ$3,ENTRADAS!Y155:AH155)&gt;0,1,0)</f>
        <v>0</v>
      </c>
    </row>
    <row r="156" spans="1:40" ht="21">
      <c r="A156" s="68">
        <f ca="1">COUNT(INDEX($C:$AH,ROW(),1):INDEX($C:$AH,ROW(),$AI$3+1))</f>
        <v>0</v>
      </c>
      <c r="B156" s="106" t="str">
        <f>INDEX(Cadastro_Carnes[[#All],[Colunas4]],MATCH(ROW()-5,Cadastro_Carnes[[#All],[Colunas2]],0))</f>
        <v>Hambúrguer</v>
      </c>
      <c r="C156" s="193"/>
      <c r="D156" s="193"/>
      <c r="E156" s="193"/>
      <c r="F156" s="193"/>
      <c r="G156" s="193"/>
      <c r="H156" s="193"/>
      <c r="I156" s="193"/>
      <c r="J156" s="193"/>
      <c r="K156" s="193"/>
      <c r="L156" s="193"/>
      <c r="M156" s="193"/>
      <c r="N156" s="193"/>
      <c r="O156" s="193"/>
      <c r="P156" s="193"/>
      <c r="Q156" s="193"/>
      <c r="R156" s="193"/>
      <c r="S156" s="193"/>
      <c r="T156" s="193"/>
      <c r="U156" s="193"/>
      <c r="V156" s="193"/>
      <c r="W156" s="193"/>
      <c r="X156" s="193"/>
      <c r="Y156" s="193"/>
      <c r="Z156" s="193"/>
      <c r="AA156" s="193"/>
      <c r="AB156" s="193"/>
      <c r="AC156" s="193"/>
      <c r="AD156" s="193"/>
      <c r="AE156" s="193"/>
      <c r="AF156" s="193"/>
      <c r="AG156" s="193"/>
      <c r="AH156" s="193"/>
      <c r="AI156" s="115">
        <f ca="1">IF(Configurações!$G$10="Ligado",SUMIFS(C156:AH156,$C$4:$AH$4,"&lt;="&amp;Configurações!$C$5,$C$4:$AH$4,"&lt;="&amp;$AI$3),"")</f>
        <v>0</v>
      </c>
      <c r="AJ156" s="119" t="str">
        <f ca="1">IF(Configurações!$G$20="Ligado",IF(AI156&lt;=0,"Vazio",IF(Configurações!$G$18="Semana",IF(Configurações!$G$19="Contar",ENTRADAS!AI156/Configurações!$C$18,AI156/SUM(AK156:AN156)),AI156/A156)),"")</f>
        <v>Vazio</v>
      </c>
      <c r="AK156" s="70">
        <f t="shared" si="6"/>
        <v>0</v>
      </c>
      <c r="AL156" s="70">
        <f t="shared" si="7"/>
        <v>0</v>
      </c>
      <c r="AM156" s="70">
        <f t="shared" si="8"/>
        <v>0</v>
      </c>
      <c r="AN156" s="70">
        <f ca="1">IF(SUMIF($Y$4:$AH$4,"&lt;=" &amp; $AJ$3,ENTRADAS!Y156:AH156)&gt;0,1,0)</f>
        <v>0</v>
      </c>
    </row>
    <row r="157" spans="1:40" ht="21">
      <c r="A157" s="68">
        <f ca="1">COUNT(INDEX($C:$AH,ROW(),1):INDEX($C:$AH,ROW(),$AI$3+1))</f>
        <v>1</v>
      </c>
      <c r="B157" s="106" t="str">
        <f>INDEX(Cadastro_Carnes[[#All],[Colunas4]],MATCH(ROW()-5,Cadastro_Carnes[[#All],[Colunas2]],0))</f>
        <v>Lagarto</v>
      </c>
      <c r="C157" s="193"/>
      <c r="D157" s="193"/>
      <c r="E157" s="193"/>
      <c r="F157" s="193"/>
      <c r="G157" s="193"/>
      <c r="H157" s="193"/>
      <c r="I157" s="193"/>
      <c r="J157" s="193"/>
      <c r="K157" s="193"/>
      <c r="L157" s="193"/>
      <c r="M157" s="193"/>
      <c r="N157" s="193"/>
      <c r="O157" s="193"/>
      <c r="P157" s="193"/>
      <c r="Q157" s="193"/>
      <c r="R157" s="193"/>
      <c r="S157" s="193"/>
      <c r="T157" s="193">
        <v>23.553000000000001</v>
      </c>
      <c r="U157" s="193"/>
      <c r="V157" s="193"/>
      <c r="W157" s="193"/>
      <c r="X157" s="193"/>
      <c r="Y157" s="193"/>
      <c r="Z157" s="193"/>
      <c r="AA157" s="193"/>
      <c r="AB157" s="193"/>
      <c r="AC157" s="193"/>
      <c r="AD157" s="193"/>
      <c r="AE157" s="193"/>
      <c r="AF157" s="193"/>
      <c r="AG157" s="193"/>
      <c r="AH157" s="193"/>
      <c r="AI157" s="115">
        <f ca="1">IF(Configurações!$G$10="Ligado",SUMIFS(C157:AH157,$C$4:$AH$4,"&lt;="&amp;Configurações!$C$5,$C$4:$AH$4,"&lt;="&amp;$AI$3),"")</f>
        <v>23.553000000000001</v>
      </c>
      <c r="AJ157" s="119">
        <f ca="1">IF(Configurações!$G$20="Ligado",IF(AI157&lt;=0,"Vazio",IF(Configurações!$G$18="Semana",IF(Configurações!$G$19="Contar",ENTRADAS!AI157/Configurações!$C$18,AI157/SUM(AK157:AN157)),AI157/A157)),"")</f>
        <v>23.553000000000001</v>
      </c>
      <c r="AK157" s="70">
        <f t="shared" si="6"/>
        <v>0</v>
      </c>
      <c r="AL157" s="70">
        <f t="shared" si="7"/>
        <v>0</v>
      </c>
      <c r="AM157" s="70">
        <f t="shared" si="8"/>
        <v>1</v>
      </c>
      <c r="AN157" s="70">
        <f ca="1">IF(SUMIF($Y$4:$AH$4,"&lt;=" &amp; $AJ$3,ENTRADAS!Y157:AH157)&gt;0,1,0)</f>
        <v>0</v>
      </c>
    </row>
    <row r="158" spans="1:40" ht="21">
      <c r="A158" s="68">
        <f ca="1">COUNT(INDEX($C:$AH,ROW(),1):INDEX($C:$AH,ROW(),$AI$3+1))</f>
        <v>2</v>
      </c>
      <c r="B158" s="106" t="str">
        <f>INDEX(Cadastro_Carnes[[#All],[Colunas4]],MATCH(ROW()-5,Cadastro_Carnes[[#All],[Colunas2]],0))</f>
        <v xml:space="preserve">Linguiça Calabresa </v>
      </c>
      <c r="C158" s="193"/>
      <c r="D158" s="193"/>
      <c r="E158" s="193"/>
      <c r="F158" s="193"/>
      <c r="G158" s="193"/>
      <c r="H158" s="193"/>
      <c r="I158" s="193"/>
      <c r="J158" s="193"/>
      <c r="K158" s="193"/>
      <c r="L158" s="193"/>
      <c r="M158" s="193">
        <v>10</v>
      </c>
      <c r="N158" s="193"/>
      <c r="O158" s="193"/>
      <c r="P158" s="193"/>
      <c r="Q158" s="193"/>
      <c r="R158" s="193"/>
      <c r="S158" s="193"/>
      <c r="T158" s="193">
        <v>10</v>
      </c>
      <c r="U158" s="193"/>
      <c r="V158" s="193"/>
      <c r="W158" s="193"/>
      <c r="X158" s="193"/>
      <c r="Y158" s="193"/>
      <c r="Z158" s="193"/>
      <c r="AA158" s="193"/>
      <c r="AB158" s="193"/>
      <c r="AC158" s="193"/>
      <c r="AD158" s="193"/>
      <c r="AE158" s="193"/>
      <c r="AF158" s="193"/>
      <c r="AG158" s="193"/>
      <c r="AH158" s="193"/>
      <c r="AI158" s="115">
        <f ca="1">IF(Configurações!$G$10="Ligado",SUMIFS(C158:AH158,$C$4:$AH$4,"&lt;="&amp;Configurações!$C$5,$C$4:$AH$4,"&lt;="&amp;$AI$3),"")</f>
        <v>20</v>
      </c>
      <c r="AJ158" s="119">
        <f ca="1">IF(Configurações!$G$20="Ligado",IF(AI158&lt;=0,"Vazio",IF(Configurações!$G$18="Semana",IF(Configurações!$G$19="Contar",ENTRADAS!AI158/Configurações!$C$18,AI158/SUM(AK158:AN158)),AI158/A158)),"")</f>
        <v>10</v>
      </c>
      <c r="AK158" s="70">
        <f t="shared" si="6"/>
        <v>0</v>
      </c>
      <c r="AL158" s="70">
        <f t="shared" si="7"/>
        <v>1</v>
      </c>
      <c r="AM158" s="70">
        <f t="shared" si="8"/>
        <v>1</v>
      </c>
      <c r="AN158" s="70">
        <f ca="1">IF(SUMIF($Y$4:$AH$4,"&lt;=" &amp; $AJ$3,ENTRADAS!Y158:AH158)&gt;0,1,0)</f>
        <v>0</v>
      </c>
    </row>
    <row r="159" spans="1:40" ht="21">
      <c r="A159" s="68">
        <f ca="1">COUNT(INDEX($C:$AH,ROW(),1):INDEX($C:$AH,ROW(),$AI$3+1))</f>
        <v>3</v>
      </c>
      <c r="B159" s="106" t="str">
        <f>INDEX(Cadastro_Carnes[[#All],[Colunas4]],MATCH(ROW()-5,Cadastro_Carnes[[#All],[Colunas2]],0))</f>
        <v xml:space="preserve">Linguiça Fresca </v>
      </c>
      <c r="C159" s="193"/>
      <c r="D159" s="193">
        <v>15</v>
      </c>
      <c r="E159" s="193"/>
      <c r="F159" s="193"/>
      <c r="G159" s="193"/>
      <c r="H159" s="193"/>
      <c r="I159" s="193"/>
      <c r="J159" s="193"/>
      <c r="K159" s="193"/>
      <c r="L159" s="193"/>
      <c r="M159" s="193">
        <v>10</v>
      </c>
      <c r="N159" s="193"/>
      <c r="O159" s="193"/>
      <c r="P159" s="193"/>
      <c r="Q159" s="193"/>
      <c r="R159" s="193"/>
      <c r="S159" s="193"/>
      <c r="T159" s="193">
        <v>15</v>
      </c>
      <c r="U159" s="193"/>
      <c r="V159" s="193"/>
      <c r="W159" s="193"/>
      <c r="X159" s="193"/>
      <c r="Y159" s="193"/>
      <c r="Z159" s="193"/>
      <c r="AA159" s="193"/>
      <c r="AB159" s="193"/>
      <c r="AC159" s="193"/>
      <c r="AD159" s="193"/>
      <c r="AE159" s="193"/>
      <c r="AF159" s="193"/>
      <c r="AG159" s="193"/>
      <c r="AH159" s="193"/>
      <c r="AI159" s="115">
        <f ca="1">IF(Configurações!$G$10="Ligado",SUMIFS(C159:AH159,$C$4:$AH$4,"&lt;="&amp;Configurações!$C$5,$C$4:$AH$4,"&lt;="&amp;$AI$3),"")</f>
        <v>40</v>
      </c>
      <c r="AJ159" s="119">
        <f ca="1">IF(Configurações!$G$20="Ligado",IF(AI159&lt;=0,"Vazio",IF(Configurações!$G$18="Semana",IF(Configurações!$G$19="Contar",ENTRADAS!AI159/Configurações!$C$18,AI159/SUM(AK159:AN159)),AI159/A159)),"")</f>
        <v>13.333333333333334</v>
      </c>
      <c r="AK159" s="70">
        <f t="shared" si="6"/>
        <v>1</v>
      </c>
      <c r="AL159" s="70">
        <f t="shared" si="7"/>
        <v>1</v>
      </c>
      <c r="AM159" s="70">
        <f t="shared" si="8"/>
        <v>1</v>
      </c>
      <c r="AN159" s="70">
        <f ca="1">IF(SUMIF($Y$4:$AH$4,"&lt;=" &amp; $AJ$3,ENTRADAS!Y159:AH159)&gt;0,1,0)</f>
        <v>0</v>
      </c>
    </row>
    <row r="160" spans="1:40" ht="21">
      <c r="A160" s="68">
        <f ca="1">COUNT(INDEX($C:$AH,ROW(),1):INDEX($C:$AH,ROW(),$AI$3+1))</f>
        <v>2</v>
      </c>
      <c r="B160" s="106" t="str">
        <f>INDEX(Cadastro_Carnes[[#All],[Colunas4]],MATCH(ROW()-5,Cadastro_Carnes[[#All],[Colunas2]],0))</f>
        <v>Lingüiça Paio</v>
      </c>
      <c r="C160" s="193"/>
      <c r="D160" s="193">
        <v>10</v>
      </c>
      <c r="E160" s="193"/>
      <c r="F160" s="193"/>
      <c r="G160" s="193"/>
      <c r="H160" s="193"/>
      <c r="I160" s="193"/>
      <c r="J160" s="193"/>
      <c r="K160" s="193"/>
      <c r="L160" s="193"/>
      <c r="M160" s="193"/>
      <c r="N160" s="193"/>
      <c r="O160" s="193"/>
      <c r="P160" s="193"/>
      <c r="Q160" s="193"/>
      <c r="R160" s="193"/>
      <c r="S160" s="193"/>
      <c r="T160" s="193">
        <v>10</v>
      </c>
      <c r="U160" s="193"/>
      <c r="V160" s="193"/>
      <c r="W160" s="193"/>
      <c r="X160" s="193"/>
      <c r="Y160" s="193"/>
      <c r="Z160" s="193"/>
      <c r="AA160" s="193"/>
      <c r="AB160" s="193"/>
      <c r="AC160" s="193"/>
      <c r="AD160" s="193"/>
      <c r="AE160" s="193"/>
      <c r="AF160" s="193"/>
      <c r="AG160" s="193"/>
      <c r="AH160" s="193"/>
      <c r="AI160" s="115">
        <f ca="1">IF(Configurações!$G$10="Ligado",SUMIFS(C160:AH160,$C$4:$AH$4,"&lt;="&amp;Configurações!$C$5,$C$4:$AH$4,"&lt;="&amp;$AI$3),"")</f>
        <v>20</v>
      </c>
      <c r="AJ160" s="119">
        <f ca="1">IF(Configurações!$G$20="Ligado",IF(AI160&lt;=0,"Vazio",IF(Configurações!$G$18="Semana",IF(Configurações!$G$19="Contar",ENTRADAS!AI160/Configurações!$C$18,AI160/SUM(AK160:AN160)),AI160/A160)),"")</f>
        <v>10</v>
      </c>
      <c r="AK160" s="70">
        <f t="shared" si="6"/>
        <v>1</v>
      </c>
      <c r="AL160" s="70">
        <f t="shared" si="7"/>
        <v>0</v>
      </c>
      <c r="AM160" s="70">
        <f t="shared" si="8"/>
        <v>1</v>
      </c>
      <c r="AN160" s="70">
        <f ca="1">IF(SUMIF($Y$4:$AH$4,"&lt;=" &amp; $AJ$3,ENTRADAS!Y160:AH160)&gt;0,1,0)</f>
        <v>0</v>
      </c>
    </row>
    <row r="161" spans="1:40" ht="21">
      <c r="A161" s="68">
        <f ca="1">COUNT(INDEX($C:$AH,ROW(),1):INDEX($C:$AH,ROW(),$AI$3+1))</f>
        <v>1</v>
      </c>
      <c r="B161" s="106" t="str">
        <f>INDEX(Cadastro_Carnes[[#All],[Colunas4]],MATCH(ROW()-5,Cadastro_Carnes[[#All],[Colunas2]],0))</f>
        <v>Lombo De Porco</v>
      </c>
      <c r="C161" s="193"/>
      <c r="D161" s="193"/>
      <c r="E161" s="193"/>
      <c r="F161" s="193"/>
      <c r="G161" s="193"/>
      <c r="H161" s="193"/>
      <c r="I161" s="193"/>
      <c r="J161" s="193"/>
      <c r="K161" s="193"/>
      <c r="L161" s="193"/>
      <c r="M161" s="193"/>
      <c r="N161" s="193"/>
      <c r="O161" s="193"/>
      <c r="P161" s="193"/>
      <c r="Q161" s="193"/>
      <c r="R161" s="193"/>
      <c r="S161" s="193"/>
      <c r="T161" s="193">
        <v>12</v>
      </c>
      <c r="U161" s="193"/>
      <c r="V161" s="193"/>
      <c r="W161" s="193"/>
      <c r="X161" s="193"/>
      <c r="Y161" s="193"/>
      <c r="Z161" s="193"/>
      <c r="AA161" s="193"/>
      <c r="AB161" s="193"/>
      <c r="AC161" s="193"/>
      <c r="AD161" s="193"/>
      <c r="AE161" s="193"/>
      <c r="AF161" s="193"/>
      <c r="AG161" s="193"/>
      <c r="AH161" s="193"/>
      <c r="AI161" s="115">
        <f ca="1">IF(Configurações!$G$10="Ligado",SUMIFS(C161:AH161,$C$4:$AH$4,"&lt;="&amp;Configurações!$C$5,$C$4:$AH$4,"&lt;="&amp;$AI$3),"")</f>
        <v>12</v>
      </c>
      <c r="AJ161" s="119">
        <f ca="1">IF(Configurações!$G$20="Ligado",IF(AI161&lt;=0,"Vazio",IF(Configurações!$G$18="Semana",IF(Configurações!$G$19="Contar",ENTRADAS!AI161/Configurações!$C$18,AI161/SUM(AK161:AN161)),AI161/A161)),"")</f>
        <v>12</v>
      </c>
      <c r="AK161" s="70">
        <f t="shared" si="6"/>
        <v>0</v>
      </c>
      <c r="AL161" s="70">
        <f t="shared" si="7"/>
        <v>0</v>
      </c>
      <c r="AM161" s="70">
        <f t="shared" si="8"/>
        <v>1</v>
      </c>
      <c r="AN161" s="70">
        <f ca="1">IF(SUMIF($Y$4:$AH$4,"&lt;=" &amp; $AJ$3,ENTRADAS!Y161:AH161)&gt;0,1,0)</f>
        <v>0</v>
      </c>
    </row>
    <row r="162" spans="1:40" ht="21">
      <c r="A162" s="68">
        <f ca="1">COUNT(INDEX($C:$AH,ROW(),1):INDEX($C:$AH,ROW(),$AI$3+1))</f>
        <v>1</v>
      </c>
      <c r="B162" s="106" t="str">
        <f>INDEX(Cadastro_Carnes[[#All],[Colunas4]],MATCH(ROW()-5,Cadastro_Carnes[[#All],[Colunas2]],0))</f>
        <v>Maminha</v>
      </c>
      <c r="C162" s="193"/>
      <c r="D162" s="193"/>
      <c r="E162" s="193"/>
      <c r="F162" s="193"/>
      <c r="G162" s="193"/>
      <c r="H162" s="193"/>
      <c r="I162" s="193"/>
      <c r="J162" s="193"/>
      <c r="K162" s="193"/>
      <c r="L162" s="193"/>
      <c r="M162" s="193"/>
      <c r="N162" s="193"/>
      <c r="O162" s="193"/>
      <c r="P162" s="193"/>
      <c r="Q162" s="193"/>
      <c r="R162" s="193"/>
      <c r="S162" s="193"/>
      <c r="T162" s="193"/>
      <c r="U162" s="193">
        <v>40.450000000000003</v>
      </c>
      <c r="V162" s="193"/>
      <c r="W162" s="193"/>
      <c r="X162" s="193"/>
      <c r="Y162" s="193"/>
      <c r="Z162" s="193"/>
      <c r="AA162" s="193"/>
      <c r="AB162" s="193"/>
      <c r="AC162" s="193"/>
      <c r="AD162" s="193"/>
      <c r="AE162" s="193"/>
      <c r="AF162" s="193"/>
      <c r="AG162" s="193"/>
      <c r="AH162" s="193"/>
      <c r="AI162" s="115">
        <f ca="1">IF(Configurações!$G$10="Ligado",SUMIFS(C162:AH162,$C$4:$AH$4,"&lt;="&amp;Configurações!$C$5,$C$4:$AH$4,"&lt;="&amp;$AI$3),"")</f>
        <v>40.450000000000003</v>
      </c>
      <c r="AJ162" s="119">
        <f ca="1">IF(Configurações!$G$20="Ligado",IF(AI162&lt;=0,"Vazio",IF(Configurações!$G$18="Semana",IF(Configurações!$G$19="Contar",ENTRADAS!AI162/Configurações!$C$18,AI162/SUM(AK162:AN162)),AI162/A162)),"")</f>
        <v>40.450000000000003</v>
      </c>
      <c r="AK162" s="70">
        <f t="shared" si="6"/>
        <v>0</v>
      </c>
      <c r="AL162" s="70">
        <f t="shared" si="7"/>
        <v>0</v>
      </c>
      <c r="AM162" s="70">
        <f t="shared" si="8"/>
        <v>1</v>
      </c>
      <c r="AN162" s="70">
        <f ca="1">IF(SUMIF($Y$4:$AH$4,"&lt;=" &amp; $AJ$3,ENTRADAS!Y162:AH162)&gt;0,1,0)</f>
        <v>0</v>
      </c>
    </row>
    <row r="163" spans="1:40" ht="21">
      <c r="A163" s="68">
        <f ca="1">COUNT(INDEX($C:$AH,ROW(),1):INDEX($C:$AH,ROW(),$AI$3+1))</f>
        <v>0</v>
      </c>
      <c r="B163" s="106" t="str">
        <f>INDEX(Cadastro_Carnes[[#All],[Colunas4]],MATCH(ROW()-5,Cadastro_Carnes[[#All],[Colunas2]],0))</f>
        <v>Paleta</v>
      </c>
      <c r="C163" s="193"/>
      <c r="D163" s="193"/>
      <c r="E163" s="193"/>
      <c r="F163" s="193"/>
      <c r="G163" s="193"/>
      <c r="H163" s="193"/>
      <c r="I163" s="193"/>
      <c r="J163" s="193"/>
      <c r="K163" s="193"/>
      <c r="L163" s="193"/>
      <c r="M163" s="193"/>
      <c r="N163" s="193"/>
      <c r="O163" s="193"/>
      <c r="P163" s="193"/>
      <c r="Q163" s="193"/>
      <c r="R163" s="193"/>
      <c r="S163" s="193"/>
      <c r="T163" s="193"/>
      <c r="U163" s="193"/>
      <c r="V163" s="193"/>
      <c r="W163" s="193"/>
      <c r="X163" s="193"/>
      <c r="Y163" s="193"/>
      <c r="Z163" s="193"/>
      <c r="AA163" s="193"/>
      <c r="AB163" s="193"/>
      <c r="AC163" s="193"/>
      <c r="AD163" s="193"/>
      <c r="AE163" s="193"/>
      <c r="AF163" s="193"/>
      <c r="AG163" s="193"/>
      <c r="AH163" s="193"/>
      <c r="AI163" s="115">
        <f ca="1">IF(Configurações!$G$10="Ligado",SUMIFS(C163:AH163,$C$4:$AH$4,"&lt;="&amp;Configurações!$C$5,$C$4:$AH$4,"&lt;="&amp;$AI$3),"")</f>
        <v>0</v>
      </c>
      <c r="AJ163" s="119" t="str">
        <f ca="1">IF(Configurações!$G$20="Ligado",IF(AI163&lt;=0,"Vazio",IF(Configurações!$G$18="Semana",IF(Configurações!$G$19="Contar",ENTRADAS!AI163/Configurações!$C$18,AI163/SUM(AK163:AN163)),AI163/A163)),"")</f>
        <v>Vazio</v>
      </c>
      <c r="AK163" s="70">
        <f t="shared" si="6"/>
        <v>0</v>
      </c>
      <c r="AL163" s="70">
        <f t="shared" si="7"/>
        <v>0</v>
      </c>
      <c r="AM163" s="70">
        <f t="shared" si="8"/>
        <v>0</v>
      </c>
      <c r="AN163" s="70">
        <f ca="1">IF(SUMIF($Y$4:$AH$4,"&lt;=" &amp; $AJ$3,ENTRADAS!Y163:AH163)&gt;0,1,0)</f>
        <v>0</v>
      </c>
    </row>
    <row r="164" spans="1:40" ht="21">
      <c r="A164" s="68">
        <f ca="1">COUNT(INDEX($C:$AH,ROW(),1):INDEX($C:$AH,ROW(),$AI$3+1))</f>
        <v>0</v>
      </c>
      <c r="B164" s="106" t="str">
        <f>INDEX(Cadastro_Carnes[[#All],[Colunas4]],MATCH(ROW()-5,Cadastro_Carnes[[#All],[Colunas2]],0))</f>
        <v>Pernil</v>
      </c>
      <c r="C164" s="193"/>
      <c r="D164" s="193"/>
      <c r="E164" s="193"/>
      <c r="F164" s="193"/>
      <c r="G164" s="193"/>
      <c r="H164" s="193"/>
      <c r="I164" s="193"/>
      <c r="J164" s="193"/>
      <c r="K164" s="193"/>
      <c r="L164" s="193"/>
      <c r="M164" s="193"/>
      <c r="N164" s="193"/>
      <c r="O164" s="193"/>
      <c r="P164" s="193"/>
      <c r="Q164" s="193"/>
      <c r="R164" s="193"/>
      <c r="S164" s="193"/>
      <c r="T164" s="193"/>
      <c r="U164" s="193"/>
      <c r="V164" s="193"/>
      <c r="W164" s="193"/>
      <c r="X164" s="193"/>
      <c r="Y164" s="193"/>
      <c r="Z164" s="193"/>
      <c r="AA164" s="193"/>
      <c r="AB164" s="193"/>
      <c r="AC164" s="193"/>
      <c r="AD164" s="193"/>
      <c r="AE164" s="193"/>
      <c r="AF164" s="193"/>
      <c r="AG164" s="193"/>
      <c r="AH164" s="193"/>
      <c r="AI164" s="115">
        <f ca="1">IF(Configurações!$G$10="Ligado",SUMIFS(C164:AH164,$C$4:$AH$4,"&lt;="&amp;Configurações!$C$5,$C$4:$AH$4,"&lt;="&amp;$AI$3),"")</f>
        <v>0</v>
      </c>
      <c r="AJ164" s="119" t="str">
        <f ca="1">IF(Configurações!$G$20="Ligado",IF(AI164&lt;=0,"Vazio",IF(Configurações!$G$18="Semana",IF(Configurações!$G$19="Contar",ENTRADAS!AI164/Configurações!$C$18,AI164/SUM(AK164:AN164)),AI164/A164)),"")</f>
        <v>Vazio</v>
      </c>
      <c r="AK164" s="70">
        <f t="shared" si="6"/>
        <v>0</v>
      </c>
      <c r="AL164" s="70">
        <f t="shared" si="7"/>
        <v>0</v>
      </c>
      <c r="AM164" s="70">
        <f t="shared" si="8"/>
        <v>0</v>
      </c>
      <c r="AN164" s="70">
        <f ca="1">IF(SUMIF($Y$4:$AH$4,"&lt;=" &amp; $AJ$3,ENTRADAS!Y164:AH164)&gt;0,1,0)</f>
        <v>0</v>
      </c>
    </row>
    <row r="165" spans="1:40" ht="21">
      <c r="A165" s="68">
        <f ca="1">COUNT(INDEX($C:$AH,ROW(),1):INDEX($C:$AH,ROW(),$AI$3+1))</f>
        <v>1</v>
      </c>
      <c r="B165" s="106" t="str">
        <f>INDEX(Cadastro_Carnes[[#All],[Colunas4]],MATCH(ROW()-5,Cadastro_Carnes[[#All],[Colunas2]],0))</f>
        <v>Peru</v>
      </c>
      <c r="C165" s="193"/>
      <c r="D165" s="193"/>
      <c r="E165" s="193"/>
      <c r="F165" s="193"/>
      <c r="G165" s="193"/>
      <c r="H165" s="193"/>
      <c r="I165" s="193"/>
      <c r="J165" s="193"/>
      <c r="K165" s="193"/>
      <c r="L165" s="193"/>
      <c r="M165" s="193"/>
      <c r="N165" s="193"/>
      <c r="O165" s="193"/>
      <c r="P165" s="193"/>
      <c r="Q165" s="193"/>
      <c r="R165" s="193"/>
      <c r="S165" s="193"/>
      <c r="T165" s="193"/>
      <c r="U165" s="193">
        <v>47.9</v>
      </c>
      <c r="V165" s="193"/>
      <c r="W165" s="193"/>
      <c r="X165" s="193"/>
      <c r="Y165" s="193"/>
      <c r="Z165" s="193"/>
      <c r="AA165" s="193"/>
      <c r="AB165" s="193"/>
      <c r="AC165" s="193"/>
      <c r="AD165" s="193"/>
      <c r="AE165" s="193"/>
      <c r="AF165" s="193"/>
      <c r="AG165" s="193"/>
      <c r="AH165" s="193"/>
      <c r="AI165" s="115">
        <f ca="1">IF(Configurações!$G$10="Ligado",SUMIFS(C165:AH165,$C$4:$AH$4,"&lt;="&amp;Configurações!$C$5,$C$4:$AH$4,"&lt;="&amp;$AI$3),"")</f>
        <v>47.9</v>
      </c>
      <c r="AJ165" s="119">
        <f ca="1">IF(Configurações!$G$20="Ligado",IF(AI165&lt;=0,"Vazio",IF(Configurações!$G$18="Semana",IF(Configurações!$G$19="Contar",ENTRADAS!AI165/Configurações!$C$18,AI165/SUM(AK165:AN165)),AI165/A165)),"")</f>
        <v>47.9</v>
      </c>
      <c r="AK165" s="70">
        <f t="shared" si="6"/>
        <v>0</v>
      </c>
      <c r="AL165" s="70">
        <f t="shared" si="7"/>
        <v>0</v>
      </c>
      <c r="AM165" s="70">
        <f t="shared" si="8"/>
        <v>1</v>
      </c>
      <c r="AN165" s="70">
        <f ca="1">IF(SUMIF($Y$4:$AH$4,"&lt;=" &amp; $AJ$3,ENTRADAS!Y165:AH165)&gt;0,1,0)</f>
        <v>0</v>
      </c>
    </row>
    <row r="166" spans="1:40" ht="21">
      <c r="A166" s="68">
        <f ca="1">COUNT(INDEX($C:$AH,ROW(),1):INDEX($C:$AH,ROW(),$AI$3+1))</f>
        <v>1</v>
      </c>
      <c r="B166" s="106" t="str">
        <f>INDEX(Cadastro_Carnes[[#All],[Colunas4]],MATCH(ROW()-5,Cadastro_Carnes[[#All],[Colunas2]],0))</f>
        <v>Presunto</v>
      </c>
      <c r="C166" s="193"/>
      <c r="D166" s="193"/>
      <c r="E166" s="193"/>
      <c r="F166" s="193"/>
      <c r="G166" s="193"/>
      <c r="H166" s="193"/>
      <c r="I166" s="193"/>
      <c r="J166" s="193"/>
      <c r="K166" s="193"/>
      <c r="L166" s="193"/>
      <c r="M166" s="193"/>
      <c r="N166" s="193"/>
      <c r="O166" s="193"/>
      <c r="P166" s="193"/>
      <c r="Q166" s="193"/>
      <c r="R166" s="193"/>
      <c r="S166" s="193">
        <v>13.74</v>
      </c>
      <c r="T166" s="193"/>
      <c r="U166" s="193"/>
      <c r="V166" s="193"/>
      <c r="W166" s="193"/>
      <c r="X166" s="193"/>
      <c r="Y166" s="193"/>
      <c r="Z166" s="193"/>
      <c r="AA166" s="193"/>
      <c r="AB166" s="193"/>
      <c r="AC166" s="193"/>
      <c r="AD166" s="193"/>
      <c r="AE166" s="193"/>
      <c r="AF166" s="193"/>
      <c r="AG166" s="193"/>
      <c r="AH166" s="193"/>
      <c r="AI166" s="115">
        <f ca="1">IF(Configurações!$G$10="Ligado",SUMIFS(C166:AH166,$C$4:$AH$4,"&lt;="&amp;Configurações!$C$5,$C$4:$AH$4,"&lt;="&amp;$AI$3),"")</f>
        <v>13.74</v>
      </c>
      <c r="AJ166" s="119">
        <f ca="1">IF(Configurações!$G$20="Ligado",IF(AI166&lt;=0,"Vazio",IF(Configurações!$G$18="Semana",IF(Configurações!$G$19="Contar",ENTRADAS!AI166/Configurações!$C$18,AI166/SUM(AK166:AN166)),AI166/A166)),"")</f>
        <v>13.74</v>
      </c>
      <c r="AK166" s="70">
        <f t="shared" si="6"/>
        <v>0</v>
      </c>
      <c r="AL166" s="70">
        <f t="shared" si="7"/>
        <v>0</v>
      </c>
      <c r="AM166" s="70">
        <f t="shared" si="8"/>
        <v>1</v>
      </c>
      <c r="AN166" s="70">
        <f ca="1">IF(SUMIF($Y$4:$AH$4,"&lt;=" &amp; $AJ$3,ENTRADAS!Y166:AH166)&gt;0,1,0)</f>
        <v>0</v>
      </c>
    </row>
    <row r="167" spans="1:40" ht="21">
      <c r="A167" s="68">
        <f ca="1">COUNT(INDEX($C:$AH,ROW(),1):INDEX($C:$AH,ROW(),$AI$3+1))</f>
        <v>1</v>
      </c>
      <c r="B167" s="106" t="str">
        <f>INDEX(Cadastro_Carnes[[#All],[Colunas4]],MATCH(ROW()-5,Cadastro_Carnes[[#All],[Colunas2]],0))</f>
        <v>Salsicha</v>
      </c>
      <c r="C167" s="193"/>
      <c r="D167" s="193"/>
      <c r="E167" s="193"/>
      <c r="F167" s="193"/>
      <c r="G167" s="193"/>
      <c r="H167" s="193"/>
      <c r="I167" s="193"/>
      <c r="J167" s="193"/>
      <c r="K167" s="193"/>
      <c r="L167" s="193"/>
      <c r="M167" s="193">
        <v>10</v>
      </c>
      <c r="N167" s="193"/>
      <c r="O167" s="193"/>
      <c r="P167" s="193"/>
      <c r="Q167" s="193"/>
      <c r="R167" s="193"/>
      <c r="S167" s="193"/>
      <c r="T167" s="193"/>
      <c r="U167" s="193"/>
      <c r="V167" s="193"/>
      <c r="W167" s="193"/>
      <c r="X167" s="193"/>
      <c r="Y167" s="193"/>
      <c r="Z167" s="193"/>
      <c r="AA167" s="193"/>
      <c r="AB167" s="193"/>
      <c r="AC167" s="193"/>
      <c r="AD167" s="193"/>
      <c r="AE167" s="193"/>
      <c r="AF167" s="193"/>
      <c r="AG167" s="193"/>
      <c r="AH167" s="193"/>
      <c r="AI167" s="115">
        <f ca="1">IF(Configurações!$G$10="Ligado",SUMIFS(C167:AH167,$C$4:$AH$4,"&lt;="&amp;Configurações!$C$5,$C$4:$AH$4,"&lt;="&amp;$AI$3),"")</f>
        <v>10</v>
      </c>
      <c r="AJ167" s="119">
        <f ca="1">IF(Configurações!$G$20="Ligado",IF(AI167&lt;=0,"Vazio",IF(Configurações!$G$18="Semana",IF(Configurações!$G$19="Contar",ENTRADAS!AI167/Configurações!$C$18,AI167/SUM(AK167:AN167)),AI167/A167)),"")</f>
        <v>10</v>
      </c>
      <c r="AK167" s="70">
        <f t="shared" si="6"/>
        <v>0</v>
      </c>
      <c r="AL167" s="70">
        <f t="shared" si="7"/>
        <v>1</v>
      </c>
      <c r="AM167" s="70">
        <f t="shared" si="8"/>
        <v>0</v>
      </c>
      <c r="AN167" s="70">
        <f ca="1">IF(SUMIF($Y$4:$AH$4,"&lt;=" &amp; $AJ$3,ENTRADAS!Y167:AH167)&gt;0,1,0)</f>
        <v>0</v>
      </c>
    </row>
    <row r="168" spans="1:40" ht="21">
      <c r="A168" s="68">
        <f ca="1">COUNT(INDEX($C:$AH,ROW(),1):INDEX($C:$AH,ROW(),$AI$3+1))</f>
        <v>0</v>
      </c>
      <c r="B168" s="106" t="str">
        <f>INDEX(Cadastro_Carnes[[#All],[Colunas4]],MATCH(ROW()-5,Cadastro_Carnes[[#All],[Colunas2]],0))</f>
        <v>Tender</v>
      </c>
      <c r="C168" s="193"/>
      <c r="D168" s="193"/>
      <c r="E168" s="193"/>
      <c r="F168" s="193"/>
      <c r="G168" s="193"/>
      <c r="H168" s="193"/>
      <c r="I168" s="193"/>
      <c r="J168" s="193"/>
      <c r="K168" s="193"/>
      <c r="L168" s="193"/>
      <c r="M168" s="193"/>
      <c r="N168" s="193"/>
      <c r="O168" s="193"/>
      <c r="P168" s="193"/>
      <c r="Q168" s="193"/>
      <c r="R168" s="193"/>
      <c r="S168" s="193"/>
      <c r="T168" s="193"/>
      <c r="U168" s="193"/>
      <c r="V168" s="193"/>
      <c r="W168" s="193"/>
      <c r="X168" s="193"/>
      <c r="Y168" s="193"/>
      <c r="Z168" s="193"/>
      <c r="AA168" s="193"/>
      <c r="AB168" s="193"/>
      <c r="AC168" s="193"/>
      <c r="AD168" s="193"/>
      <c r="AE168" s="193"/>
      <c r="AF168" s="193"/>
      <c r="AG168" s="193"/>
      <c r="AH168" s="193"/>
      <c r="AI168" s="115">
        <f ca="1">IF(Configurações!$G$10="Ligado",SUMIFS(C168:AH168,$C$4:$AH$4,"&lt;="&amp;Configurações!$C$5,$C$4:$AH$4,"&lt;="&amp;$AI$3),"")</f>
        <v>0</v>
      </c>
      <c r="AJ168" s="119" t="str">
        <f ca="1">IF(Configurações!$G$20="Ligado",IF(AI168&lt;=0,"Vazio",IF(Configurações!$G$18="Semana",IF(Configurações!$G$19="Contar",ENTRADAS!AI168/Configurações!$C$18,AI168/SUM(AK168:AN168)),AI168/A168)),"")</f>
        <v>Vazio</v>
      </c>
      <c r="AK168" s="70">
        <f t="shared" si="6"/>
        <v>0</v>
      </c>
      <c r="AL168" s="70">
        <f t="shared" si="7"/>
        <v>0</v>
      </c>
      <c r="AM168" s="70">
        <f t="shared" si="8"/>
        <v>0</v>
      </c>
      <c r="AN168" s="70">
        <f ca="1">IF(SUMIF($Y$4:$AH$4,"&lt;=" &amp; $AJ$3,ENTRADAS!Y168:AH168)&gt;0,1,0)</f>
        <v>0</v>
      </c>
    </row>
    <row r="169" spans="1:40" ht="16.5" thickBot="1">
      <c r="A169" s="2"/>
      <c r="B169" s="2"/>
      <c r="C169" s="2"/>
      <c r="D169" s="2"/>
      <c r="E169" s="2"/>
      <c r="F169" s="2"/>
      <c r="AJ169" s="11"/>
      <c r="AK169" s="70"/>
      <c r="AL169" s="70"/>
      <c r="AM169" s="70"/>
      <c r="AN169" s="70"/>
    </row>
    <row r="170" spans="1:40" ht="24" thickBot="1">
      <c r="A170" s="2"/>
      <c r="B170" s="468" t="s">
        <v>183</v>
      </c>
      <c r="C170" s="469"/>
      <c r="D170" s="469"/>
      <c r="E170" s="469"/>
      <c r="F170" s="469"/>
      <c r="G170" s="469"/>
      <c r="H170" s="469"/>
      <c r="I170" s="469"/>
      <c r="J170" s="469"/>
      <c r="K170" s="469"/>
      <c r="L170" s="469"/>
      <c r="M170" s="469"/>
      <c r="N170" s="469"/>
      <c r="O170" s="469"/>
      <c r="P170" s="469"/>
      <c r="Q170" s="469"/>
      <c r="R170" s="469"/>
      <c r="S170" s="469"/>
      <c r="T170" s="469"/>
      <c r="U170" s="469"/>
      <c r="V170" s="469"/>
      <c r="W170" s="469"/>
      <c r="X170" s="469"/>
      <c r="Y170" s="469"/>
      <c r="Z170" s="469"/>
      <c r="AA170" s="469"/>
      <c r="AB170" s="469"/>
      <c r="AC170" s="469"/>
      <c r="AD170" s="469"/>
      <c r="AE170" s="469"/>
      <c r="AF170" s="469"/>
      <c r="AG170" s="469"/>
      <c r="AH170" s="469"/>
      <c r="AI170" s="469"/>
      <c r="AJ170" s="469"/>
      <c r="AK170" s="70"/>
      <c r="AL170" s="70"/>
      <c r="AM170" s="70"/>
      <c r="AN170" s="70"/>
    </row>
    <row r="171" spans="1:40" ht="21">
      <c r="A171" s="68">
        <f ca="1">COUNT(INDEX($C:$AH,ROW(),1):INDEX($C:$AH,ROW(),$AI$3+1))</f>
        <v>4</v>
      </c>
      <c r="B171" s="106" t="str">
        <f>INDEX(Cadastro_Queijo[[#All],[Colunas4]],MATCH(ROW()-5,Cadastro_Queijo[[#All],[Colunas2]],0))</f>
        <v>Queijo Branco/Fresco</v>
      </c>
      <c r="C171" s="193"/>
      <c r="D171" s="193"/>
      <c r="E171" s="193">
        <v>10</v>
      </c>
      <c r="F171" s="193"/>
      <c r="G171" s="193"/>
      <c r="H171" s="193"/>
      <c r="I171" s="193"/>
      <c r="J171" s="193"/>
      <c r="K171" s="193">
        <v>15.3</v>
      </c>
      <c r="L171" s="193"/>
      <c r="M171" s="193"/>
      <c r="N171" s="193"/>
      <c r="O171" s="193"/>
      <c r="P171" s="193"/>
      <c r="Q171" s="193"/>
      <c r="R171" s="193">
        <v>14.7</v>
      </c>
      <c r="S171" s="193"/>
      <c r="T171" s="193"/>
      <c r="U171" s="193"/>
      <c r="V171" s="193"/>
      <c r="W171" s="193"/>
      <c r="X171" s="193">
        <v>30.4</v>
      </c>
      <c r="Y171" s="193"/>
      <c r="Z171" s="193"/>
      <c r="AA171" s="193"/>
      <c r="AB171" s="193"/>
      <c r="AC171" s="193"/>
      <c r="AD171" s="193"/>
      <c r="AE171" s="193"/>
      <c r="AF171" s="193"/>
      <c r="AG171" s="193"/>
      <c r="AH171" s="193"/>
      <c r="AI171" s="116">
        <f ca="1">IF(Configurações!$G$10="Ligado",SUMIFS(C171:AH171,$C$4:$AH$4,"&lt;="&amp;Configurações!$C$5,$C$4:$AH$4,"&lt;="&amp;$AI$3),"")</f>
        <v>70.400000000000006</v>
      </c>
      <c r="AJ171" s="119">
        <f ca="1">IF(Configurações!$G$20="Ligado",IF(AI171&lt;=0,"Vazio",IF(Configurações!$G$18="Semana",IF(Configurações!$G$19="Contar",ENTRADAS!AI171/Configurações!$C$18,AI171/SUM(AK171:AN171)),AI171/A171)),"")</f>
        <v>23.466666666666669</v>
      </c>
      <c r="AK171" s="70">
        <f>IF(SUM(C171:J171)&gt;0,1,0)</f>
        <v>1</v>
      </c>
      <c r="AL171" s="70">
        <f>IF(SUM(K171:Q171)&gt;0,1,0)</f>
        <v>1</v>
      </c>
      <c r="AM171" s="70">
        <f>IF(SUM(R171:X171)&gt;0,1,0)</f>
        <v>1</v>
      </c>
      <c r="AN171" s="70">
        <f ca="1">IF(SUMIF($Y$4:$AH$4,"&lt;=" &amp; $AJ$3,ENTRADAS!Y171:AH171)&gt;0,1,0)</f>
        <v>0</v>
      </c>
    </row>
    <row r="172" spans="1:40" ht="21">
      <c r="A172" s="68">
        <f ca="1">COUNT(INDEX($C:$AH,ROW(),1):INDEX($C:$AH,ROW(),$AI$3+1))</f>
        <v>5</v>
      </c>
      <c r="B172" s="106" t="str">
        <f>INDEX(Cadastro_Queijo[[#All],[Colunas4]],MATCH(ROW()-5,Cadastro_Queijo[[#All],[Colunas2]],0))</f>
        <v>Queijo Mussarela</v>
      </c>
      <c r="C172" s="193">
        <v>2.8460000000000001</v>
      </c>
      <c r="D172" s="193">
        <v>24.187999999999999</v>
      </c>
      <c r="E172" s="193"/>
      <c r="F172" s="193"/>
      <c r="G172" s="193"/>
      <c r="H172" s="193"/>
      <c r="I172" s="193"/>
      <c r="J172" s="193"/>
      <c r="K172" s="193"/>
      <c r="L172" s="193"/>
      <c r="M172" s="193"/>
      <c r="N172" s="193"/>
      <c r="O172" s="193"/>
      <c r="P172" s="193"/>
      <c r="Q172" s="193"/>
      <c r="R172" s="193"/>
      <c r="S172" s="193">
        <v>8.7349999999999994</v>
      </c>
      <c r="T172" s="193"/>
      <c r="U172" s="193"/>
      <c r="V172" s="193">
        <v>12.5</v>
      </c>
      <c r="W172" s="193"/>
      <c r="X172" s="193">
        <v>4.2</v>
      </c>
      <c r="Y172" s="193"/>
      <c r="Z172" s="193"/>
      <c r="AA172" s="193"/>
      <c r="AB172" s="193"/>
      <c r="AC172" s="193"/>
      <c r="AD172" s="193"/>
      <c r="AE172" s="193"/>
      <c r="AF172" s="193"/>
      <c r="AG172" s="193"/>
      <c r="AH172" s="193"/>
      <c r="AI172" s="116">
        <f ca="1">IF(Configurações!$G$10="Ligado",SUMIFS(C172:AH172,$C$4:$AH$4,"&lt;="&amp;Configurações!$C$5,$C$4:$AH$4,"&lt;="&amp;$AI$3),"")</f>
        <v>52.469000000000001</v>
      </c>
      <c r="AJ172" s="119">
        <f ca="1">IF(Configurações!$G$20="Ligado",IF(AI172&lt;=0,"Vazio",IF(Configurações!$G$18="Semana",IF(Configurações!$G$19="Contar",ENTRADAS!AI172/Configurações!$C$18,AI172/SUM(AK172:AN172)),AI172/A172)),"")</f>
        <v>26.234500000000001</v>
      </c>
      <c r="AK172" s="70">
        <f>IF(SUM(C172:J172)&gt;0,1,0)</f>
        <v>1</v>
      </c>
      <c r="AL172" s="70">
        <f>IF(SUM(K172:Q172)&gt;0,1,0)</f>
        <v>0</v>
      </c>
      <c r="AM172" s="70">
        <f>IF(SUM(R172:X172)&gt;0,1,0)</f>
        <v>1</v>
      </c>
      <c r="AN172" s="70">
        <f ca="1">IF(SUMIF($Y$4:$AH$4,"&lt;=" &amp; $AJ$3,ENTRADAS!Y172:AH172)&gt;0,1,0)</f>
        <v>0</v>
      </c>
    </row>
    <row r="173" spans="1:40" ht="21">
      <c r="A173" s="68">
        <f ca="1">COUNT(INDEX($C:$AH,ROW(),1):INDEX($C:$AH,ROW(),$AI$3+1))</f>
        <v>4</v>
      </c>
      <c r="B173" s="106" t="str">
        <f>INDEX(Cadastro_Queijo[[#All],[Colunas4]],MATCH(ROW()-5,Cadastro_Queijo[[#All],[Colunas2]],0))</f>
        <v>Queijo Ralado</v>
      </c>
      <c r="C173" s="193"/>
      <c r="D173" s="193"/>
      <c r="E173" s="193">
        <v>10</v>
      </c>
      <c r="F173" s="193"/>
      <c r="G173" s="193"/>
      <c r="H173" s="193"/>
      <c r="I173" s="193"/>
      <c r="J173" s="193"/>
      <c r="K173" s="193"/>
      <c r="L173" s="193"/>
      <c r="M173" s="193"/>
      <c r="N173" s="193"/>
      <c r="O173" s="193"/>
      <c r="P173" s="193"/>
      <c r="Q173" s="193"/>
      <c r="R173" s="193">
        <v>5</v>
      </c>
      <c r="S173" s="193"/>
      <c r="T173" s="193"/>
      <c r="U173" s="193"/>
      <c r="V173" s="193">
        <v>2</v>
      </c>
      <c r="W173" s="193"/>
      <c r="X173" s="193">
        <v>10</v>
      </c>
      <c r="Y173" s="193"/>
      <c r="Z173" s="193"/>
      <c r="AA173" s="193"/>
      <c r="AB173" s="193"/>
      <c r="AC173" s="193"/>
      <c r="AD173" s="193"/>
      <c r="AE173" s="193"/>
      <c r="AF173" s="193"/>
      <c r="AG173" s="193"/>
      <c r="AH173" s="193"/>
      <c r="AI173" s="116">
        <f ca="1">IF(Configurações!$G$10="Ligado",SUMIFS(C173:AH173,$C$4:$AH$4,"&lt;="&amp;Configurações!$C$5,$C$4:$AH$4,"&lt;="&amp;$AI$3),"")</f>
        <v>27</v>
      </c>
      <c r="AJ173" s="119">
        <f ca="1">IF(Configurações!$G$20="Ligado",IF(AI173&lt;=0,"Vazio",IF(Configurações!$G$18="Semana",IF(Configurações!$G$19="Contar",ENTRADAS!AI173/Configurações!$C$18,AI173/SUM(AK173:AN173)),AI173/A173)),"")</f>
        <v>13.5</v>
      </c>
      <c r="AK173" s="70">
        <f>IF(SUM(C173:J173)&gt;0,1,0)</f>
        <v>1</v>
      </c>
      <c r="AL173" s="70">
        <f>IF(SUM(K173:Q173)&gt;0,1,0)</f>
        <v>0</v>
      </c>
      <c r="AM173" s="70">
        <f>IF(SUM(R173:X173)&gt;0,1,0)</f>
        <v>1</v>
      </c>
      <c r="AN173" s="70">
        <f ca="1">IF(SUMIF($Y$4:$AH$4,"&lt;=" &amp; $AJ$3,ENTRADAS!Y173:AH173)&gt;0,1,0)</f>
        <v>0</v>
      </c>
    </row>
    <row r="174" spans="1:40" ht="16.5" thickBot="1">
      <c r="A174" s="2"/>
      <c r="B174" s="2"/>
      <c r="C174" s="2"/>
      <c r="D174" s="2"/>
      <c r="E174" s="2"/>
      <c r="F174" s="2"/>
      <c r="AJ174" s="11"/>
      <c r="AK174" s="70"/>
      <c r="AL174" s="70"/>
      <c r="AM174" s="70"/>
      <c r="AN174" s="70"/>
    </row>
    <row r="175" spans="1:40" ht="24" thickBot="1">
      <c r="A175" s="2"/>
      <c r="B175" s="465" t="s">
        <v>184</v>
      </c>
      <c r="C175" s="466"/>
      <c r="D175" s="466"/>
      <c r="E175" s="466"/>
      <c r="F175" s="466"/>
      <c r="G175" s="466"/>
      <c r="H175" s="466"/>
      <c r="I175" s="466"/>
      <c r="J175" s="466"/>
      <c r="K175" s="466"/>
      <c r="L175" s="466"/>
      <c r="M175" s="466"/>
      <c r="N175" s="466"/>
      <c r="O175" s="466"/>
      <c r="P175" s="466"/>
      <c r="Q175" s="466"/>
      <c r="R175" s="466"/>
      <c r="S175" s="466"/>
      <c r="T175" s="466"/>
      <c r="U175" s="466"/>
      <c r="V175" s="466"/>
      <c r="W175" s="466"/>
      <c r="X175" s="466"/>
      <c r="Y175" s="466"/>
      <c r="Z175" s="466"/>
      <c r="AA175" s="466"/>
      <c r="AB175" s="466"/>
      <c r="AC175" s="466"/>
      <c r="AD175" s="466"/>
      <c r="AE175" s="466"/>
      <c r="AF175" s="466"/>
      <c r="AG175" s="466"/>
      <c r="AH175" s="466"/>
      <c r="AI175" s="466"/>
      <c r="AJ175" s="466"/>
      <c r="AK175" s="70"/>
      <c r="AL175" s="70"/>
      <c r="AM175" s="70"/>
      <c r="AN175" s="70"/>
    </row>
    <row r="176" spans="1:40" ht="21">
      <c r="A176" s="67">
        <f ca="1">COUNT(INDEX($C:$AH,ROW(),1):INDEX($C:$AH,ROW(),$AI$3+1))</f>
        <v>0</v>
      </c>
      <c r="B176" s="106" t="str">
        <f>INDEX(Cadastro_Peixes[[#All],[Colunas4]],MATCH(ROW()-5,Cadastro_Peixes[[#All],[Colunas2]],0))</f>
        <v>Camarão</v>
      </c>
      <c r="C176" s="193"/>
      <c r="D176" s="193"/>
      <c r="E176" s="193"/>
      <c r="F176" s="193"/>
      <c r="G176" s="193"/>
      <c r="H176" s="193"/>
      <c r="I176" s="193"/>
      <c r="J176" s="193"/>
      <c r="K176" s="193"/>
      <c r="L176" s="193"/>
      <c r="M176" s="193"/>
      <c r="N176" s="193"/>
      <c r="O176" s="193"/>
      <c r="P176" s="193"/>
      <c r="Q176" s="193"/>
      <c r="R176" s="193"/>
      <c r="S176" s="193"/>
      <c r="T176" s="193"/>
      <c r="U176" s="193"/>
      <c r="V176" s="193"/>
      <c r="W176" s="193"/>
      <c r="X176" s="193"/>
      <c r="Y176" s="193"/>
      <c r="Z176" s="193"/>
      <c r="AA176" s="193"/>
      <c r="AB176" s="193"/>
      <c r="AC176" s="193"/>
      <c r="AD176" s="193"/>
      <c r="AE176" s="193"/>
      <c r="AF176" s="193"/>
      <c r="AG176" s="193"/>
      <c r="AH176" s="193"/>
      <c r="AI176" s="117">
        <f ca="1">IF(Configurações!$G$10="Ligado",SUMIFS(C176:AH176,$C$4:$AH$4,"&lt;="&amp;Configurações!$C$5,$C$4:$AH$4,"&lt;="&amp;$AI$3),"")</f>
        <v>0</v>
      </c>
      <c r="AJ176" s="119" t="str">
        <f ca="1">IF(Configurações!$G$20="Ligado",IF(AI176&lt;=0,"Vazio",IF(Configurações!$G$18="Semana",IF(Configurações!$G$19="Contar",ENTRADAS!AI176/Configurações!$C$18,AI176/SUM(AK176:AN176)),AI176/A176)),"")</f>
        <v>Vazio</v>
      </c>
      <c r="AK176" s="70">
        <f>IF(SUM(C176:J176)&gt;0,1,0)</f>
        <v>0</v>
      </c>
      <c r="AL176" s="70">
        <f>IF(SUM(K176:Q176)&gt;0,1,0)</f>
        <v>0</v>
      </c>
      <c r="AM176" s="70">
        <f>IF(SUM(R176:X176)&gt;0,1,0)</f>
        <v>0</v>
      </c>
      <c r="AN176" s="70">
        <f ca="1">IF(SUMIF($Y$4:$AH$4,"&lt;=" &amp; $AJ$3,ENTRADAS!Y176:AH176)&gt;0,1,0)</f>
        <v>0</v>
      </c>
    </row>
    <row r="177" spans="1:40" ht="21">
      <c r="A177" s="68">
        <f ca="1">COUNT(INDEX($C:$AH,ROW(),1):INDEX($C:$AH,ROW(),$AI$3+1))</f>
        <v>0</v>
      </c>
      <c r="B177" s="106" t="str">
        <f>INDEX(Cadastro_Peixes[[#All],[Colunas4]],MATCH(ROW()-5,Cadastro_Peixes[[#All],[Colunas2]],0))</f>
        <v>Filé de Merluza</v>
      </c>
      <c r="C177" s="193"/>
      <c r="D177" s="193"/>
      <c r="E177" s="193"/>
      <c r="F177" s="193"/>
      <c r="G177" s="193"/>
      <c r="H177" s="193"/>
      <c r="I177" s="193"/>
      <c r="J177" s="193"/>
      <c r="K177" s="193"/>
      <c r="L177" s="193"/>
      <c r="M177" s="193"/>
      <c r="N177" s="193"/>
      <c r="O177" s="193"/>
      <c r="P177" s="193"/>
      <c r="Q177" s="193"/>
      <c r="R177" s="193"/>
      <c r="S177" s="193"/>
      <c r="T177" s="193"/>
      <c r="U177" s="193"/>
      <c r="V177" s="193"/>
      <c r="W177" s="193"/>
      <c r="X177" s="193"/>
      <c r="Y177" s="193"/>
      <c r="Z177" s="193"/>
      <c r="AA177" s="193"/>
      <c r="AB177" s="193"/>
      <c r="AC177" s="193"/>
      <c r="AD177" s="193"/>
      <c r="AE177" s="193"/>
      <c r="AF177" s="193"/>
      <c r="AG177" s="193"/>
      <c r="AH177" s="193"/>
      <c r="AI177" s="117">
        <f ca="1">IF(Configurações!$G$10="Ligado",SUMIFS(C177:AH177,$C$4:$AH$4,"&lt;="&amp;Configurações!$C$5,$C$4:$AH$4,"&lt;="&amp;$AI$3),"")</f>
        <v>0</v>
      </c>
      <c r="AJ177" s="119" t="str">
        <f ca="1">IF(Configurações!$G$20="Ligado",IF(AI177&lt;=0,"Vazio",IF(Configurações!$G$18="Semana",IF(Configurações!$G$19="Contar",ENTRADAS!AI177/Configurações!$C$18,AI177/SUM(AK177:AN177)),AI177/A177)),"")</f>
        <v>Vazio</v>
      </c>
      <c r="AK177" s="70">
        <f>IF(SUM(C177:J177)&gt;0,1,0)</f>
        <v>0</v>
      </c>
      <c r="AL177" s="70">
        <f>IF(SUM(K177:Q177)&gt;0,1,0)</f>
        <v>0</v>
      </c>
      <c r="AM177" s="70">
        <f>IF(SUM(R177:X177)&gt;0,1,0)</f>
        <v>0</v>
      </c>
      <c r="AN177" s="70">
        <f ca="1">IF(SUMIF($Y$4:$AH$4,"&lt;=" &amp; $AJ$3,ENTRADAS!Y177:AH177)&gt;0,1,0)</f>
        <v>0</v>
      </c>
    </row>
    <row r="178" spans="1:40" ht="21">
      <c r="A178" s="68">
        <f ca="1">COUNT(INDEX($C:$AH,ROW(),1):INDEX($C:$AH,ROW(),$AI$3+1))</f>
        <v>0</v>
      </c>
      <c r="B178" s="106" t="str">
        <f>INDEX(Cadastro_Peixes[[#All],[Colunas4]],MATCH(ROW()-5,Cadastro_Peixes[[#All],[Colunas2]],0))</f>
        <v>Kani</v>
      </c>
      <c r="C178" s="193"/>
      <c r="D178" s="193"/>
      <c r="E178" s="193"/>
      <c r="F178" s="193"/>
      <c r="G178" s="193"/>
      <c r="H178" s="193"/>
      <c r="I178" s="193"/>
      <c r="J178" s="193"/>
      <c r="K178" s="193"/>
      <c r="L178" s="193"/>
      <c r="M178" s="193"/>
      <c r="N178" s="193"/>
      <c r="O178" s="193"/>
      <c r="P178" s="193"/>
      <c r="Q178" s="193"/>
      <c r="R178" s="193"/>
      <c r="S178" s="193"/>
      <c r="T178" s="193"/>
      <c r="U178" s="193"/>
      <c r="V178" s="193"/>
      <c r="W178" s="193"/>
      <c r="X178" s="193"/>
      <c r="Y178" s="193"/>
      <c r="Z178" s="193"/>
      <c r="AA178" s="193"/>
      <c r="AB178" s="193"/>
      <c r="AC178" s="193"/>
      <c r="AD178" s="193"/>
      <c r="AE178" s="193"/>
      <c r="AF178" s="193"/>
      <c r="AG178" s="193"/>
      <c r="AH178" s="193"/>
      <c r="AI178" s="117">
        <f ca="1">IF(Configurações!$G$10="Ligado",SUMIFS(C178:AH178,$C$4:$AH$4,"&lt;="&amp;Configurações!$C$5,$C$4:$AH$4,"&lt;="&amp;$AI$3),"")</f>
        <v>0</v>
      </c>
      <c r="AJ178" s="119" t="str">
        <f ca="1">IF(Configurações!$G$20="Ligado",IF(AI178&lt;=0,"Vazio",IF(Configurações!$G$18="Semana",IF(Configurações!$G$19="Contar",ENTRADAS!AI178/Configurações!$C$18,AI178/SUM(AK178:AN178)),AI178/A178)),"")</f>
        <v>Vazio</v>
      </c>
      <c r="AK178" s="70">
        <f>IF(SUM(C178:J178)&gt;0,1,0)</f>
        <v>0</v>
      </c>
      <c r="AL178" s="70">
        <f>IF(SUM(K178:Q178)&gt;0,1,0)</f>
        <v>0</v>
      </c>
      <c r="AM178" s="70">
        <f>IF(SUM(R178:X178)&gt;0,1,0)</f>
        <v>0</v>
      </c>
      <c r="AN178" s="70">
        <f ca="1">IF(SUMIF($Y$4:$AH$4,"&lt;=" &amp; $AJ$3,ENTRADAS!Y178:AH178)&gt;0,1,0)</f>
        <v>0</v>
      </c>
    </row>
    <row r="179" spans="1:40" ht="21">
      <c r="A179" s="68">
        <f ca="1">COUNT(INDEX($C:$AH,ROW(),1):INDEX($C:$AH,ROW(),$AI$3+1))</f>
        <v>0</v>
      </c>
      <c r="B179" s="106" t="str">
        <f>INDEX(Cadastro_Peixes[[#All],[Colunas4]],MATCH(ROW()-5,Cadastro_Peixes[[#All],[Colunas2]],0))</f>
        <v>Pangasius</v>
      </c>
      <c r="C179" s="193"/>
      <c r="D179" s="193"/>
      <c r="E179" s="193"/>
      <c r="F179" s="193"/>
      <c r="G179" s="193"/>
      <c r="H179" s="193"/>
      <c r="I179" s="193"/>
      <c r="J179" s="193"/>
      <c r="K179" s="193"/>
      <c r="L179" s="193"/>
      <c r="M179" s="193"/>
      <c r="N179" s="193"/>
      <c r="O179" s="193"/>
      <c r="P179" s="193"/>
      <c r="Q179" s="193"/>
      <c r="R179" s="193"/>
      <c r="S179" s="193"/>
      <c r="T179" s="193"/>
      <c r="U179" s="193"/>
      <c r="V179" s="193"/>
      <c r="W179" s="193"/>
      <c r="X179" s="193"/>
      <c r="Y179" s="193"/>
      <c r="Z179" s="193"/>
      <c r="AA179" s="193"/>
      <c r="AB179" s="193"/>
      <c r="AC179" s="193"/>
      <c r="AD179" s="193"/>
      <c r="AE179" s="193"/>
      <c r="AF179" s="193"/>
      <c r="AG179" s="193"/>
      <c r="AH179" s="193"/>
      <c r="AI179" s="117">
        <f ca="1">IF(Configurações!$G$10="Ligado",SUMIFS(C179:AH179,$C$4:$AH$4,"&lt;="&amp;Configurações!$C$5,$C$4:$AH$4,"&lt;="&amp;$AI$3),"")</f>
        <v>0</v>
      </c>
      <c r="AJ179" s="119" t="str">
        <f ca="1">IF(Configurações!$G$20="Ligado",IF(AI179&lt;=0,"Vazio",IF(Configurações!$G$18="Semana",IF(Configurações!$G$19="Contar",ENTRADAS!AI179/Configurações!$C$18,AI179/SUM(AK179:AN179)),AI179/A179)),"")</f>
        <v>Vazio</v>
      </c>
      <c r="AK179" s="70">
        <f>IF(SUM(C179:J179)&gt;0,1,0)</f>
        <v>0</v>
      </c>
      <c r="AL179" s="70">
        <f>IF(SUM(K179:Q179)&gt;0,1,0)</f>
        <v>0</v>
      </c>
      <c r="AM179" s="70">
        <f>IF(SUM(R179:X179)&gt;0,1,0)</f>
        <v>0</v>
      </c>
      <c r="AN179" s="70">
        <f ca="1">IF(SUMIF($Y$4:$AH$4,"&lt;=" &amp; $AJ$3,ENTRADAS!Y179:AH179)&gt;0,1,0)</f>
        <v>0</v>
      </c>
    </row>
    <row r="180" spans="1:40" ht="21">
      <c r="A180" s="68">
        <f ca="1">COUNT(INDEX($C:$AH,ROW(),1):INDEX($C:$AH,ROW(),$AI$3+1))</f>
        <v>0</v>
      </c>
      <c r="B180" s="106" t="str">
        <f>INDEX(Cadastro_Peixes[[#All],[Colunas4]],MATCH(ROW()-5,Cadastro_Peixes[[#All],[Colunas2]],0))</f>
        <v>Peixe cação</v>
      </c>
      <c r="C180" s="193"/>
      <c r="D180" s="193"/>
      <c r="E180" s="193"/>
      <c r="F180" s="193"/>
      <c r="G180" s="193"/>
      <c r="H180" s="193"/>
      <c r="I180" s="193"/>
      <c r="J180" s="193"/>
      <c r="K180" s="193"/>
      <c r="L180" s="193"/>
      <c r="M180" s="193"/>
      <c r="N180" s="193"/>
      <c r="O180" s="193"/>
      <c r="P180" s="193"/>
      <c r="Q180" s="193"/>
      <c r="R180" s="193"/>
      <c r="S180" s="193"/>
      <c r="T180" s="193"/>
      <c r="U180" s="193"/>
      <c r="V180" s="193"/>
      <c r="W180" s="193"/>
      <c r="X180" s="193"/>
      <c r="Y180" s="193"/>
      <c r="Z180" s="193"/>
      <c r="AA180" s="193"/>
      <c r="AB180" s="193"/>
      <c r="AC180" s="193"/>
      <c r="AD180" s="193"/>
      <c r="AE180" s="193"/>
      <c r="AF180" s="193"/>
      <c r="AG180" s="193"/>
      <c r="AH180" s="193"/>
      <c r="AI180" s="117">
        <f ca="1">IF(Configurações!$G$10="Ligado",SUMIFS(C180:AH180,$C$4:$AH$4,"&lt;="&amp;Configurações!$C$5,$C$4:$AH$4,"&lt;="&amp;$AI$3),"")</f>
        <v>0</v>
      </c>
      <c r="AJ180" s="119" t="str">
        <f ca="1">IF(Configurações!$G$20="Ligado",IF(AI180&lt;=0,"Vazio",IF(Configurações!$G$18="Semana",IF(Configurações!$G$19="Contar",ENTRADAS!AI180/Configurações!$C$18,AI180/SUM(AK180:AN180)),AI180/A180)),"")</f>
        <v>Vazio</v>
      </c>
      <c r="AK180" s="70">
        <f>IF(SUM(C180:J180)&gt;0,1,0)</f>
        <v>0</v>
      </c>
      <c r="AL180" s="70">
        <f>IF(SUM(K180:Q180)&gt;0,1,0)</f>
        <v>0</v>
      </c>
      <c r="AM180" s="70">
        <f>IF(SUM(R180:X180)&gt;0,1,0)</f>
        <v>0</v>
      </c>
      <c r="AN180" s="70">
        <f ca="1">IF(SUMIF($Y$4:$AH$4,"&lt;=" &amp; $AJ$3,ENTRADAS!Y180:AH180)&gt;0,1,0)</f>
        <v>0</v>
      </c>
    </row>
    <row r="181" spans="1:40" ht="15.75" thickBot="1">
      <c r="AK181" s="70"/>
      <c r="AL181" s="70"/>
      <c r="AM181" s="70"/>
      <c r="AN181" s="70"/>
    </row>
    <row r="182" spans="1:40" ht="24" thickBot="1">
      <c r="B182" s="455" t="s">
        <v>186</v>
      </c>
      <c r="C182" s="456"/>
      <c r="D182" s="456"/>
      <c r="E182" s="456"/>
      <c r="F182" s="456"/>
      <c r="G182" s="456"/>
      <c r="H182" s="456"/>
      <c r="I182" s="456"/>
      <c r="J182" s="456"/>
      <c r="K182" s="456"/>
      <c r="L182" s="456"/>
      <c r="M182" s="456"/>
      <c r="N182" s="456"/>
      <c r="O182" s="456"/>
      <c r="P182" s="456"/>
      <c r="Q182" s="456"/>
      <c r="R182" s="456"/>
      <c r="S182" s="456"/>
      <c r="T182" s="456"/>
      <c r="U182" s="456"/>
      <c r="V182" s="456"/>
      <c r="W182" s="456"/>
      <c r="X182" s="456"/>
      <c r="Y182" s="456"/>
      <c r="Z182" s="456"/>
      <c r="AA182" s="456"/>
      <c r="AB182" s="456"/>
      <c r="AC182" s="456"/>
      <c r="AD182" s="456"/>
      <c r="AE182" s="456"/>
      <c r="AF182" s="456"/>
      <c r="AG182" s="456"/>
      <c r="AH182" s="456"/>
      <c r="AI182" s="456"/>
      <c r="AJ182" s="456"/>
      <c r="AK182" s="70"/>
      <c r="AL182" s="70"/>
      <c r="AM182" s="70"/>
      <c r="AN182" s="70"/>
    </row>
    <row r="183" spans="1:40" ht="21">
      <c r="A183" s="68">
        <f ca="1">COUNT(INDEX($C:$AH,ROW(),1):INDEX($C:$AH,ROW(),$AI$3+1))</f>
        <v>5</v>
      </c>
      <c r="B183" s="106" t="str">
        <f>INDEX(Cadastro_Hortfrut[[#All],[Colunas4]],MATCH(ROW()-5,Cadastro_Hortfrut[[#All],[Colunas2]],0))</f>
        <v xml:space="preserve">Abacaxi </v>
      </c>
      <c r="C183" s="193"/>
      <c r="D183" s="193"/>
      <c r="E183" s="193">
        <v>10</v>
      </c>
      <c r="F183" s="193"/>
      <c r="G183" s="193"/>
      <c r="H183" s="193"/>
      <c r="I183" s="193"/>
      <c r="J183" s="193"/>
      <c r="K183" s="193"/>
      <c r="L183" s="193">
        <v>10</v>
      </c>
      <c r="M183" s="193"/>
      <c r="N183" s="193">
        <v>5</v>
      </c>
      <c r="O183" s="193"/>
      <c r="P183" s="193"/>
      <c r="Q183" s="193"/>
      <c r="R183" s="193"/>
      <c r="S183" s="193">
        <v>10</v>
      </c>
      <c r="T183" s="193"/>
      <c r="U183" s="193">
        <v>5</v>
      </c>
      <c r="V183" s="193"/>
      <c r="W183" s="193"/>
      <c r="X183" s="193"/>
      <c r="Y183" s="193"/>
      <c r="Z183" s="193"/>
      <c r="AA183" s="193"/>
      <c r="AB183" s="193"/>
      <c r="AC183" s="193"/>
      <c r="AD183" s="193"/>
      <c r="AE183" s="193"/>
      <c r="AF183" s="193"/>
      <c r="AG183" s="193"/>
      <c r="AH183" s="193"/>
      <c r="AI183" s="118">
        <f ca="1">IF(Configurações!$G$10="Ligado",SUMIFS(C183:AH183,$C$4:$AH$4,"&lt;="&amp;Configurações!$C$5,$C$4:$AH$4,"&lt;="&amp;$AI$3),"")</f>
        <v>40</v>
      </c>
      <c r="AJ183" s="119">
        <f ca="1">IF(Configurações!$G$20="Ligado",IF(AI183&lt;=0,"Vazio",IF(Configurações!$G$18="Semana",IF(Configurações!$G$19="Contar",ENTRADAS!AI183/Configurações!$C$18,AI183/SUM(AK183:AN183)),AI183/A183)),"")</f>
        <v>13.333333333333334</v>
      </c>
      <c r="AK183" s="70">
        <f>IF(SUM(C183:J183)&gt;0,1,0)</f>
        <v>1</v>
      </c>
      <c r="AL183" s="70">
        <f>IF(SUM(K183:Q183)&gt;0,1,0)</f>
        <v>1</v>
      </c>
      <c r="AM183" s="70">
        <f>IF(SUM(R183:X183)&gt;0,1,0)</f>
        <v>1</v>
      </c>
      <c r="AN183" s="70">
        <f ca="1">IF(SUMIF($Y$4:$AH$4,"&lt;=" &amp; $AJ$3,ENTRADAS!Y183:AH183)&gt;0,1,0)</f>
        <v>0</v>
      </c>
    </row>
    <row r="184" spans="1:40" ht="21">
      <c r="A184" s="68">
        <f ca="1">COUNT(INDEX($C:$AH,ROW(),1):INDEX($C:$AH,ROW(),$AI$3+1))</f>
        <v>0</v>
      </c>
      <c r="B184" s="106" t="str">
        <f>INDEX(Cadastro_Hortfrut[[#All],[Colunas4]],MATCH(ROW()-5,Cadastro_Hortfrut[[#All],[Colunas2]],0))</f>
        <v>Abobora</v>
      </c>
      <c r="C184" s="193"/>
      <c r="D184" s="193"/>
      <c r="E184" s="193"/>
      <c r="F184" s="193"/>
      <c r="G184" s="193"/>
      <c r="H184" s="193"/>
      <c r="I184" s="193"/>
      <c r="J184" s="193"/>
      <c r="K184" s="193"/>
      <c r="L184" s="193"/>
      <c r="M184" s="193"/>
      <c r="N184" s="193"/>
      <c r="O184" s="193"/>
      <c r="P184" s="193"/>
      <c r="Q184" s="193"/>
      <c r="R184" s="193"/>
      <c r="S184" s="193"/>
      <c r="T184" s="193"/>
      <c r="U184" s="193"/>
      <c r="V184" s="193"/>
      <c r="W184" s="193"/>
      <c r="X184" s="193"/>
      <c r="Y184" s="193"/>
      <c r="Z184" s="193"/>
      <c r="AA184" s="193"/>
      <c r="AB184" s="193"/>
      <c r="AC184" s="193"/>
      <c r="AD184" s="193"/>
      <c r="AE184" s="193"/>
      <c r="AF184" s="193"/>
      <c r="AG184" s="193"/>
      <c r="AH184" s="193"/>
      <c r="AI184" s="118">
        <f ca="1">IF(Configurações!$G$10="Ligado",SUMIFS(C184:AH184,$C$4:$AH$4,"&lt;="&amp;Configurações!$C$5,$C$4:$AH$4,"&lt;="&amp;$AI$3),"")</f>
        <v>0</v>
      </c>
      <c r="AJ184" s="119" t="str">
        <f ca="1">IF(Configurações!$G$20="Ligado",IF(AI184&lt;=0,"Vazio",IF(Configurações!$G$18="Semana",IF(Configurações!$G$19="Contar",ENTRADAS!AI184/Configurações!$C$18,AI184/SUM(AK184:AN184)),AI184/A184)),"")</f>
        <v>Vazio</v>
      </c>
      <c r="AK184" s="70">
        <f t="shared" ref="AK184:AK241" si="9">IF(SUM(C184:J184)&gt;0,1,0)</f>
        <v>0</v>
      </c>
      <c r="AL184" s="70">
        <f t="shared" ref="AL184:AL241" si="10">IF(SUM(K184:Q184)&gt;0,1,0)</f>
        <v>0</v>
      </c>
      <c r="AM184" s="70">
        <f t="shared" ref="AM184:AM241" si="11">IF(SUM(R184:X184)&gt;0,1,0)</f>
        <v>0</v>
      </c>
      <c r="AN184" s="70">
        <f ca="1">IF(SUMIF($Y$4:$AH$4,"&lt;=" &amp; $AJ$3,ENTRADAS!Y184:AH184)&gt;0,1,0)</f>
        <v>0</v>
      </c>
    </row>
    <row r="185" spans="1:40" ht="21">
      <c r="A185" s="68">
        <f ca="1">COUNT(INDEX($C:$AH,ROW(),1):INDEX($C:$AH,ROW(),$AI$3+1))</f>
        <v>5</v>
      </c>
      <c r="B185" s="106" t="str">
        <f>INDEX(Cadastro_Hortfrut[[#All],[Colunas4]],MATCH(ROW()-5,Cadastro_Hortfrut[[#All],[Colunas2]],0))</f>
        <v>Abobrinha</v>
      </c>
      <c r="C185" s="193"/>
      <c r="D185" s="193">
        <v>5</v>
      </c>
      <c r="E185" s="193"/>
      <c r="F185" s="193"/>
      <c r="G185" s="193">
        <v>6</v>
      </c>
      <c r="H185" s="193"/>
      <c r="I185" s="193"/>
      <c r="J185" s="193"/>
      <c r="K185" s="193"/>
      <c r="L185" s="193">
        <v>6</v>
      </c>
      <c r="M185" s="193"/>
      <c r="N185" s="193"/>
      <c r="O185" s="193"/>
      <c r="P185" s="193"/>
      <c r="Q185" s="193"/>
      <c r="R185" s="193"/>
      <c r="S185" s="193">
        <v>6</v>
      </c>
      <c r="T185" s="193"/>
      <c r="U185" s="193">
        <v>5</v>
      </c>
      <c r="V185" s="193"/>
      <c r="W185" s="193"/>
      <c r="X185" s="193"/>
      <c r="Y185" s="193"/>
      <c r="Z185" s="193"/>
      <c r="AA185" s="193"/>
      <c r="AB185" s="193"/>
      <c r="AC185" s="193"/>
      <c r="AD185" s="193"/>
      <c r="AE185" s="193"/>
      <c r="AF185" s="193"/>
      <c r="AG185" s="193"/>
      <c r="AH185" s="193"/>
      <c r="AI185" s="118">
        <f ca="1">IF(Configurações!$G$10="Ligado",SUMIFS(C185:AH185,$C$4:$AH$4,"&lt;="&amp;Configurações!$C$5,$C$4:$AH$4,"&lt;="&amp;$AI$3),"")</f>
        <v>28</v>
      </c>
      <c r="AJ185" s="119">
        <f ca="1">IF(Configurações!$G$20="Ligado",IF(AI185&lt;=0,"Vazio",IF(Configurações!$G$18="Semana",IF(Configurações!$G$19="Contar",ENTRADAS!AI185/Configurações!$C$18,AI185/SUM(AK185:AN185)),AI185/A185)),"")</f>
        <v>9.3333333333333339</v>
      </c>
      <c r="AK185" s="70">
        <f t="shared" si="9"/>
        <v>1</v>
      </c>
      <c r="AL185" s="70">
        <f t="shared" si="10"/>
        <v>1</v>
      </c>
      <c r="AM185" s="70">
        <f t="shared" si="11"/>
        <v>1</v>
      </c>
      <c r="AN185" s="70">
        <f ca="1">IF(SUMIF($Y$4:$AH$4,"&lt;=" &amp; $AJ$3,ENTRADAS!Y185:AH185)&gt;0,1,0)</f>
        <v>0</v>
      </c>
    </row>
    <row r="186" spans="1:40" ht="21">
      <c r="A186" s="68">
        <f ca="1">COUNT(INDEX($C:$AH,ROW(),1):INDEX($C:$AH,ROW(),$AI$3+1))</f>
        <v>3</v>
      </c>
      <c r="B186" s="106" t="str">
        <f>INDEX(Cadastro_Hortfrut[[#All],[Colunas4]],MATCH(ROW()-5,Cadastro_Hortfrut[[#All],[Colunas2]],0))</f>
        <v>Acelga</v>
      </c>
      <c r="C186" s="193"/>
      <c r="D186" s="193"/>
      <c r="E186" s="193">
        <v>1</v>
      </c>
      <c r="F186" s="193"/>
      <c r="G186" s="193"/>
      <c r="H186" s="193"/>
      <c r="I186" s="193"/>
      <c r="J186" s="193"/>
      <c r="K186" s="193"/>
      <c r="L186" s="193">
        <v>1</v>
      </c>
      <c r="M186" s="193"/>
      <c r="N186" s="193"/>
      <c r="O186" s="193"/>
      <c r="P186" s="193"/>
      <c r="Q186" s="193"/>
      <c r="R186" s="193"/>
      <c r="S186" s="193"/>
      <c r="T186" s="193"/>
      <c r="U186" s="193">
        <v>1</v>
      </c>
      <c r="V186" s="193"/>
      <c r="W186" s="193"/>
      <c r="X186" s="193"/>
      <c r="Y186" s="193"/>
      <c r="Z186" s="193"/>
      <c r="AA186" s="193"/>
      <c r="AB186" s="193"/>
      <c r="AC186" s="193"/>
      <c r="AD186" s="193"/>
      <c r="AE186" s="193"/>
      <c r="AF186" s="193"/>
      <c r="AG186" s="193"/>
      <c r="AH186" s="193"/>
      <c r="AI186" s="118">
        <f ca="1">IF(Configurações!$G$10="Ligado",SUMIFS(C186:AH186,$C$4:$AH$4,"&lt;="&amp;Configurações!$C$5,$C$4:$AH$4,"&lt;="&amp;$AI$3),"")</f>
        <v>3</v>
      </c>
      <c r="AJ186" s="119">
        <f ca="1">IF(Configurações!$G$20="Ligado",IF(AI186&lt;=0,"Vazio",IF(Configurações!$G$18="Semana",IF(Configurações!$G$19="Contar",ENTRADAS!AI186/Configurações!$C$18,AI186/SUM(AK186:AN186)),AI186/A186)),"")</f>
        <v>1</v>
      </c>
      <c r="AK186" s="70">
        <f t="shared" si="9"/>
        <v>1</v>
      </c>
      <c r="AL186" s="70">
        <f t="shared" si="10"/>
        <v>1</v>
      </c>
      <c r="AM186" s="70">
        <f t="shared" si="11"/>
        <v>1</v>
      </c>
      <c r="AN186" s="70">
        <f ca="1">IF(SUMIF($Y$4:$AH$4,"&lt;=" &amp; $AJ$3,ENTRADAS!Y186:AH186)&gt;0,1,0)</f>
        <v>0</v>
      </c>
    </row>
    <row r="187" spans="1:40" ht="21">
      <c r="A187" s="68">
        <f ca="1">COUNT(INDEX($C:$AH,ROW(),1):INDEX($C:$AH,ROW(),$AI$3+1))</f>
        <v>3</v>
      </c>
      <c r="B187" s="106" t="str">
        <f>INDEX(Cadastro_Hortfrut[[#All],[Colunas4]],MATCH(ROW()-5,Cadastro_Hortfrut[[#All],[Colunas2]],0))</f>
        <v>Agrião</v>
      </c>
      <c r="C187" s="193"/>
      <c r="D187" s="193"/>
      <c r="E187" s="193"/>
      <c r="F187" s="193"/>
      <c r="G187" s="193">
        <v>5</v>
      </c>
      <c r="H187" s="193"/>
      <c r="I187" s="193"/>
      <c r="J187" s="193"/>
      <c r="K187" s="193"/>
      <c r="L187" s="193"/>
      <c r="M187" s="193"/>
      <c r="N187" s="193">
        <v>4</v>
      </c>
      <c r="O187" s="193"/>
      <c r="P187" s="193"/>
      <c r="Q187" s="193"/>
      <c r="R187" s="193"/>
      <c r="S187" s="193"/>
      <c r="T187" s="193"/>
      <c r="U187" s="193">
        <v>6</v>
      </c>
      <c r="V187" s="193"/>
      <c r="W187" s="193"/>
      <c r="X187" s="193"/>
      <c r="Y187" s="193"/>
      <c r="Z187" s="193"/>
      <c r="AA187" s="193"/>
      <c r="AB187" s="193"/>
      <c r="AC187" s="193"/>
      <c r="AD187" s="193"/>
      <c r="AE187" s="193"/>
      <c r="AF187" s="193"/>
      <c r="AG187" s="193"/>
      <c r="AH187" s="193"/>
      <c r="AI187" s="118">
        <f ca="1">IF(Configurações!$G$10="Ligado",SUMIFS(C187:AH187,$C$4:$AH$4,"&lt;="&amp;Configurações!$C$5,$C$4:$AH$4,"&lt;="&amp;$AI$3),"")</f>
        <v>15</v>
      </c>
      <c r="AJ187" s="119">
        <f ca="1">IF(Configurações!$G$20="Ligado",IF(AI187&lt;=0,"Vazio",IF(Configurações!$G$18="Semana",IF(Configurações!$G$19="Contar",ENTRADAS!AI187/Configurações!$C$18,AI187/SUM(AK187:AN187)),AI187/A187)),"")</f>
        <v>5</v>
      </c>
      <c r="AK187" s="70">
        <f t="shared" si="9"/>
        <v>1</v>
      </c>
      <c r="AL187" s="70">
        <f t="shared" si="10"/>
        <v>1</v>
      </c>
      <c r="AM187" s="70">
        <f t="shared" si="11"/>
        <v>1</v>
      </c>
      <c r="AN187" s="70">
        <f ca="1">IF(SUMIF($Y$4:$AH$4,"&lt;=" &amp; $AJ$3,ENTRADAS!Y187:AH187)&gt;0,1,0)</f>
        <v>0</v>
      </c>
    </row>
    <row r="188" spans="1:40" ht="21">
      <c r="A188" s="68">
        <f ca="1">COUNT(INDEX($C:$AH,ROW(),1):INDEX($C:$AH,ROW(),$AI$3+1))</f>
        <v>6</v>
      </c>
      <c r="B188" s="106" t="str">
        <f>INDEX(Cadastro_Hortfrut[[#All],[Colunas4]],MATCH(ROW()-5,Cadastro_Hortfrut[[#All],[Colunas2]],0))</f>
        <v>Alface Americana</v>
      </c>
      <c r="C188" s="193"/>
      <c r="D188" s="193">
        <v>3</v>
      </c>
      <c r="E188" s="193">
        <v>5</v>
      </c>
      <c r="F188" s="193"/>
      <c r="G188" s="193">
        <v>6</v>
      </c>
      <c r="H188" s="193"/>
      <c r="I188" s="193"/>
      <c r="J188" s="193"/>
      <c r="K188" s="193"/>
      <c r="L188" s="193">
        <v>6</v>
      </c>
      <c r="M188" s="193"/>
      <c r="N188" s="193"/>
      <c r="O188" s="193"/>
      <c r="P188" s="193"/>
      <c r="Q188" s="193"/>
      <c r="R188" s="193"/>
      <c r="S188" s="193">
        <v>4</v>
      </c>
      <c r="T188" s="193"/>
      <c r="U188" s="193"/>
      <c r="V188" s="193">
        <v>5</v>
      </c>
      <c r="W188" s="193"/>
      <c r="X188" s="193"/>
      <c r="Y188" s="193"/>
      <c r="Z188" s="193"/>
      <c r="AA188" s="193"/>
      <c r="AB188" s="193"/>
      <c r="AC188" s="193"/>
      <c r="AD188" s="193"/>
      <c r="AE188" s="193"/>
      <c r="AF188" s="193"/>
      <c r="AG188" s="193"/>
      <c r="AH188" s="193"/>
      <c r="AI188" s="118">
        <f ca="1">IF(Configurações!$G$10="Ligado",SUMIFS(C188:AH188,$C$4:$AH$4,"&lt;="&amp;Configurações!$C$5,$C$4:$AH$4,"&lt;="&amp;$AI$3),"")</f>
        <v>29</v>
      </c>
      <c r="AJ188" s="119">
        <f ca="1">IF(Configurações!$G$20="Ligado",IF(AI188&lt;=0,"Vazio",IF(Configurações!$G$18="Semana",IF(Configurações!$G$19="Contar",ENTRADAS!AI188/Configurações!$C$18,AI188/SUM(AK188:AN188)),AI188/A188)),"")</f>
        <v>9.6666666666666661</v>
      </c>
      <c r="AK188" s="70">
        <f t="shared" si="9"/>
        <v>1</v>
      </c>
      <c r="AL188" s="70">
        <f t="shared" si="10"/>
        <v>1</v>
      </c>
      <c r="AM188" s="70">
        <f t="shared" si="11"/>
        <v>1</v>
      </c>
      <c r="AN188" s="70">
        <f ca="1">IF(SUMIF($Y$4:$AH$4,"&lt;=" &amp; $AJ$3,ENTRADAS!Y188:AH188)&gt;0,1,0)</f>
        <v>0</v>
      </c>
    </row>
    <row r="189" spans="1:40" ht="21">
      <c r="A189" s="68">
        <f ca="1">COUNT(INDEX($C:$AH,ROW(),1):INDEX($C:$AH,ROW(),$AI$3+1))</f>
        <v>7</v>
      </c>
      <c r="B189" s="106" t="str">
        <f>INDEX(Cadastro_Hortfrut[[#All],[Colunas4]],MATCH(ROW()-5,Cadastro_Hortfrut[[#All],[Colunas2]],0))</f>
        <v>Alface Crespa</v>
      </c>
      <c r="C189" s="193"/>
      <c r="D189" s="193">
        <v>2</v>
      </c>
      <c r="E189" s="193">
        <v>5</v>
      </c>
      <c r="F189" s="193"/>
      <c r="G189" s="193">
        <v>6</v>
      </c>
      <c r="H189" s="193"/>
      <c r="I189" s="193"/>
      <c r="J189" s="193"/>
      <c r="K189" s="193"/>
      <c r="L189" s="193">
        <v>6</v>
      </c>
      <c r="M189" s="193"/>
      <c r="N189" s="193">
        <v>4</v>
      </c>
      <c r="O189" s="193"/>
      <c r="P189" s="193"/>
      <c r="Q189" s="193"/>
      <c r="R189" s="193"/>
      <c r="S189" s="193">
        <v>5</v>
      </c>
      <c r="T189" s="193"/>
      <c r="U189" s="193"/>
      <c r="V189" s="193">
        <v>5</v>
      </c>
      <c r="W189" s="193"/>
      <c r="X189" s="193"/>
      <c r="Y189" s="193"/>
      <c r="Z189" s="193"/>
      <c r="AA189" s="193"/>
      <c r="AB189" s="193"/>
      <c r="AC189" s="193"/>
      <c r="AD189" s="193"/>
      <c r="AE189" s="193"/>
      <c r="AF189" s="193"/>
      <c r="AG189" s="193"/>
      <c r="AH189" s="193"/>
      <c r="AI189" s="118">
        <f ca="1">IF(Configurações!$G$10="Ligado",SUMIFS(C189:AH189,$C$4:$AH$4,"&lt;="&amp;Configurações!$C$5,$C$4:$AH$4,"&lt;="&amp;$AI$3),"")</f>
        <v>33</v>
      </c>
      <c r="AJ189" s="119">
        <f ca="1">IF(Configurações!$G$20="Ligado",IF(AI189&lt;=0,"Vazio",IF(Configurações!$G$18="Semana",IF(Configurações!$G$19="Contar",ENTRADAS!AI189/Configurações!$C$18,AI189/SUM(AK189:AN189)),AI189/A189)),"")</f>
        <v>11</v>
      </c>
      <c r="AK189" s="70">
        <f t="shared" si="9"/>
        <v>1</v>
      </c>
      <c r="AL189" s="70">
        <f t="shared" si="10"/>
        <v>1</v>
      </c>
      <c r="AM189" s="70">
        <f t="shared" si="11"/>
        <v>1</v>
      </c>
      <c r="AN189" s="70">
        <f ca="1">IF(SUMIF($Y$4:$AH$4,"&lt;=" &amp; $AJ$3,ENTRADAS!Y189:AH189)&gt;0,1,0)</f>
        <v>0</v>
      </c>
    </row>
    <row r="190" spans="1:40" ht="21">
      <c r="A190" s="68">
        <f ca="1">COUNT(INDEX($C:$AH,ROW(),1):INDEX($C:$AH,ROW(),$AI$3+1))</f>
        <v>0</v>
      </c>
      <c r="B190" s="106" t="str">
        <f>INDEX(Cadastro_Hortfrut[[#All],[Colunas4]],MATCH(ROW()-5,Cadastro_Hortfrut[[#All],[Colunas2]],0))</f>
        <v>Alface Lisa</v>
      </c>
      <c r="C190" s="193"/>
      <c r="D190" s="193"/>
      <c r="E190" s="193"/>
      <c r="F190" s="193"/>
      <c r="G190" s="193"/>
      <c r="H190" s="193"/>
      <c r="I190" s="193"/>
      <c r="J190" s="193"/>
      <c r="K190" s="193"/>
      <c r="L190" s="193"/>
      <c r="M190" s="193"/>
      <c r="N190" s="193"/>
      <c r="O190" s="193"/>
      <c r="P190" s="193"/>
      <c r="Q190" s="193"/>
      <c r="R190" s="193"/>
      <c r="S190" s="193"/>
      <c r="T190" s="193"/>
      <c r="U190" s="193"/>
      <c r="V190" s="193"/>
      <c r="W190" s="193"/>
      <c r="X190" s="193"/>
      <c r="Y190" s="193"/>
      <c r="Z190" s="193"/>
      <c r="AA190" s="193"/>
      <c r="AB190" s="193"/>
      <c r="AC190" s="193"/>
      <c r="AD190" s="193"/>
      <c r="AE190" s="193"/>
      <c r="AF190" s="193"/>
      <c r="AG190" s="193"/>
      <c r="AH190" s="193"/>
      <c r="AI190" s="118">
        <f ca="1">IF(Configurações!$G$10="Ligado",SUMIFS(C190:AH190,$C$4:$AH$4,"&lt;="&amp;Configurações!$C$5,$C$4:$AH$4,"&lt;="&amp;$AI$3),"")</f>
        <v>0</v>
      </c>
      <c r="AJ190" s="119" t="str">
        <f ca="1">IF(Configurações!$G$20="Ligado",IF(AI190&lt;=0,"Vazio",IF(Configurações!$G$18="Semana",IF(Configurações!$G$19="Contar",ENTRADAS!AI190/Configurações!$C$18,AI190/SUM(AK190:AN190)),AI190/A190)),"")</f>
        <v>Vazio</v>
      </c>
      <c r="AK190" s="70">
        <f t="shared" si="9"/>
        <v>0</v>
      </c>
      <c r="AL190" s="70">
        <f t="shared" si="10"/>
        <v>0</v>
      </c>
      <c r="AM190" s="70">
        <f t="shared" si="11"/>
        <v>0</v>
      </c>
      <c r="AN190" s="70">
        <f ca="1">IF(SUMIF($Y$4:$AH$4,"&lt;=" &amp; $AJ$3,ENTRADAS!Y190:AH190)&gt;0,1,0)</f>
        <v>0</v>
      </c>
    </row>
    <row r="191" spans="1:40" ht="21">
      <c r="A191" s="68">
        <f ca="1">COUNT(INDEX($C:$AH,ROW(),1):INDEX($C:$AH,ROW(),$AI$3+1))</f>
        <v>0</v>
      </c>
      <c r="B191" s="106" t="str">
        <f>INDEX(Cadastro_Hortfrut[[#All],[Colunas4]],MATCH(ROW()-5,Cadastro_Hortfrut[[#All],[Colunas2]],0))</f>
        <v>Alface Roxo</v>
      </c>
      <c r="C191" s="193"/>
      <c r="D191" s="193"/>
      <c r="E191" s="193"/>
      <c r="F191" s="193"/>
      <c r="G191" s="193"/>
      <c r="H191" s="193"/>
      <c r="I191" s="193"/>
      <c r="J191" s="193"/>
      <c r="K191" s="193"/>
      <c r="L191" s="193"/>
      <c r="M191" s="193"/>
      <c r="N191" s="193"/>
      <c r="O191" s="193"/>
      <c r="P191" s="193"/>
      <c r="Q191" s="193"/>
      <c r="R191" s="193"/>
      <c r="S191" s="193"/>
      <c r="T191" s="193"/>
      <c r="U191" s="193"/>
      <c r="V191" s="193"/>
      <c r="W191" s="193"/>
      <c r="X191" s="193"/>
      <c r="Y191" s="193"/>
      <c r="Z191" s="193"/>
      <c r="AA191" s="193"/>
      <c r="AB191" s="193"/>
      <c r="AC191" s="193"/>
      <c r="AD191" s="193"/>
      <c r="AE191" s="193"/>
      <c r="AF191" s="193"/>
      <c r="AG191" s="193"/>
      <c r="AH191" s="193"/>
      <c r="AI191" s="118">
        <f ca="1">IF(Configurações!$G$10="Ligado",SUMIFS(C191:AH191,$C$4:$AH$4,"&lt;="&amp;Configurações!$C$5,$C$4:$AH$4,"&lt;="&amp;$AI$3),"")</f>
        <v>0</v>
      </c>
      <c r="AJ191" s="119" t="str">
        <f ca="1">IF(Configurações!$G$20="Ligado",IF(AI191&lt;=0,"Vazio",IF(Configurações!$G$18="Semana",IF(Configurações!$G$19="Contar",ENTRADAS!AI191/Configurações!$C$18,AI191/SUM(AK191:AN191)),AI191/A191)),"")</f>
        <v>Vazio</v>
      </c>
      <c r="AK191" s="70">
        <f t="shared" si="9"/>
        <v>0</v>
      </c>
      <c r="AL191" s="70">
        <f t="shared" si="10"/>
        <v>0</v>
      </c>
      <c r="AM191" s="70">
        <f t="shared" si="11"/>
        <v>0</v>
      </c>
      <c r="AN191" s="70">
        <f ca="1">IF(SUMIF($Y$4:$AH$4,"&lt;=" &amp; $AJ$3,ENTRADAS!Y191:AH191)&gt;0,1,0)</f>
        <v>0</v>
      </c>
    </row>
    <row r="192" spans="1:40" ht="21">
      <c r="A192" s="68">
        <f ca="1">COUNT(INDEX($C:$AH,ROW(),1):INDEX($C:$AH,ROW(),$AI$3+1))</f>
        <v>1</v>
      </c>
      <c r="B192" s="106" t="str">
        <f>INDEX(Cadastro_Hortfrut[[#All],[Colunas4]],MATCH(ROW()-5,Cadastro_Hortfrut[[#All],[Colunas2]],0))</f>
        <v>Almeirão</v>
      </c>
      <c r="C192" s="193"/>
      <c r="D192" s="193"/>
      <c r="E192" s="193"/>
      <c r="F192" s="193"/>
      <c r="G192" s="193"/>
      <c r="H192" s="193"/>
      <c r="I192" s="193"/>
      <c r="J192" s="193"/>
      <c r="K192" s="193"/>
      <c r="L192" s="193">
        <v>2</v>
      </c>
      <c r="M192" s="193"/>
      <c r="N192" s="193"/>
      <c r="O192" s="193"/>
      <c r="P192" s="193"/>
      <c r="Q192" s="193"/>
      <c r="R192" s="193"/>
      <c r="S192" s="193"/>
      <c r="T192" s="193"/>
      <c r="U192" s="193"/>
      <c r="V192" s="193"/>
      <c r="W192" s="193"/>
      <c r="X192" s="193"/>
      <c r="Y192" s="193"/>
      <c r="Z192" s="193"/>
      <c r="AA192" s="193"/>
      <c r="AB192" s="193"/>
      <c r="AC192" s="193"/>
      <c r="AD192" s="193"/>
      <c r="AE192" s="193"/>
      <c r="AF192" s="193"/>
      <c r="AG192" s="193"/>
      <c r="AH192" s="193"/>
      <c r="AI192" s="118">
        <f ca="1">IF(Configurações!$G$10="Ligado",SUMIFS(C192:AH192,$C$4:$AH$4,"&lt;="&amp;Configurações!$C$5,$C$4:$AH$4,"&lt;="&amp;$AI$3),"")</f>
        <v>2</v>
      </c>
      <c r="AJ192" s="119">
        <f ca="1">IF(Configurações!$G$20="Ligado",IF(AI192&lt;=0,"Vazio",IF(Configurações!$G$18="Semana",IF(Configurações!$G$19="Contar",ENTRADAS!AI192/Configurações!$C$18,AI192/SUM(AK192:AN192)),AI192/A192)),"")</f>
        <v>2</v>
      </c>
      <c r="AK192" s="70">
        <f t="shared" si="9"/>
        <v>0</v>
      </c>
      <c r="AL192" s="70">
        <f t="shared" si="10"/>
        <v>1</v>
      </c>
      <c r="AM192" s="70">
        <f t="shared" si="11"/>
        <v>0</v>
      </c>
      <c r="AN192" s="70">
        <f ca="1">IF(SUMIF($Y$4:$AH$4,"&lt;=" &amp; $AJ$3,ENTRADAS!Y192:AH192)&gt;0,1,0)</f>
        <v>0</v>
      </c>
    </row>
    <row r="193" spans="1:40" ht="21">
      <c r="A193" s="68">
        <f ca="1">COUNT(INDEX($C:$AH,ROW(),1):INDEX($C:$AH,ROW(),$AI$3+1))</f>
        <v>0</v>
      </c>
      <c r="B193" s="106" t="str">
        <f>INDEX(Cadastro_Hortfrut[[#All],[Colunas4]],MATCH(ROW()-5,Cadastro_Hortfrut[[#All],[Colunas2]],0))</f>
        <v>Ameixa</v>
      </c>
      <c r="C193" s="193"/>
      <c r="D193" s="193"/>
      <c r="E193" s="193"/>
      <c r="F193" s="193"/>
      <c r="G193" s="193"/>
      <c r="H193" s="193"/>
      <c r="I193" s="193"/>
      <c r="J193" s="193"/>
      <c r="K193" s="193"/>
      <c r="L193" s="193"/>
      <c r="M193" s="193"/>
      <c r="N193" s="193"/>
      <c r="O193" s="193"/>
      <c r="P193" s="193"/>
      <c r="Q193" s="193"/>
      <c r="R193" s="193"/>
      <c r="S193" s="193"/>
      <c r="T193" s="193"/>
      <c r="U193" s="193"/>
      <c r="V193" s="193"/>
      <c r="W193" s="193"/>
      <c r="X193" s="193"/>
      <c r="Y193" s="193"/>
      <c r="Z193" s="193"/>
      <c r="AA193" s="193"/>
      <c r="AB193" s="193"/>
      <c r="AC193" s="193"/>
      <c r="AD193" s="193"/>
      <c r="AE193" s="193"/>
      <c r="AF193" s="193"/>
      <c r="AG193" s="193"/>
      <c r="AH193" s="193"/>
      <c r="AI193" s="118">
        <f ca="1">IF(Configurações!$G$10="Ligado",SUMIFS(C193:AH193,$C$4:$AH$4,"&lt;="&amp;Configurações!$C$5,$C$4:$AH$4,"&lt;="&amp;$AI$3),"")</f>
        <v>0</v>
      </c>
      <c r="AJ193" s="119" t="str">
        <f ca="1">IF(Configurações!$G$20="Ligado",IF(AI193&lt;=0,"Vazio",IF(Configurações!$G$18="Semana",IF(Configurações!$G$19="Contar",ENTRADAS!AI193/Configurações!$C$18,AI193/SUM(AK193:AN193)),AI193/A193)),"")</f>
        <v>Vazio</v>
      </c>
      <c r="AK193" s="70">
        <f t="shared" si="9"/>
        <v>0</v>
      </c>
      <c r="AL193" s="70">
        <f t="shared" si="10"/>
        <v>0</v>
      </c>
      <c r="AM193" s="70">
        <f t="shared" si="11"/>
        <v>0</v>
      </c>
      <c r="AN193" s="70">
        <f ca="1">IF(SUMIF($Y$4:$AH$4,"&lt;=" &amp; $AJ$3,ENTRADAS!Y193:AH193)&gt;0,1,0)</f>
        <v>0</v>
      </c>
    </row>
    <row r="194" spans="1:40" ht="21">
      <c r="A194" s="68">
        <f ca="1">COUNT(INDEX($C:$AH,ROW(),1):INDEX($C:$AH,ROW(),$AI$3+1))</f>
        <v>8</v>
      </c>
      <c r="B194" s="106" t="str">
        <f>INDEX(Cadastro_Hortfrut[[#All],[Colunas4]],MATCH(ROW()-5,Cadastro_Hortfrut[[#All],[Colunas2]],0))</f>
        <v xml:space="preserve">Banana </v>
      </c>
      <c r="C194" s="193">
        <v>0.92</v>
      </c>
      <c r="D194" s="193">
        <v>10</v>
      </c>
      <c r="E194" s="193">
        <v>10</v>
      </c>
      <c r="F194" s="193"/>
      <c r="G194" s="193">
        <v>4</v>
      </c>
      <c r="H194" s="193"/>
      <c r="I194" s="193"/>
      <c r="J194" s="193"/>
      <c r="K194" s="193"/>
      <c r="L194" s="193">
        <v>15</v>
      </c>
      <c r="M194" s="193"/>
      <c r="N194" s="193">
        <v>10</v>
      </c>
      <c r="O194" s="193"/>
      <c r="P194" s="193"/>
      <c r="Q194" s="193"/>
      <c r="R194" s="193"/>
      <c r="S194" s="193">
        <v>1</v>
      </c>
      <c r="T194" s="193"/>
      <c r="U194" s="193"/>
      <c r="V194" s="193">
        <v>10</v>
      </c>
      <c r="W194" s="193"/>
      <c r="X194" s="193"/>
      <c r="Y194" s="193"/>
      <c r="Z194" s="193"/>
      <c r="AA194" s="193"/>
      <c r="AB194" s="193"/>
      <c r="AC194" s="193"/>
      <c r="AD194" s="193"/>
      <c r="AE194" s="193"/>
      <c r="AF194" s="193"/>
      <c r="AG194" s="193"/>
      <c r="AH194" s="193"/>
      <c r="AI194" s="118">
        <f ca="1">IF(Configurações!$G$10="Ligado",SUMIFS(C194:AH194,$C$4:$AH$4,"&lt;="&amp;Configurações!$C$5,$C$4:$AH$4,"&lt;="&amp;$AI$3),"")</f>
        <v>60.92</v>
      </c>
      <c r="AJ194" s="119">
        <f ca="1">IF(Configurações!$G$20="Ligado",IF(AI194&lt;=0,"Vazio",IF(Configurações!$G$18="Semana",IF(Configurações!$G$19="Contar",ENTRADAS!AI194/Configurações!$C$18,AI194/SUM(AK194:AN194)),AI194/A194)),"")</f>
        <v>20.306666666666668</v>
      </c>
      <c r="AK194" s="70">
        <f t="shared" si="9"/>
        <v>1</v>
      </c>
      <c r="AL194" s="70">
        <f t="shared" si="10"/>
        <v>1</v>
      </c>
      <c r="AM194" s="70">
        <f t="shared" si="11"/>
        <v>1</v>
      </c>
      <c r="AN194" s="70">
        <f ca="1">IF(SUMIF($Y$4:$AH$4,"&lt;=" &amp; $AJ$3,ENTRADAS!Y194:AH194)&gt;0,1,0)</f>
        <v>0</v>
      </c>
    </row>
    <row r="195" spans="1:40" ht="21">
      <c r="A195" s="68">
        <f ca="1">COUNT(INDEX($C:$AH,ROW(),1):INDEX($C:$AH,ROW(),$AI$3+1))</f>
        <v>3</v>
      </c>
      <c r="B195" s="106" t="str">
        <f>INDEX(Cadastro_Hortfrut[[#All],[Colunas4]],MATCH(ROW()-5,Cadastro_Hortfrut[[#All],[Colunas2]],0))</f>
        <v xml:space="preserve">Batata </v>
      </c>
      <c r="C195" s="193"/>
      <c r="D195" s="193">
        <v>10</v>
      </c>
      <c r="E195" s="193">
        <v>48</v>
      </c>
      <c r="F195" s="193"/>
      <c r="G195" s="193"/>
      <c r="H195" s="193"/>
      <c r="I195" s="193"/>
      <c r="J195" s="193"/>
      <c r="K195" s="193"/>
      <c r="L195" s="193"/>
      <c r="M195" s="193"/>
      <c r="N195" s="193"/>
      <c r="O195" s="193"/>
      <c r="P195" s="193"/>
      <c r="Q195" s="193"/>
      <c r="R195" s="193"/>
      <c r="S195" s="193"/>
      <c r="T195" s="193"/>
      <c r="U195" s="193"/>
      <c r="V195" s="193">
        <v>24</v>
      </c>
      <c r="W195" s="193"/>
      <c r="X195" s="193"/>
      <c r="Y195" s="193"/>
      <c r="Z195" s="193"/>
      <c r="AA195" s="193"/>
      <c r="AB195" s="193"/>
      <c r="AC195" s="193"/>
      <c r="AD195" s="193"/>
      <c r="AE195" s="193"/>
      <c r="AF195" s="193"/>
      <c r="AG195" s="193"/>
      <c r="AH195" s="193"/>
      <c r="AI195" s="118">
        <f ca="1">IF(Configurações!$G$10="Ligado",SUMIFS(C195:AH195,$C$4:$AH$4,"&lt;="&amp;Configurações!$C$5,$C$4:$AH$4,"&lt;="&amp;$AI$3),"")</f>
        <v>82</v>
      </c>
      <c r="AJ195" s="119">
        <f ca="1">IF(Configurações!$G$20="Ligado",IF(AI195&lt;=0,"Vazio",IF(Configurações!$G$18="Semana",IF(Configurações!$G$19="Contar",ENTRADAS!AI195/Configurações!$C$18,AI195/SUM(AK195:AN195)),AI195/A195)),"")</f>
        <v>41</v>
      </c>
      <c r="AK195" s="70">
        <f t="shared" si="9"/>
        <v>1</v>
      </c>
      <c r="AL195" s="70">
        <f t="shared" si="10"/>
        <v>0</v>
      </c>
      <c r="AM195" s="70">
        <f t="shared" si="11"/>
        <v>1</v>
      </c>
      <c r="AN195" s="70">
        <f ca="1">IF(SUMIF($Y$4:$AH$4,"&lt;=" &amp; $AJ$3,ENTRADAS!Y195:AH195)&gt;0,1,0)</f>
        <v>0</v>
      </c>
    </row>
    <row r="196" spans="1:40" ht="21">
      <c r="A196" s="68">
        <f ca="1">COUNT(INDEX($C:$AH,ROW(),1):INDEX($C:$AH,ROW(),$AI$3+1))</f>
        <v>3</v>
      </c>
      <c r="B196" s="106" t="str">
        <f>INDEX(Cadastro_Hortfrut[[#All],[Colunas4]],MATCH(ROW()-5,Cadastro_Hortfrut[[#All],[Colunas2]],0))</f>
        <v>Berinjela</v>
      </c>
      <c r="C196" s="193"/>
      <c r="D196" s="193">
        <v>3</v>
      </c>
      <c r="E196" s="193"/>
      <c r="F196" s="193"/>
      <c r="G196" s="193"/>
      <c r="H196" s="193"/>
      <c r="I196" s="193"/>
      <c r="J196" s="193"/>
      <c r="K196" s="193"/>
      <c r="L196" s="193">
        <v>4</v>
      </c>
      <c r="M196" s="193"/>
      <c r="N196" s="193"/>
      <c r="O196" s="193"/>
      <c r="P196" s="193"/>
      <c r="Q196" s="193"/>
      <c r="R196" s="193"/>
      <c r="S196" s="193">
        <v>4</v>
      </c>
      <c r="T196" s="193"/>
      <c r="U196" s="193"/>
      <c r="V196" s="193"/>
      <c r="W196" s="193"/>
      <c r="X196" s="193"/>
      <c r="Y196" s="193"/>
      <c r="Z196" s="193"/>
      <c r="AA196" s="193"/>
      <c r="AB196" s="193"/>
      <c r="AC196" s="193"/>
      <c r="AD196" s="193"/>
      <c r="AE196" s="193"/>
      <c r="AF196" s="193"/>
      <c r="AG196" s="193"/>
      <c r="AH196" s="193"/>
      <c r="AI196" s="118">
        <f ca="1">IF(Configurações!$G$10="Ligado",SUMIFS(C196:AH196,$C$4:$AH$4,"&lt;="&amp;Configurações!$C$5,$C$4:$AH$4,"&lt;="&amp;$AI$3),"")</f>
        <v>11</v>
      </c>
      <c r="AJ196" s="119">
        <f ca="1">IF(Configurações!$G$20="Ligado",IF(AI196&lt;=0,"Vazio",IF(Configurações!$G$18="Semana",IF(Configurações!$G$19="Contar",ENTRADAS!AI196/Configurações!$C$18,AI196/SUM(AK196:AN196)),AI196/A196)),"")</f>
        <v>3.6666666666666665</v>
      </c>
      <c r="AK196" s="70">
        <f t="shared" si="9"/>
        <v>1</v>
      </c>
      <c r="AL196" s="70">
        <f t="shared" si="10"/>
        <v>1</v>
      </c>
      <c r="AM196" s="70">
        <f t="shared" si="11"/>
        <v>1</v>
      </c>
      <c r="AN196" s="70">
        <f ca="1">IF(SUMIF($Y$4:$AH$4,"&lt;=" &amp; $AJ$3,ENTRADAS!Y196:AH196)&gt;0,1,0)</f>
        <v>0</v>
      </c>
    </row>
    <row r="197" spans="1:40" ht="21">
      <c r="A197" s="68">
        <f ca="1">COUNT(INDEX($C:$AH,ROW(),1):INDEX($C:$AH,ROW(),$AI$3+1))</f>
        <v>4</v>
      </c>
      <c r="B197" s="106" t="str">
        <f>INDEX(Cadastro_Hortfrut[[#All],[Colunas4]],MATCH(ROW()-5,Cadastro_Hortfrut[[#All],[Colunas2]],0))</f>
        <v xml:space="preserve">Beterraba </v>
      </c>
      <c r="C197" s="193"/>
      <c r="D197" s="193">
        <v>2</v>
      </c>
      <c r="E197" s="193"/>
      <c r="F197" s="193"/>
      <c r="G197" s="193">
        <v>5</v>
      </c>
      <c r="H197" s="193"/>
      <c r="I197" s="193"/>
      <c r="J197" s="193"/>
      <c r="K197" s="193"/>
      <c r="L197" s="193"/>
      <c r="M197" s="193"/>
      <c r="N197" s="193"/>
      <c r="O197" s="193"/>
      <c r="P197" s="193"/>
      <c r="Q197" s="193"/>
      <c r="R197" s="193"/>
      <c r="S197" s="193">
        <v>5</v>
      </c>
      <c r="T197" s="193"/>
      <c r="U197" s="193"/>
      <c r="V197" s="193">
        <v>5</v>
      </c>
      <c r="W197" s="193"/>
      <c r="X197" s="193"/>
      <c r="Y197" s="193"/>
      <c r="Z197" s="193"/>
      <c r="AA197" s="193"/>
      <c r="AB197" s="193"/>
      <c r="AC197" s="193"/>
      <c r="AD197" s="193"/>
      <c r="AE197" s="193"/>
      <c r="AF197" s="193"/>
      <c r="AG197" s="193"/>
      <c r="AH197" s="193"/>
      <c r="AI197" s="118">
        <f ca="1">IF(Configurações!$G$10="Ligado",SUMIFS(C197:AH197,$C$4:$AH$4,"&lt;="&amp;Configurações!$C$5,$C$4:$AH$4,"&lt;="&amp;$AI$3),"")</f>
        <v>17</v>
      </c>
      <c r="AJ197" s="119">
        <f ca="1">IF(Configurações!$G$20="Ligado",IF(AI197&lt;=0,"Vazio",IF(Configurações!$G$18="Semana",IF(Configurações!$G$19="Contar",ENTRADAS!AI197/Configurações!$C$18,AI197/SUM(AK197:AN197)),AI197/A197)),"")</f>
        <v>8.5</v>
      </c>
      <c r="AK197" s="70">
        <f t="shared" si="9"/>
        <v>1</v>
      </c>
      <c r="AL197" s="70">
        <f t="shared" si="10"/>
        <v>0</v>
      </c>
      <c r="AM197" s="70">
        <f t="shared" si="11"/>
        <v>1</v>
      </c>
      <c r="AN197" s="70">
        <f ca="1">IF(SUMIF($Y$4:$AH$4,"&lt;=" &amp; $AJ$3,ENTRADAS!Y197:AH197)&gt;0,1,0)</f>
        <v>0</v>
      </c>
    </row>
    <row r="198" spans="1:40" ht="21">
      <c r="A198" s="68">
        <f ca="1">COUNT(INDEX($C:$AH,ROW(),1):INDEX($C:$AH,ROW(),$AI$3+1))</f>
        <v>0</v>
      </c>
      <c r="B198" s="106" t="str">
        <f>INDEX(Cadastro_Hortfrut[[#All],[Colunas4]],MATCH(ROW()-5,Cadastro_Hortfrut[[#All],[Colunas2]],0))</f>
        <v>Brócolis</v>
      </c>
      <c r="C198" s="193"/>
      <c r="D198" s="193"/>
      <c r="E198" s="193"/>
      <c r="F198" s="193"/>
      <c r="G198" s="193"/>
      <c r="H198" s="193"/>
      <c r="I198" s="193"/>
      <c r="J198" s="193"/>
      <c r="K198" s="193"/>
      <c r="L198" s="193"/>
      <c r="M198" s="193"/>
      <c r="N198" s="193"/>
      <c r="O198" s="193"/>
      <c r="P198" s="193"/>
      <c r="Q198" s="193"/>
      <c r="R198" s="193"/>
      <c r="S198" s="193"/>
      <c r="T198" s="193"/>
      <c r="U198" s="193"/>
      <c r="V198" s="193"/>
      <c r="W198" s="193"/>
      <c r="X198" s="193"/>
      <c r="Y198" s="193"/>
      <c r="Z198" s="193"/>
      <c r="AA198" s="193"/>
      <c r="AB198" s="193"/>
      <c r="AC198" s="193"/>
      <c r="AD198" s="193"/>
      <c r="AE198" s="193"/>
      <c r="AF198" s="193"/>
      <c r="AG198" s="193"/>
      <c r="AH198" s="193"/>
      <c r="AI198" s="118">
        <f ca="1">IF(Configurações!$G$10="Ligado",SUMIFS(C198:AH198,$C$4:$AH$4,"&lt;="&amp;Configurações!$C$5,$C$4:$AH$4,"&lt;="&amp;$AI$3),"")</f>
        <v>0</v>
      </c>
      <c r="AJ198" s="119" t="str">
        <f ca="1">IF(Configurações!$G$20="Ligado",IF(AI198&lt;=0,"Vazio",IF(Configurações!$G$18="Semana",IF(Configurações!$G$19="Contar",ENTRADAS!AI198/Configurações!$C$18,AI198/SUM(AK198:AN198)),AI198/A198)),"")</f>
        <v>Vazio</v>
      </c>
      <c r="AK198" s="70">
        <f t="shared" si="9"/>
        <v>0</v>
      </c>
      <c r="AL198" s="70">
        <f t="shared" si="10"/>
        <v>0</v>
      </c>
      <c r="AM198" s="70">
        <f t="shared" si="11"/>
        <v>0</v>
      </c>
      <c r="AN198" s="70">
        <f ca="1">IF(SUMIF($Y$4:$AH$4,"&lt;=" &amp; $AJ$3,ENTRADAS!Y198:AH198)&gt;0,1,0)</f>
        <v>0</v>
      </c>
    </row>
    <row r="199" spans="1:40" ht="21">
      <c r="A199" s="68">
        <f ca="1">COUNT(INDEX($C:$AH,ROW(),1):INDEX($C:$AH,ROW(),$AI$3+1))</f>
        <v>0</v>
      </c>
      <c r="B199" s="106" t="str">
        <f>INDEX(Cadastro_Hortfrut[[#All],[Colunas4]],MATCH(ROW()-5,Cadastro_Hortfrut[[#All],[Colunas2]],0))</f>
        <v xml:space="preserve">Caquí </v>
      </c>
      <c r="C199" s="193"/>
      <c r="D199" s="193"/>
      <c r="E199" s="193"/>
      <c r="F199" s="193"/>
      <c r="G199" s="193"/>
      <c r="H199" s="193"/>
      <c r="I199" s="193"/>
      <c r="J199" s="193"/>
      <c r="K199" s="193"/>
      <c r="L199" s="193"/>
      <c r="M199" s="193"/>
      <c r="N199" s="193"/>
      <c r="O199" s="193"/>
      <c r="P199" s="193"/>
      <c r="Q199" s="193"/>
      <c r="R199" s="193"/>
      <c r="S199" s="193"/>
      <c r="T199" s="193"/>
      <c r="U199" s="193"/>
      <c r="V199" s="193"/>
      <c r="W199" s="193"/>
      <c r="X199" s="193"/>
      <c r="Y199" s="193"/>
      <c r="Z199" s="193"/>
      <c r="AA199" s="193"/>
      <c r="AB199" s="193"/>
      <c r="AC199" s="193"/>
      <c r="AD199" s="193"/>
      <c r="AE199" s="193"/>
      <c r="AF199" s="193"/>
      <c r="AG199" s="193"/>
      <c r="AH199" s="193"/>
      <c r="AI199" s="118">
        <f ca="1">IF(Configurações!$G$10="Ligado",SUMIFS(C199:AH199,$C$4:$AH$4,"&lt;="&amp;Configurações!$C$5,$C$4:$AH$4,"&lt;="&amp;$AI$3),"")</f>
        <v>0</v>
      </c>
      <c r="AJ199" s="119" t="str">
        <f ca="1">IF(Configurações!$G$20="Ligado",IF(AI199&lt;=0,"Vazio",IF(Configurações!$G$18="Semana",IF(Configurações!$G$19="Contar",ENTRADAS!AI199/Configurações!$C$18,AI199/SUM(AK199:AN199)),AI199/A199)),"")</f>
        <v>Vazio</v>
      </c>
      <c r="AK199" s="70">
        <f t="shared" si="9"/>
        <v>0</v>
      </c>
      <c r="AL199" s="70">
        <f t="shared" si="10"/>
        <v>0</v>
      </c>
      <c r="AM199" s="70">
        <f t="shared" si="11"/>
        <v>0</v>
      </c>
      <c r="AN199" s="70">
        <f ca="1">IF(SUMIF($Y$4:$AH$4,"&lt;=" &amp; $AJ$3,ENTRADAS!Y199:AH199)&gt;0,1,0)</f>
        <v>0</v>
      </c>
    </row>
    <row r="200" spans="1:40" ht="21">
      <c r="A200" s="68">
        <f ca="1">COUNT(INDEX($C:$AH,ROW(),1):INDEX($C:$AH,ROW(),$AI$3+1))</f>
        <v>6</v>
      </c>
      <c r="B200" s="106" t="str">
        <f>INDEX(Cadastro_Hortfrut[[#All],[Colunas4]],MATCH(ROW()-5,Cadastro_Hortfrut[[#All],[Colunas2]],0))</f>
        <v xml:space="preserve">Cebola </v>
      </c>
      <c r="C200" s="193"/>
      <c r="D200" s="193">
        <v>5</v>
      </c>
      <c r="E200" s="193">
        <v>18</v>
      </c>
      <c r="F200" s="193"/>
      <c r="G200" s="193">
        <v>9</v>
      </c>
      <c r="H200" s="193"/>
      <c r="I200" s="193"/>
      <c r="J200" s="193"/>
      <c r="K200" s="193"/>
      <c r="L200" s="193">
        <v>18</v>
      </c>
      <c r="M200" s="193"/>
      <c r="N200" s="193"/>
      <c r="O200" s="193"/>
      <c r="P200" s="193"/>
      <c r="Q200" s="193"/>
      <c r="R200" s="193"/>
      <c r="S200" s="193">
        <v>18</v>
      </c>
      <c r="T200" s="193"/>
      <c r="U200" s="193">
        <v>3</v>
      </c>
      <c r="V200" s="193"/>
      <c r="W200" s="193"/>
      <c r="X200" s="193"/>
      <c r="Y200" s="193"/>
      <c r="Z200" s="193"/>
      <c r="AA200" s="193"/>
      <c r="AB200" s="193"/>
      <c r="AC200" s="193"/>
      <c r="AD200" s="193"/>
      <c r="AE200" s="193"/>
      <c r="AF200" s="193"/>
      <c r="AG200" s="193"/>
      <c r="AH200" s="193"/>
      <c r="AI200" s="118">
        <f ca="1">IF(Configurações!$G$10="Ligado",SUMIFS(C200:AH200,$C$4:$AH$4,"&lt;="&amp;Configurações!$C$5,$C$4:$AH$4,"&lt;="&amp;$AI$3),"")</f>
        <v>71</v>
      </c>
      <c r="AJ200" s="119">
        <f ca="1">IF(Configurações!$G$20="Ligado",IF(AI200&lt;=0,"Vazio",IF(Configurações!$G$18="Semana",IF(Configurações!$G$19="Contar",ENTRADAS!AI200/Configurações!$C$18,AI200/SUM(AK200:AN200)),AI200/A200)),"")</f>
        <v>23.666666666666668</v>
      </c>
      <c r="AK200" s="70">
        <f t="shared" si="9"/>
        <v>1</v>
      </c>
      <c r="AL200" s="70">
        <f t="shared" si="10"/>
        <v>1</v>
      </c>
      <c r="AM200" s="70">
        <f t="shared" si="11"/>
        <v>1</v>
      </c>
      <c r="AN200" s="70">
        <f ca="1">IF(SUMIF($Y$4:$AH$4,"&lt;=" &amp; $AJ$3,ENTRADAS!Y200:AH200)&gt;0,1,0)</f>
        <v>0</v>
      </c>
    </row>
    <row r="201" spans="1:40" ht="21">
      <c r="A201" s="68">
        <f ca="1">COUNT(INDEX($C:$AH,ROW(),1):INDEX($C:$AH,ROW(),$AI$3+1))</f>
        <v>5</v>
      </c>
      <c r="B201" s="106" t="str">
        <f>INDEX(Cadastro_Hortfrut[[#All],[Colunas4]],MATCH(ROW()-5,Cadastro_Hortfrut[[#All],[Colunas2]],0))</f>
        <v xml:space="preserve">Cenoura  </v>
      </c>
      <c r="C201" s="193"/>
      <c r="D201" s="193"/>
      <c r="E201" s="193">
        <v>9</v>
      </c>
      <c r="F201" s="193"/>
      <c r="G201" s="193"/>
      <c r="H201" s="193"/>
      <c r="I201" s="193"/>
      <c r="J201" s="193"/>
      <c r="K201" s="193"/>
      <c r="L201" s="193">
        <v>6</v>
      </c>
      <c r="M201" s="193"/>
      <c r="N201" s="193">
        <v>6</v>
      </c>
      <c r="O201" s="193"/>
      <c r="P201" s="193"/>
      <c r="Q201" s="193"/>
      <c r="R201" s="193"/>
      <c r="S201" s="193">
        <v>8</v>
      </c>
      <c r="T201" s="193"/>
      <c r="U201" s="193"/>
      <c r="V201" s="193">
        <v>18</v>
      </c>
      <c r="W201" s="193"/>
      <c r="X201" s="193"/>
      <c r="Y201" s="193"/>
      <c r="Z201" s="193"/>
      <c r="AA201" s="193"/>
      <c r="AB201" s="193"/>
      <c r="AC201" s="193"/>
      <c r="AD201" s="193"/>
      <c r="AE201" s="193"/>
      <c r="AF201" s="193"/>
      <c r="AG201" s="193"/>
      <c r="AH201" s="193"/>
      <c r="AI201" s="118">
        <f ca="1">IF(Configurações!$G$10="Ligado",SUMIFS(C201:AH201,$C$4:$AH$4,"&lt;="&amp;Configurações!$C$5,$C$4:$AH$4,"&lt;="&amp;$AI$3),"")</f>
        <v>47</v>
      </c>
      <c r="AJ201" s="119">
        <f ca="1">IF(Configurações!$G$20="Ligado",IF(AI201&lt;=0,"Vazio",IF(Configurações!$G$18="Semana",IF(Configurações!$G$19="Contar",ENTRADAS!AI201/Configurações!$C$18,AI201/SUM(AK201:AN201)),AI201/A201)),"")</f>
        <v>15.666666666666666</v>
      </c>
      <c r="AK201" s="70">
        <f t="shared" si="9"/>
        <v>1</v>
      </c>
      <c r="AL201" s="70">
        <f t="shared" si="10"/>
        <v>1</v>
      </c>
      <c r="AM201" s="70">
        <f t="shared" si="11"/>
        <v>1</v>
      </c>
      <c r="AN201" s="70">
        <f ca="1">IF(SUMIF($Y$4:$AH$4,"&lt;=" &amp; $AJ$3,ENTRADAS!Y201:AH201)&gt;0,1,0)</f>
        <v>0</v>
      </c>
    </row>
    <row r="202" spans="1:40" ht="21">
      <c r="A202" s="68">
        <f ca="1">COUNT(INDEX($C:$AH,ROW(),1):INDEX($C:$AH,ROW(),$AI$3+1))</f>
        <v>6</v>
      </c>
      <c r="B202" s="106" t="str">
        <f>INDEX(Cadastro_Hortfrut[[#All],[Colunas4]],MATCH(ROW()-5,Cadastro_Hortfrut[[#All],[Colunas2]],0))</f>
        <v xml:space="preserve">Chuchu </v>
      </c>
      <c r="C202" s="193"/>
      <c r="D202" s="193">
        <v>5</v>
      </c>
      <c r="E202" s="193">
        <v>5</v>
      </c>
      <c r="F202" s="193"/>
      <c r="G202" s="193">
        <v>4</v>
      </c>
      <c r="H202" s="193"/>
      <c r="I202" s="193"/>
      <c r="J202" s="193"/>
      <c r="K202" s="193"/>
      <c r="L202" s="193">
        <v>8</v>
      </c>
      <c r="M202" s="193"/>
      <c r="N202" s="193"/>
      <c r="O202" s="193"/>
      <c r="P202" s="193"/>
      <c r="Q202" s="193"/>
      <c r="R202" s="193"/>
      <c r="S202" s="193">
        <v>8</v>
      </c>
      <c r="T202" s="193"/>
      <c r="U202" s="193">
        <v>8</v>
      </c>
      <c r="V202" s="193"/>
      <c r="W202" s="193"/>
      <c r="X202" s="193"/>
      <c r="Y202" s="193"/>
      <c r="Z202" s="193"/>
      <c r="AA202" s="193"/>
      <c r="AB202" s="193"/>
      <c r="AC202" s="193"/>
      <c r="AD202" s="193"/>
      <c r="AE202" s="193"/>
      <c r="AF202" s="193"/>
      <c r="AG202" s="193"/>
      <c r="AH202" s="193"/>
      <c r="AI202" s="118">
        <f ca="1">IF(Configurações!$G$10="Ligado",SUMIFS(C202:AH202,$C$4:$AH$4,"&lt;="&amp;Configurações!$C$5,$C$4:$AH$4,"&lt;="&amp;$AI$3),"")</f>
        <v>38</v>
      </c>
      <c r="AJ202" s="119">
        <f ca="1">IF(Configurações!$G$20="Ligado",IF(AI202&lt;=0,"Vazio",IF(Configurações!$G$18="Semana",IF(Configurações!$G$19="Contar",ENTRADAS!AI202/Configurações!$C$18,AI202/SUM(AK202:AN202)),AI202/A202)),"")</f>
        <v>12.666666666666666</v>
      </c>
      <c r="AK202" s="70">
        <f t="shared" si="9"/>
        <v>1</v>
      </c>
      <c r="AL202" s="70">
        <f t="shared" si="10"/>
        <v>1</v>
      </c>
      <c r="AM202" s="70">
        <f t="shared" si="11"/>
        <v>1</v>
      </c>
      <c r="AN202" s="70">
        <f ca="1">IF(SUMIF($Y$4:$AH$4,"&lt;=" &amp; $AJ$3,ENTRADAS!Y202:AH202)&gt;0,1,0)</f>
        <v>0</v>
      </c>
    </row>
    <row r="203" spans="1:40" ht="21">
      <c r="A203" s="68">
        <f ca="1">COUNT(INDEX($C:$AH,ROW(),1):INDEX($C:$AH,ROW(),$AI$3+1))</f>
        <v>5</v>
      </c>
      <c r="B203" s="106" t="str">
        <f>INDEX(Cadastro_Hortfrut[[#All],[Colunas4]],MATCH(ROW()-5,Cadastro_Hortfrut[[#All],[Colunas2]],0))</f>
        <v>Coentro</v>
      </c>
      <c r="C203" s="193"/>
      <c r="D203" s="193">
        <v>3</v>
      </c>
      <c r="E203" s="193"/>
      <c r="F203" s="193"/>
      <c r="G203" s="193"/>
      <c r="H203" s="193"/>
      <c r="I203" s="193"/>
      <c r="J203" s="193"/>
      <c r="K203" s="193"/>
      <c r="L203" s="193">
        <v>2</v>
      </c>
      <c r="M203" s="193"/>
      <c r="N203" s="193">
        <v>2</v>
      </c>
      <c r="O203" s="193"/>
      <c r="P203" s="193"/>
      <c r="Q203" s="193"/>
      <c r="R203" s="193"/>
      <c r="S203" s="193">
        <v>6</v>
      </c>
      <c r="T203" s="193"/>
      <c r="U203" s="193"/>
      <c r="V203" s="193">
        <v>1</v>
      </c>
      <c r="W203" s="193"/>
      <c r="X203" s="193"/>
      <c r="Y203" s="193"/>
      <c r="Z203" s="193"/>
      <c r="AA203" s="193"/>
      <c r="AB203" s="193"/>
      <c r="AC203" s="193"/>
      <c r="AD203" s="193"/>
      <c r="AE203" s="193"/>
      <c r="AF203" s="193"/>
      <c r="AG203" s="193"/>
      <c r="AH203" s="193"/>
      <c r="AI203" s="118">
        <f ca="1">IF(Configurações!$G$10="Ligado",SUMIFS(C203:AH203,$C$4:$AH$4,"&lt;="&amp;Configurações!$C$5,$C$4:$AH$4,"&lt;="&amp;$AI$3),"")</f>
        <v>14</v>
      </c>
      <c r="AJ203" s="119">
        <f ca="1">IF(Configurações!$G$20="Ligado",IF(AI203&lt;=0,"Vazio",IF(Configurações!$G$18="Semana",IF(Configurações!$G$19="Contar",ENTRADAS!AI203/Configurações!$C$18,AI203/SUM(AK203:AN203)),AI203/A203)),"")</f>
        <v>4.666666666666667</v>
      </c>
      <c r="AK203" s="70">
        <f t="shared" si="9"/>
        <v>1</v>
      </c>
      <c r="AL203" s="70">
        <f t="shared" si="10"/>
        <v>1</v>
      </c>
      <c r="AM203" s="70">
        <f t="shared" si="11"/>
        <v>1</v>
      </c>
      <c r="AN203" s="70">
        <f ca="1">IF(SUMIF($Y$4:$AH$4,"&lt;=" &amp; $AJ$3,ENTRADAS!Y203:AH203)&gt;0,1,0)</f>
        <v>0</v>
      </c>
    </row>
    <row r="204" spans="1:40" ht="21">
      <c r="A204" s="68">
        <f ca="1">COUNT(INDEX($C:$AH,ROW(),1):INDEX($C:$AH,ROW(),$AI$3+1))</f>
        <v>5</v>
      </c>
      <c r="B204" s="106" t="str">
        <f>INDEX(Cadastro_Hortfrut[[#All],[Colunas4]],MATCH(ROW()-5,Cadastro_Hortfrut[[#All],[Colunas2]],0))</f>
        <v>Couve</v>
      </c>
      <c r="C204" s="193"/>
      <c r="D204" s="193"/>
      <c r="E204" s="193"/>
      <c r="F204" s="193"/>
      <c r="G204" s="193">
        <v>10</v>
      </c>
      <c r="H204" s="193"/>
      <c r="I204" s="193"/>
      <c r="J204" s="193"/>
      <c r="K204" s="193"/>
      <c r="L204" s="193">
        <v>7</v>
      </c>
      <c r="M204" s="193"/>
      <c r="N204" s="193">
        <v>8</v>
      </c>
      <c r="O204" s="193"/>
      <c r="P204" s="193"/>
      <c r="Q204" s="193"/>
      <c r="R204" s="193"/>
      <c r="S204" s="193"/>
      <c r="T204" s="193"/>
      <c r="U204" s="193">
        <v>8</v>
      </c>
      <c r="V204" s="193">
        <v>4</v>
      </c>
      <c r="W204" s="193"/>
      <c r="X204" s="193"/>
      <c r="Y204" s="193"/>
      <c r="Z204" s="193"/>
      <c r="AA204" s="193"/>
      <c r="AB204" s="193"/>
      <c r="AC204" s="193"/>
      <c r="AD204" s="193"/>
      <c r="AE204" s="193"/>
      <c r="AF204" s="193"/>
      <c r="AG204" s="193"/>
      <c r="AH204" s="193"/>
      <c r="AI204" s="118">
        <f ca="1">IF(Configurações!$G$10="Ligado",SUMIFS(C204:AH204,$C$4:$AH$4,"&lt;="&amp;Configurações!$C$5,$C$4:$AH$4,"&lt;="&amp;$AI$3),"")</f>
        <v>37</v>
      </c>
      <c r="AJ204" s="119">
        <f ca="1">IF(Configurações!$G$20="Ligado",IF(AI204&lt;=0,"Vazio",IF(Configurações!$G$18="Semana",IF(Configurações!$G$19="Contar",ENTRADAS!AI204/Configurações!$C$18,AI204/SUM(AK204:AN204)),AI204/A204)),"")</f>
        <v>12.333333333333334</v>
      </c>
      <c r="AK204" s="70">
        <f t="shared" si="9"/>
        <v>1</v>
      </c>
      <c r="AL204" s="70">
        <f t="shared" si="10"/>
        <v>1</v>
      </c>
      <c r="AM204" s="70">
        <f t="shared" si="11"/>
        <v>1</v>
      </c>
      <c r="AN204" s="70">
        <f ca="1">IF(SUMIF($Y$4:$AH$4,"&lt;=" &amp; $AJ$3,ENTRADAS!Y204:AH204)&gt;0,1,0)</f>
        <v>0</v>
      </c>
    </row>
    <row r="205" spans="1:40" ht="21">
      <c r="A205" s="68">
        <f ca="1">COUNT(INDEX($C:$AH,ROW(),1):INDEX($C:$AH,ROW(),$AI$3+1))</f>
        <v>0</v>
      </c>
      <c r="B205" s="106" t="str">
        <f>INDEX(Cadastro_Hortfrut[[#All],[Colunas4]],MATCH(ROW()-5,Cadastro_Hortfrut[[#All],[Colunas2]],0))</f>
        <v>Couve-flor</v>
      </c>
      <c r="C205" s="193"/>
      <c r="D205" s="193"/>
      <c r="E205" s="193"/>
      <c r="F205" s="193"/>
      <c r="G205" s="193"/>
      <c r="H205" s="193"/>
      <c r="I205" s="193"/>
      <c r="J205" s="193"/>
      <c r="K205" s="193"/>
      <c r="L205" s="193"/>
      <c r="M205" s="193"/>
      <c r="N205" s="193"/>
      <c r="O205" s="193"/>
      <c r="P205" s="193"/>
      <c r="Q205" s="193"/>
      <c r="R205" s="193"/>
      <c r="S205" s="193"/>
      <c r="T205" s="193"/>
      <c r="U205" s="193"/>
      <c r="V205" s="193"/>
      <c r="W205" s="193"/>
      <c r="X205" s="193"/>
      <c r="Y205" s="193"/>
      <c r="Z205" s="193"/>
      <c r="AA205" s="193"/>
      <c r="AB205" s="193"/>
      <c r="AC205" s="193"/>
      <c r="AD205" s="193"/>
      <c r="AE205" s="193"/>
      <c r="AF205" s="193"/>
      <c r="AG205" s="193"/>
      <c r="AH205" s="193"/>
      <c r="AI205" s="118">
        <f ca="1">IF(Configurações!$G$10="Ligado",SUMIFS(C205:AH205,$C$4:$AH$4,"&lt;="&amp;Configurações!$C$5,$C$4:$AH$4,"&lt;="&amp;$AI$3),"")</f>
        <v>0</v>
      </c>
      <c r="AJ205" s="119" t="str">
        <f ca="1">IF(Configurações!$G$20="Ligado",IF(AI205&lt;=0,"Vazio",IF(Configurações!$G$18="Semana",IF(Configurações!$G$19="Contar",ENTRADAS!AI205/Configurações!$C$18,AI205/SUM(AK205:AN205)),AI205/A205)),"")</f>
        <v>Vazio</v>
      </c>
      <c r="AK205" s="70">
        <f t="shared" si="9"/>
        <v>0</v>
      </c>
      <c r="AL205" s="70">
        <f t="shared" si="10"/>
        <v>0</v>
      </c>
      <c r="AM205" s="70">
        <f t="shared" si="11"/>
        <v>0</v>
      </c>
      <c r="AN205" s="70">
        <f ca="1">IF(SUMIF($Y$4:$AH$4,"&lt;=" &amp; $AJ$3,ENTRADAS!Y205:AH205)&gt;0,1,0)</f>
        <v>0</v>
      </c>
    </row>
    <row r="206" spans="1:40" ht="21">
      <c r="A206" s="68">
        <f ca="1">COUNT(INDEX($C:$AH,ROW(),1):INDEX($C:$AH,ROW(),$AI$3+1))</f>
        <v>4</v>
      </c>
      <c r="B206" s="106" t="str">
        <f>INDEX(Cadastro_Hortfrut[[#All],[Colunas4]],MATCH(ROW()-5,Cadastro_Hortfrut[[#All],[Colunas2]],0))</f>
        <v xml:space="preserve">Escarola </v>
      </c>
      <c r="C206" s="193"/>
      <c r="D206" s="193"/>
      <c r="E206" s="193">
        <v>5</v>
      </c>
      <c r="F206" s="193"/>
      <c r="G206" s="193">
        <v>3</v>
      </c>
      <c r="H206" s="193"/>
      <c r="I206" s="193"/>
      <c r="J206" s="193"/>
      <c r="K206" s="193"/>
      <c r="L206" s="193"/>
      <c r="M206" s="193"/>
      <c r="N206" s="193">
        <v>4</v>
      </c>
      <c r="O206" s="193"/>
      <c r="P206" s="193"/>
      <c r="Q206" s="193"/>
      <c r="R206" s="193"/>
      <c r="S206" s="193"/>
      <c r="T206" s="193"/>
      <c r="U206" s="193"/>
      <c r="V206" s="193">
        <v>5</v>
      </c>
      <c r="W206" s="193"/>
      <c r="X206" s="193"/>
      <c r="Y206" s="193"/>
      <c r="Z206" s="193"/>
      <c r="AA206" s="193"/>
      <c r="AB206" s="193"/>
      <c r="AC206" s="193"/>
      <c r="AD206" s="193"/>
      <c r="AE206" s="193"/>
      <c r="AF206" s="193"/>
      <c r="AG206" s="193"/>
      <c r="AH206" s="193"/>
      <c r="AI206" s="118">
        <f ca="1">IF(Configurações!$G$10="Ligado",SUMIFS(C206:AH206,$C$4:$AH$4,"&lt;="&amp;Configurações!$C$5,$C$4:$AH$4,"&lt;="&amp;$AI$3),"")</f>
        <v>17</v>
      </c>
      <c r="AJ206" s="119">
        <f ca="1">IF(Configurações!$G$20="Ligado",IF(AI206&lt;=0,"Vazio",IF(Configurações!$G$18="Semana",IF(Configurações!$G$19="Contar",ENTRADAS!AI206/Configurações!$C$18,AI206/SUM(AK206:AN206)),AI206/A206)),"")</f>
        <v>5.666666666666667</v>
      </c>
      <c r="AK206" s="70">
        <f t="shared" si="9"/>
        <v>1</v>
      </c>
      <c r="AL206" s="70">
        <f t="shared" si="10"/>
        <v>1</v>
      </c>
      <c r="AM206" s="70">
        <f t="shared" si="11"/>
        <v>1</v>
      </c>
      <c r="AN206" s="70">
        <f ca="1">IF(SUMIF($Y$4:$AH$4,"&lt;=" &amp; $AJ$3,ENTRADAS!Y206:AH206)&gt;0,1,0)</f>
        <v>0</v>
      </c>
    </row>
    <row r="207" spans="1:40" ht="21">
      <c r="A207" s="68">
        <f ca="1">COUNT(INDEX($C:$AH,ROW(),1):INDEX($C:$AH,ROW(),$AI$3+1))</f>
        <v>0</v>
      </c>
      <c r="B207" s="106" t="str">
        <f>INDEX(Cadastro_Hortfrut[[#All],[Colunas4]],MATCH(ROW()-5,Cadastro_Hortfrut[[#All],[Colunas2]],0))</f>
        <v>Goiaba</v>
      </c>
      <c r="C207" s="193"/>
      <c r="D207" s="193"/>
      <c r="E207" s="193"/>
      <c r="F207" s="193"/>
      <c r="G207" s="193"/>
      <c r="H207" s="193"/>
      <c r="I207" s="193"/>
      <c r="J207" s="193"/>
      <c r="K207" s="193"/>
      <c r="L207" s="193"/>
      <c r="M207" s="193"/>
      <c r="N207" s="193"/>
      <c r="O207" s="193"/>
      <c r="P207" s="193"/>
      <c r="Q207" s="193"/>
      <c r="R207" s="193"/>
      <c r="S207" s="193"/>
      <c r="T207" s="193"/>
      <c r="U207" s="193"/>
      <c r="V207" s="193"/>
      <c r="W207" s="193"/>
      <c r="X207" s="193"/>
      <c r="Y207" s="193"/>
      <c r="Z207" s="193"/>
      <c r="AA207" s="193"/>
      <c r="AB207" s="193"/>
      <c r="AC207" s="193"/>
      <c r="AD207" s="193"/>
      <c r="AE207" s="193"/>
      <c r="AF207" s="193"/>
      <c r="AG207" s="193"/>
      <c r="AH207" s="193"/>
      <c r="AI207" s="118">
        <f ca="1">IF(Configurações!$G$10="Ligado",SUMIFS(C207:AH207,$C$4:$AH$4,"&lt;="&amp;Configurações!$C$5,$C$4:$AH$4,"&lt;="&amp;$AI$3),"")</f>
        <v>0</v>
      </c>
      <c r="AJ207" s="119" t="str">
        <f ca="1">IF(Configurações!$G$20="Ligado",IF(AI207&lt;=0,"Vazio",IF(Configurações!$G$18="Semana",IF(Configurações!$G$19="Contar",ENTRADAS!AI207/Configurações!$C$18,AI207/SUM(AK207:AN207)),AI207/A207)),"")</f>
        <v>Vazio</v>
      </c>
      <c r="AK207" s="70">
        <f t="shared" si="9"/>
        <v>0</v>
      </c>
      <c r="AL207" s="70">
        <f t="shared" si="10"/>
        <v>0</v>
      </c>
      <c r="AM207" s="70">
        <f t="shared" si="11"/>
        <v>0</v>
      </c>
      <c r="AN207" s="70">
        <f ca="1">IF(SUMIF($Y$4:$AH$4,"&lt;=" &amp; $AJ$3,ENTRADAS!Y207:AH207)&gt;0,1,0)</f>
        <v>0</v>
      </c>
    </row>
    <row r="208" spans="1:40" ht="21">
      <c r="A208" s="68">
        <f ca="1">COUNT(INDEX($C:$AH,ROW(),1):INDEX($C:$AH,ROW(),$AI$3+1))</f>
        <v>2</v>
      </c>
      <c r="B208" s="106" t="str">
        <f>INDEX(Cadastro_Hortfrut[[#All],[Colunas4]],MATCH(ROW()-5,Cadastro_Hortfrut[[#All],[Colunas2]],0))</f>
        <v>Hortelã</v>
      </c>
      <c r="C208" s="193"/>
      <c r="D208" s="193"/>
      <c r="E208" s="193"/>
      <c r="F208" s="193"/>
      <c r="G208" s="193"/>
      <c r="H208" s="193"/>
      <c r="I208" s="193"/>
      <c r="J208" s="193"/>
      <c r="K208" s="193"/>
      <c r="L208" s="193">
        <v>1</v>
      </c>
      <c r="M208" s="193"/>
      <c r="N208" s="193">
        <v>1</v>
      </c>
      <c r="O208" s="193"/>
      <c r="P208" s="193"/>
      <c r="Q208" s="193"/>
      <c r="R208" s="193"/>
      <c r="S208" s="193"/>
      <c r="T208" s="193"/>
      <c r="U208" s="193"/>
      <c r="V208" s="193"/>
      <c r="W208" s="193"/>
      <c r="X208" s="193"/>
      <c r="Y208" s="193"/>
      <c r="Z208" s="193"/>
      <c r="AA208" s="193"/>
      <c r="AB208" s="193"/>
      <c r="AC208" s="193"/>
      <c r="AD208" s="193"/>
      <c r="AE208" s="193"/>
      <c r="AF208" s="193"/>
      <c r="AG208" s="193"/>
      <c r="AH208" s="193"/>
      <c r="AI208" s="118">
        <f ca="1">IF(Configurações!$G$10="Ligado",SUMIFS(C208:AH208,$C$4:$AH$4,"&lt;="&amp;Configurações!$C$5,$C$4:$AH$4,"&lt;="&amp;$AI$3),"")</f>
        <v>2</v>
      </c>
      <c r="AJ208" s="119">
        <f ca="1">IF(Configurações!$G$20="Ligado",IF(AI208&lt;=0,"Vazio",IF(Configurações!$G$18="Semana",IF(Configurações!$G$19="Contar",ENTRADAS!AI208/Configurações!$C$18,AI208/SUM(AK208:AN208)),AI208/A208)),"")</f>
        <v>2</v>
      </c>
      <c r="AK208" s="70">
        <f t="shared" si="9"/>
        <v>0</v>
      </c>
      <c r="AL208" s="70">
        <f t="shared" si="10"/>
        <v>1</v>
      </c>
      <c r="AM208" s="70">
        <f t="shared" si="11"/>
        <v>0</v>
      </c>
      <c r="AN208" s="70">
        <f ca="1">IF(SUMIF($Y$4:$AH$4,"&lt;=" &amp; $AJ$3,ENTRADAS!Y208:AH208)&gt;0,1,0)</f>
        <v>0</v>
      </c>
    </row>
    <row r="209" spans="1:104" ht="21">
      <c r="A209" s="68">
        <f ca="1">COUNT(INDEX($C:$AH,ROW(),1):INDEX($C:$AH,ROW(),$AI$3+1))</f>
        <v>5</v>
      </c>
      <c r="B209" s="106" t="str">
        <f>INDEX(Cadastro_Hortfrut[[#All],[Colunas4]],MATCH(ROW()-5,Cadastro_Hortfrut[[#All],[Colunas2]],0))</f>
        <v xml:space="preserve">Laranja </v>
      </c>
      <c r="C209" s="193"/>
      <c r="D209" s="193">
        <v>8</v>
      </c>
      <c r="E209" s="193"/>
      <c r="F209" s="193"/>
      <c r="G209" s="193">
        <v>6</v>
      </c>
      <c r="H209" s="193"/>
      <c r="I209" s="193"/>
      <c r="J209" s="193"/>
      <c r="K209" s="193"/>
      <c r="L209" s="193">
        <v>10</v>
      </c>
      <c r="M209" s="193"/>
      <c r="N209" s="193">
        <v>10</v>
      </c>
      <c r="O209" s="193"/>
      <c r="P209" s="193"/>
      <c r="Q209" s="193"/>
      <c r="R209" s="193"/>
      <c r="S209" s="193"/>
      <c r="T209" s="193"/>
      <c r="U209" s="193"/>
      <c r="V209" s="193">
        <v>15</v>
      </c>
      <c r="W209" s="193"/>
      <c r="X209" s="193"/>
      <c r="Y209" s="193"/>
      <c r="Z209" s="193"/>
      <c r="AA209" s="193"/>
      <c r="AB209" s="193"/>
      <c r="AC209" s="193"/>
      <c r="AD209" s="193"/>
      <c r="AE209" s="193"/>
      <c r="AF209" s="193"/>
      <c r="AG209" s="193"/>
      <c r="AH209" s="193"/>
      <c r="AI209" s="118">
        <f ca="1">IF(Configurações!$G$10="Ligado",SUMIFS(C209:AH209,$C$4:$AH$4,"&lt;="&amp;Configurações!$C$5,$C$4:$AH$4,"&lt;="&amp;$AI$3),"")</f>
        <v>49</v>
      </c>
      <c r="AJ209" s="119">
        <f ca="1">IF(Configurações!$G$20="Ligado",IF(AI209&lt;=0,"Vazio",IF(Configurações!$G$18="Semana",IF(Configurações!$G$19="Contar",ENTRADAS!AI209/Configurações!$C$18,AI209/SUM(AK209:AN209)),AI209/A209)),"")</f>
        <v>16.333333333333332</v>
      </c>
      <c r="AK209" s="70">
        <f t="shared" si="9"/>
        <v>1</v>
      </c>
      <c r="AL209" s="70">
        <f t="shared" si="10"/>
        <v>1</v>
      </c>
      <c r="AM209" s="70">
        <f t="shared" si="11"/>
        <v>1</v>
      </c>
      <c r="AN209" s="70">
        <f ca="1">IF(SUMIF($Y$4:$AH$4,"&lt;=" &amp; $AJ$3,ENTRADAS!Y209:AH209)&gt;0,1,0)</f>
        <v>0</v>
      </c>
    </row>
    <row r="210" spans="1:104" ht="21">
      <c r="A210" s="68">
        <f ca="1">COUNT(INDEX($C:$AH,ROW(),1):INDEX($C:$AH,ROW(),$AI$3+1))</f>
        <v>3</v>
      </c>
      <c r="B210" s="106" t="str">
        <f>INDEX(Cadastro_Hortfrut[[#All],[Colunas4]],MATCH(ROW()-5,Cadastro_Hortfrut[[#All],[Colunas2]],0))</f>
        <v>Limão</v>
      </c>
      <c r="C210" s="193"/>
      <c r="D210" s="193">
        <v>3</v>
      </c>
      <c r="E210" s="193"/>
      <c r="F210" s="193"/>
      <c r="G210" s="193"/>
      <c r="H210" s="193"/>
      <c r="I210" s="193"/>
      <c r="J210" s="193"/>
      <c r="K210" s="193"/>
      <c r="L210" s="193">
        <v>18</v>
      </c>
      <c r="M210" s="193"/>
      <c r="N210" s="193"/>
      <c r="O210" s="193"/>
      <c r="P210" s="193"/>
      <c r="Q210" s="193"/>
      <c r="R210" s="193"/>
      <c r="S210" s="193"/>
      <c r="T210" s="193"/>
      <c r="U210" s="193">
        <v>12</v>
      </c>
      <c r="V210" s="193"/>
      <c r="W210" s="193"/>
      <c r="X210" s="193"/>
      <c r="Y210" s="193"/>
      <c r="Z210" s="193"/>
      <c r="AA210" s="193"/>
      <c r="AB210" s="193"/>
      <c r="AC210" s="193"/>
      <c r="AD210" s="193"/>
      <c r="AE210" s="193"/>
      <c r="AF210" s="193"/>
      <c r="AG210" s="193"/>
      <c r="AH210" s="193"/>
      <c r="AI210" s="118">
        <f ca="1">IF(Configurações!$G$10="Ligado",SUMIFS(C210:AH210,$C$4:$AH$4,"&lt;="&amp;Configurações!$C$5,$C$4:$AH$4,"&lt;="&amp;$AI$3),"")</f>
        <v>33</v>
      </c>
      <c r="AJ210" s="119">
        <f ca="1">IF(Configurações!$G$20="Ligado",IF(AI210&lt;=0,"Vazio",IF(Configurações!$G$18="Semana",IF(Configurações!$G$19="Contar",ENTRADAS!AI210/Configurações!$C$18,AI210/SUM(AK210:AN210)),AI210/A210)),"")</f>
        <v>11</v>
      </c>
      <c r="AK210" s="70">
        <f t="shared" si="9"/>
        <v>1</v>
      </c>
      <c r="AL210" s="70">
        <f t="shared" si="10"/>
        <v>1</v>
      </c>
      <c r="AM210" s="70">
        <f t="shared" si="11"/>
        <v>1</v>
      </c>
      <c r="AN210" s="70">
        <f ca="1">IF(SUMIF($Y$4:$AH$4,"&lt;=" &amp; $AJ$3,ENTRADAS!Y210:AH210)&gt;0,1,0)</f>
        <v>0</v>
      </c>
    </row>
    <row r="211" spans="1:104" ht="21">
      <c r="A211" s="68">
        <f ca="1">COUNT(INDEX($C:$AH,ROW(),1):INDEX($C:$AH,ROW(),$AI$3+1))</f>
        <v>2</v>
      </c>
      <c r="B211" s="106" t="str">
        <f>INDEX(Cadastro_Hortfrut[[#All],[Colunas4]],MATCH(ROW()-5,Cadastro_Hortfrut[[#All],[Colunas2]],0))</f>
        <v>Louro maço</v>
      </c>
      <c r="C211" s="193"/>
      <c r="D211" s="193"/>
      <c r="E211" s="193"/>
      <c r="F211" s="193"/>
      <c r="G211" s="193"/>
      <c r="H211" s="193"/>
      <c r="I211" s="193"/>
      <c r="J211" s="193"/>
      <c r="K211" s="193"/>
      <c r="L211" s="193">
        <v>1</v>
      </c>
      <c r="M211" s="193"/>
      <c r="N211" s="193">
        <v>1</v>
      </c>
      <c r="O211" s="193"/>
      <c r="P211" s="193"/>
      <c r="Q211" s="193"/>
      <c r="R211" s="193"/>
      <c r="S211" s="193"/>
      <c r="T211" s="193"/>
      <c r="U211" s="193"/>
      <c r="V211" s="193"/>
      <c r="W211" s="193"/>
      <c r="X211" s="193"/>
      <c r="Y211" s="193"/>
      <c r="Z211" s="193"/>
      <c r="AA211" s="193"/>
      <c r="AB211" s="193"/>
      <c r="AC211" s="193"/>
      <c r="AD211" s="193"/>
      <c r="AE211" s="193"/>
      <c r="AF211" s="193"/>
      <c r="AG211" s="193"/>
      <c r="AH211" s="193"/>
      <c r="AI211" s="118">
        <f ca="1">IF(Configurações!$G$10="Ligado",SUMIFS(C211:AH211,$C$4:$AH$4,"&lt;="&amp;Configurações!$C$5,$C$4:$AH$4,"&lt;="&amp;$AI$3),"")</f>
        <v>2</v>
      </c>
      <c r="AJ211" s="119">
        <f ca="1">IF(Configurações!$G$20="Ligado",IF(AI211&lt;=0,"Vazio",IF(Configurações!$G$18="Semana",IF(Configurações!$G$19="Contar",ENTRADAS!AI211/Configurações!$C$18,AI211/SUM(AK211:AN211)),AI211/A211)),"")</f>
        <v>2</v>
      </c>
      <c r="AK211" s="70">
        <f t="shared" si="9"/>
        <v>0</v>
      </c>
      <c r="AL211" s="70">
        <f t="shared" si="10"/>
        <v>1</v>
      </c>
      <c r="AM211" s="70">
        <f t="shared" si="11"/>
        <v>0</v>
      </c>
      <c r="AN211" s="70">
        <f ca="1">IF(SUMIF($Y$4:$AH$4,"&lt;=" &amp; $AJ$3,ENTRADAS!Y211:AH211)&gt;0,1,0)</f>
        <v>0</v>
      </c>
    </row>
    <row r="212" spans="1:104" ht="21">
      <c r="A212" s="68">
        <f ca="1">COUNT(INDEX($C:$AH,ROW(),1):INDEX($C:$AH,ROW(),$AI$3+1))</f>
        <v>4</v>
      </c>
      <c r="B212" s="106" t="str">
        <f>INDEX(Cadastro_Hortfrut[[#All],[Colunas4]],MATCH(ROW()-5,Cadastro_Hortfrut[[#All],[Colunas2]],0))</f>
        <v xml:space="preserve">Maçã </v>
      </c>
      <c r="C212" s="193"/>
      <c r="D212" s="193">
        <v>4</v>
      </c>
      <c r="E212" s="193">
        <v>6</v>
      </c>
      <c r="F212" s="193"/>
      <c r="G212" s="193"/>
      <c r="H212" s="193"/>
      <c r="I212" s="193"/>
      <c r="J212" s="193"/>
      <c r="K212" s="193"/>
      <c r="L212" s="193"/>
      <c r="M212" s="193"/>
      <c r="N212" s="193"/>
      <c r="O212" s="193"/>
      <c r="P212" s="193"/>
      <c r="Q212" s="193"/>
      <c r="R212" s="193"/>
      <c r="S212" s="193">
        <v>6</v>
      </c>
      <c r="T212" s="193"/>
      <c r="U212" s="193"/>
      <c r="V212" s="193">
        <v>2</v>
      </c>
      <c r="W212" s="193"/>
      <c r="X212" s="193"/>
      <c r="Y212" s="193"/>
      <c r="Z212" s="193"/>
      <c r="AA212" s="193"/>
      <c r="AB212" s="193"/>
      <c r="AC212" s="193"/>
      <c r="AD212" s="193"/>
      <c r="AE212" s="193"/>
      <c r="AF212" s="193"/>
      <c r="AG212" s="193"/>
      <c r="AH212" s="193"/>
      <c r="AI212" s="118">
        <f ca="1">IF(Configurações!$G$10="Ligado",SUMIFS(C212:AH212,$C$4:$AH$4,"&lt;="&amp;Configurações!$C$5,$C$4:$AH$4,"&lt;="&amp;$AI$3),"")</f>
        <v>18</v>
      </c>
      <c r="AJ212" s="119">
        <f ca="1">IF(Configurações!$G$20="Ligado",IF(AI212&lt;=0,"Vazio",IF(Configurações!$G$18="Semana",IF(Configurações!$G$19="Contar",ENTRADAS!AI212/Configurações!$C$18,AI212/SUM(AK212:AN212)),AI212/A212)),"")</f>
        <v>9</v>
      </c>
      <c r="AK212" s="70">
        <f t="shared" si="9"/>
        <v>1</v>
      </c>
      <c r="AL212" s="70">
        <f t="shared" si="10"/>
        <v>0</v>
      </c>
      <c r="AM212" s="70">
        <f t="shared" si="11"/>
        <v>1</v>
      </c>
      <c r="AN212" s="70">
        <f ca="1">IF(SUMIF($Y$4:$AH$4,"&lt;=" &amp; $AJ$3,ENTRADAS!Y212:AH212)&gt;0,1,0)</f>
        <v>0</v>
      </c>
    </row>
    <row r="213" spans="1:104" ht="21">
      <c r="A213" s="68">
        <f ca="1">COUNT(INDEX($C:$AH,ROW(),1):INDEX($C:$AH,ROW(),$AI$3+1))</f>
        <v>0</v>
      </c>
      <c r="B213" s="106" t="str">
        <f>INDEX(Cadastro_Hortfrut[[#All],[Colunas4]],MATCH(ROW()-5,Cadastro_Hortfrut[[#All],[Colunas2]],0))</f>
        <v>Mamão Formosa</v>
      </c>
      <c r="C213" s="193"/>
      <c r="D213" s="193"/>
      <c r="E213" s="193"/>
      <c r="F213" s="193"/>
      <c r="G213" s="193"/>
      <c r="H213" s="193"/>
      <c r="I213" s="193"/>
      <c r="J213" s="193"/>
      <c r="K213" s="193"/>
      <c r="L213" s="193"/>
      <c r="M213" s="193"/>
      <c r="N213" s="193"/>
      <c r="O213" s="193"/>
      <c r="P213" s="193"/>
      <c r="Q213" s="193"/>
      <c r="R213" s="193"/>
      <c r="S213" s="193"/>
      <c r="T213" s="193"/>
      <c r="U213" s="193"/>
      <c r="V213" s="193"/>
      <c r="W213" s="193"/>
      <c r="X213" s="193"/>
      <c r="Y213" s="193"/>
      <c r="Z213" s="193"/>
      <c r="AA213" s="193"/>
      <c r="AB213" s="193"/>
      <c r="AC213" s="193"/>
      <c r="AD213" s="193"/>
      <c r="AE213" s="193"/>
      <c r="AF213" s="193"/>
      <c r="AG213" s="193"/>
      <c r="AH213" s="193"/>
      <c r="AI213" s="118">
        <f ca="1">IF(Configurações!$G$10="Ligado",SUMIFS(C213:AH213,$C$4:$AH$4,"&lt;="&amp;Configurações!$C$5,$C$4:$AH$4,"&lt;="&amp;$AI$3),"")</f>
        <v>0</v>
      </c>
      <c r="AJ213" s="119" t="str">
        <f ca="1">IF(Configurações!$G$20="Ligado",IF(AI213&lt;=0,"Vazio",IF(Configurações!$G$18="Semana",IF(Configurações!$G$19="Contar",ENTRADAS!AI213/Configurações!$C$18,AI213/SUM(AK213:AN213)),AI213/A213)),"")</f>
        <v>Vazio</v>
      </c>
      <c r="AK213" s="70">
        <f t="shared" si="9"/>
        <v>0</v>
      </c>
      <c r="AL213" s="70">
        <f t="shared" si="10"/>
        <v>0</v>
      </c>
      <c r="AM213" s="70">
        <f t="shared" si="11"/>
        <v>0</v>
      </c>
      <c r="AN213" s="70">
        <f ca="1">IF(SUMIF($Y$4:$AH$4,"&lt;=" &amp; $AJ$3,ENTRADAS!Y213:AH213)&gt;0,1,0)</f>
        <v>0</v>
      </c>
    </row>
    <row r="214" spans="1:104" ht="21">
      <c r="A214" s="68">
        <f ca="1">COUNT(INDEX($C:$AH,ROW(),1):INDEX($C:$AH,ROW(),$AI$3+1))</f>
        <v>4</v>
      </c>
      <c r="B214" s="106" t="str">
        <f>INDEX(Cadastro_Hortfrut[[#All],[Colunas4]],MATCH(ROW()-5,Cadastro_Hortfrut[[#All],[Colunas2]],0))</f>
        <v>Mamão Papaya</v>
      </c>
      <c r="C214" s="193"/>
      <c r="D214" s="193"/>
      <c r="E214" s="193">
        <v>24</v>
      </c>
      <c r="F214" s="193"/>
      <c r="G214" s="193">
        <v>18</v>
      </c>
      <c r="H214" s="193"/>
      <c r="I214" s="193"/>
      <c r="J214" s="193"/>
      <c r="K214" s="193"/>
      <c r="L214" s="193">
        <v>18</v>
      </c>
      <c r="M214" s="193"/>
      <c r="N214" s="193"/>
      <c r="O214" s="193"/>
      <c r="P214" s="193"/>
      <c r="Q214" s="193"/>
      <c r="R214" s="193"/>
      <c r="S214" s="193">
        <v>18</v>
      </c>
      <c r="T214" s="193"/>
      <c r="U214" s="193"/>
      <c r="V214" s="193"/>
      <c r="W214" s="193"/>
      <c r="X214" s="193"/>
      <c r="Y214" s="193"/>
      <c r="Z214" s="193"/>
      <c r="AA214" s="193"/>
      <c r="AB214" s="193"/>
      <c r="AC214" s="193"/>
      <c r="AD214" s="193"/>
      <c r="AE214" s="193"/>
      <c r="AF214" s="193"/>
      <c r="AG214" s="193"/>
      <c r="AH214" s="193"/>
      <c r="AI214" s="118">
        <f ca="1">IF(Configurações!$G$10="Ligado",SUMIFS(C214:AH214,$C$4:$AH$4,"&lt;="&amp;Configurações!$C$5,$C$4:$AH$4,"&lt;="&amp;$AI$3),"")</f>
        <v>78</v>
      </c>
      <c r="AJ214" s="119">
        <f ca="1">IF(Configurações!$G$20="Ligado",IF(AI214&lt;=0,"Vazio",IF(Configurações!$G$18="Semana",IF(Configurações!$G$19="Contar",ENTRADAS!AI214/Configurações!$C$18,AI214/SUM(AK214:AN214)),AI214/A214)),"")</f>
        <v>26</v>
      </c>
      <c r="AK214" s="70">
        <f t="shared" si="9"/>
        <v>1</v>
      </c>
      <c r="AL214" s="70">
        <f t="shared" si="10"/>
        <v>1</v>
      </c>
      <c r="AM214" s="70">
        <f t="shared" si="11"/>
        <v>1</v>
      </c>
      <c r="AN214" s="70">
        <f ca="1">IF(SUMIF($Y$4:$AH$4,"&lt;=" &amp; $AJ$3,ENTRADAS!Y214:AH214)&gt;0,1,0)</f>
        <v>0</v>
      </c>
    </row>
    <row r="215" spans="1:104" ht="21">
      <c r="A215" s="68">
        <f ca="1">COUNT(INDEX($C:$AH,ROW(),1):INDEX($C:$AH,ROW(),$AI$3+1))</f>
        <v>0</v>
      </c>
      <c r="B215" s="106" t="str">
        <f>INDEX(Cadastro_Hortfrut[[#All],[Colunas4]],MATCH(ROW()-5,Cadastro_Hortfrut[[#All],[Colunas2]],0))</f>
        <v xml:space="preserve">Mandioca </v>
      </c>
      <c r="C215" s="193"/>
      <c r="D215" s="193"/>
      <c r="E215" s="193"/>
      <c r="F215" s="193"/>
      <c r="G215" s="193"/>
      <c r="H215" s="193"/>
      <c r="I215" s="193"/>
      <c r="J215" s="193"/>
      <c r="K215" s="193"/>
      <c r="L215" s="193"/>
      <c r="M215" s="193"/>
      <c r="N215" s="193"/>
      <c r="O215" s="193"/>
      <c r="P215" s="193"/>
      <c r="Q215" s="193"/>
      <c r="R215" s="193"/>
      <c r="S215" s="193"/>
      <c r="T215" s="193"/>
      <c r="U215" s="193"/>
      <c r="V215" s="193"/>
      <c r="W215" s="193"/>
      <c r="X215" s="193"/>
      <c r="Y215" s="193"/>
      <c r="Z215" s="193"/>
      <c r="AA215" s="193"/>
      <c r="AB215" s="193"/>
      <c r="AC215" s="193"/>
      <c r="AD215" s="193"/>
      <c r="AE215" s="193"/>
      <c r="AF215" s="193"/>
      <c r="AG215" s="193"/>
      <c r="AH215" s="193"/>
      <c r="AI215" s="118">
        <f ca="1">IF(Configurações!$G$10="Ligado",SUMIFS(C215:AH215,$C$4:$AH$4,"&lt;="&amp;Configurações!$C$5,$C$4:$AH$4,"&lt;="&amp;$AI$3),"")</f>
        <v>0</v>
      </c>
      <c r="AJ215" s="119" t="str">
        <f ca="1">IF(Configurações!$G$20="Ligado",IF(AI215&lt;=0,"Vazio",IF(Configurações!$G$18="Semana",IF(Configurações!$G$19="Contar",ENTRADAS!AI215/Configurações!$C$18,AI215/SUM(AK215:AN215)),AI215/A215)),"")</f>
        <v>Vazio</v>
      </c>
      <c r="AK215" s="70">
        <f t="shared" si="9"/>
        <v>0</v>
      </c>
      <c r="AL215" s="70">
        <f t="shared" si="10"/>
        <v>0</v>
      </c>
      <c r="AM215" s="70">
        <f t="shared" si="11"/>
        <v>0</v>
      </c>
      <c r="AN215" s="70">
        <f ca="1">IF(SUMIF($Y$4:$AH$4,"&lt;=" &amp; $AJ$3,ENTRADAS!Y215:AH215)&gt;0,1,0)</f>
        <v>0</v>
      </c>
    </row>
    <row r="216" spans="1:104" ht="21">
      <c r="A216" s="68">
        <f ca="1">COUNT(INDEX($C:$AH,ROW(),1):INDEX($C:$AH,ROW(),$AI$3+1))</f>
        <v>0</v>
      </c>
      <c r="B216" s="106" t="str">
        <f>INDEX(Cadastro_Hortfrut[[#All],[Colunas4]],MATCH(ROW()-5,Cadastro_Hortfrut[[#All],[Colunas2]],0))</f>
        <v>Mandioquinha</v>
      </c>
      <c r="C216" s="193"/>
      <c r="D216" s="193"/>
      <c r="E216" s="193"/>
      <c r="F216" s="193"/>
      <c r="G216" s="193"/>
      <c r="H216" s="193"/>
      <c r="I216" s="193"/>
      <c r="J216" s="193"/>
      <c r="K216" s="193"/>
      <c r="L216" s="193"/>
      <c r="M216" s="193"/>
      <c r="N216" s="193"/>
      <c r="O216" s="193"/>
      <c r="P216" s="193"/>
      <c r="Q216" s="193"/>
      <c r="R216" s="193"/>
      <c r="S216" s="193"/>
      <c r="T216" s="193"/>
      <c r="U216" s="193"/>
      <c r="V216" s="193"/>
      <c r="W216" s="193"/>
      <c r="X216" s="193"/>
      <c r="Y216" s="193"/>
      <c r="Z216" s="193"/>
      <c r="AA216" s="193"/>
      <c r="AB216" s="193"/>
      <c r="AC216" s="193"/>
      <c r="AD216" s="193"/>
      <c r="AE216" s="193"/>
      <c r="AF216" s="193"/>
      <c r="AG216" s="193"/>
      <c r="AH216" s="193"/>
      <c r="AI216" s="118">
        <f ca="1">IF(Configurações!$G$10="Ligado",SUMIFS(C216:AH216,$C$4:$AH$4,"&lt;="&amp;Configurações!$C$5,$C$4:$AH$4,"&lt;="&amp;$AI$3),"")</f>
        <v>0</v>
      </c>
      <c r="AJ216" s="119" t="str">
        <f ca="1">IF(Configurações!$G$20="Ligado",IF(AI216&lt;=0,"Vazio",IF(Configurações!$G$18="Semana",IF(Configurações!$G$19="Contar",ENTRADAS!AI216/Configurações!$C$18,AI216/SUM(AK216:AN216)),AI216/A216)),"")</f>
        <v>Vazio</v>
      </c>
      <c r="AK216" s="70">
        <f t="shared" si="9"/>
        <v>0</v>
      </c>
      <c r="AL216" s="70">
        <f t="shared" si="10"/>
        <v>0</v>
      </c>
      <c r="AM216" s="70">
        <f t="shared" si="11"/>
        <v>0</v>
      </c>
      <c r="AN216" s="70">
        <f ca="1">IF(SUMIF($Y$4:$AH$4,"&lt;=" &amp; $AJ$3,ENTRADAS!Y216:AH216)&gt;0,1,0)</f>
        <v>0</v>
      </c>
    </row>
    <row r="217" spans="1:104" ht="21">
      <c r="A217" s="68">
        <f ca="1">COUNT(INDEX($C:$AH,ROW(),1):INDEX($C:$AH,ROW(),$AI$3+1))</f>
        <v>3</v>
      </c>
      <c r="B217" s="106" t="str">
        <f>INDEX(Cadastro_Hortfrut[[#All],[Colunas4]],MATCH(ROW()-5,Cadastro_Hortfrut[[#All],[Colunas2]],0))</f>
        <v xml:space="preserve">Manga </v>
      </c>
      <c r="C217" s="193"/>
      <c r="D217" s="193"/>
      <c r="E217" s="193">
        <v>10</v>
      </c>
      <c r="F217" s="193"/>
      <c r="G217" s="193"/>
      <c r="H217" s="193"/>
      <c r="I217" s="193"/>
      <c r="J217" s="193"/>
      <c r="K217" s="193"/>
      <c r="L217" s="193">
        <v>10</v>
      </c>
      <c r="M217" s="193"/>
      <c r="N217" s="193"/>
      <c r="O217" s="193"/>
      <c r="P217" s="193"/>
      <c r="Q217" s="193"/>
      <c r="R217" s="193"/>
      <c r="S217" s="193">
        <v>10</v>
      </c>
      <c r="T217" s="193"/>
      <c r="U217" s="193"/>
      <c r="V217" s="193"/>
      <c r="W217" s="193"/>
      <c r="X217" s="193"/>
      <c r="Y217" s="193"/>
      <c r="Z217" s="193"/>
      <c r="AA217" s="193"/>
      <c r="AB217" s="193"/>
      <c r="AC217" s="193"/>
      <c r="AD217" s="193"/>
      <c r="AE217" s="193"/>
      <c r="AF217" s="193"/>
      <c r="AG217" s="193"/>
      <c r="AH217" s="193"/>
      <c r="AI217" s="118">
        <f ca="1">IF(Configurações!$G$10="Ligado",SUMIFS(C217:AH217,$C$4:$AH$4,"&lt;="&amp;Configurações!$C$5,$C$4:$AH$4,"&lt;="&amp;$AI$3),"")</f>
        <v>30</v>
      </c>
      <c r="AJ217" s="119">
        <f ca="1">IF(Configurações!$G$20="Ligado",IF(AI217&lt;=0,"Vazio",IF(Configurações!$G$18="Semana",IF(Configurações!$G$19="Contar",ENTRADAS!AI217/Configurações!$C$18,AI217/SUM(AK217:AN217)),AI217/A217)),"")</f>
        <v>10</v>
      </c>
      <c r="AK217" s="70">
        <f t="shared" si="9"/>
        <v>1</v>
      </c>
      <c r="AL217" s="70">
        <f t="shared" si="10"/>
        <v>1</v>
      </c>
      <c r="AM217" s="70">
        <f t="shared" si="11"/>
        <v>1</v>
      </c>
      <c r="AN217" s="70">
        <f ca="1">IF(SUMIF($Y$4:$AH$4,"&lt;=" &amp; $AJ$3,ENTRADAS!Y217:AH217)&gt;0,1,0)</f>
        <v>0</v>
      </c>
    </row>
    <row r="218" spans="1:104" ht="21">
      <c r="A218" s="68">
        <f ca="1">COUNT(INDEX($C:$AH,ROW(),1):INDEX($C:$AH,ROW(),$AI$3+1))</f>
        <v>0</v>
      </c>
      <c r="B218" s="106" t="str">
        <f>INDEX(Cadastro_Hortfrut[[#All],[Colunas4]],MATCH(ROW()-5,Cadastro_Hortfrut[[#All],[Colunas2]],0))</f>
        <v>Maracujá</v>
      </c>
      <c r="C218" s="193"/>
      <c r="D218" s="193"/>
      <c r="E218" s="193"/>
      <c r="F218" s="193"/>
      <c r="G218" s="193"/>
      <c r="H218" s="193"/>
      <c r="I218" s="193"/>
      <c r="J218" s="193"/>
      <c r="K218" s="193"/>
      <c r="L218" s="193"/>
      <c r="M218" s="193"/>
      <c r="N218" s="193"/>
      <c r="O218" s="193"/>
      <c r="P218" s="193"/>
      <c r="Q218" s="193"/>
      <c r="R218" s="193"/>
      <c r="S218" s="193"/>
      <c r="T218" s="193"/>
      <c r="U218" s="193"/>
      <c r="V218" s="193"/>
      <c r="W218" s="193"/>
      <c r="X218" s="193"/>
      <c r="Y218" s="193"/>
      <c r="Z218" s="193"/>
      <c r="AA218" s="193"/>
      <c r="AB218" s="193"/>
      <c r="AC218" s="193"/>
      <c r="AD218" s="193"/>
      <c r="AE218" s="193"/>
      <c r="AF218" s="193"/>
      <c r="AG218" s="193"/>
      <c r="AH218" s="193"/>
      <c r="AI218" s="118">
        <f ca="1">IF(Configurações!$G$10="Ligado",SUMIFS(C218:AH218,$C$4:$AH$4,"&lt;="&amp;Configurações!$C$5,$C$4:$AH$4,"&lt;="&amp;$AI$3),"")</f>
        <v>0</v>
      </c>
      <c r="AJ218" s="119" t="str">
        <f ca="1">IF(Configurações!$G$20="Ligado",IF(AI218&lt;=0,"Vazio",IF(Configurações!$G$18="Semana",IF(Configurações!$G$19="Contar",ENTRADAS!AI218/Configurações!$C$18,AI218/SUM(AK218:AN218)),AI218/A218)),"")</f>
        <v>Vazio</v>
      </c>
      <c r="AK218" s="70">
        <f t="shared" si="9"/>
        <v>0</v>
      </c>
      <c r="AL218" s="70">
        <f t="shared" si="10"/>
        <v>0</v>
      </c>
      <c r="AM218" s="70">
        <f t="shared" si="11"/>
        <v>0</v>
      </c>
      <c r="AN218" s="70">
        <f ca="1">IF(SUMIF($Y$4:$AH$4,"&lt;=" &amp; $AJ$3,ENTRADAS!Y218:AH218)&gt;0,1,0)</f>
        <v>0</v>
      </c>
    </row>
    <row r="219" spans="1:104" ht="21">
      <c r="A219" s="68">
        <f ca="1">COUNT(INDEX($C:$AH,ROW(),1):INDEX($C:$AH,ROW(),$AI$3+1))</f>
        <v>5</v>
      </c>
      <c r="B219" s="106" t="str">
        <f>INDEX(Cadastro_Hortfrut[[#All],[Colunas4]],MATCH(ROW()-5,Cadastro_Hortfrut[[#All],[Colunas2]],0))</f>
        <v>Melancia</v>
      </c>
      <c r="C219" s="193"/>
      <c r="D219" s="193"/>
      <c r="E219" s="193">
        <v>2</v>
      </c>
      <c r="F219" s="193"/>
      <c r="G219" s="193">
        <v>1</v>
      </c>
      <c r="H219" s="193"/>
      <c r="I219" s="193"/>
      <c r="J219" s="193"/>
      <c r="K219" s="193"/>
      <c r="L219" s="193">
        <v>1</v>
      </c>
      <c r="M219" s="193"/>
      <c r="N219" s="193">
        <v>2</v>
      </c>
      <c r="O219" s="193"/>
      <c r="P219" s="193"/>
      <c r="Q219" s="193"/>
      <c r="R219" s="193"/>
      <c r="S219" s="193"/>
      <c r="T219" s="193"/>
      <c r="U219" s="193"/>
      <c r="V219" s="193">
        <v>1</v>
      </c>
      <c r="W219" s="193"/>
      <c r="X219" s="193"/>
      <c r="Y219" s="193"/>
      <c r="Z219" s="193"/>
      <c r="AA219" s="193"/>
      <c r="AB219" s="193"/>
      <c r="AC219" s="193"/>
      <c r="AD219" s="193"/>
      <c r="AE219" s="193"/>
      <c r="AF219" s="193"/>
      <c r="AG219" s="193"/>
      <c r="AH219" s="193"/>
      <c r="AI219" s="118">
        <f ca="1">IF(Configurações!$G$10="Ligado",SUMIFS(C219:AH219,$C$4:$AH$4,"&lt;="&amp;Configurações!$C$5,$C$4:$AH$4,"&lt;="&amp;$AI$3),"")</f>
        <v>7</v>
      </c>
      <c r="AJ219" s="119">
        <f ca="1">IF(Configurações!$G$20="Ligado",IF(AI219&lt;=0,"Vazio",IF(Configurações!$G$18="Semana",IF(Configurações!$G$19="Contar",ENTRADAS!AI219/Configurações!$C$18,AI219/SUM(AK219:AN219)),AI219/A219)),"")</f>
        <v>2.3333333333333335</v>
      </c>
      <c r="AK219" s="70">
        <f t="shared" si="9"/>
        <v>1</v>
      </c>
      <c r="AL219" s="70">
        <f t="shared" si="10"/>
        <v>1</v>
      </c>
      <c r="AM219" s="70">
        <f t="shared" si="11"/>
        <v>1</v>
      </c>
      <c r="AN219" s="70">
        <f ca="1">IF(SUMIF($Y$4:$AH$4,"&lt;=" &amp; $AJ$3,ENTRADAS!Y219:AH219)&gt;0,1,0)</f>
        <v>0</v>
      </c>
    </row>
    <row r="220" spans="1:104" ht="21">
      <c r="A220" s="68">
        <f ca="1">COUNT(INDEX($C:$AH,ROW(),1):INDEX($C:$AH,ROW(),$AI$3+1))</f>
        <v>5</v>
      </c>
      <c r="B220" s="106" t="str">
        <f>INDEX(Cadastro_Hortfrut[[#All],[Colunas4]],MATCH(ROW()-5,Cadastro_Hortfrut[[#All],[Colunas2]],0))</f>
        <v xml:space="preserve">Melão </v>
      </c>
      <c r="C220" s="193"/>
      <c r="D220" s="193"/>
      <c r="E220" s="193">
        <v>5</v>
      </c>
      <c r="F220" s="193"/>
      <c r="G220" s="193">
        <v>2</v>
      </c>
      <c r="H220" s="193"/>
      <c r="I220" s="193"/>
      <c r="J220" s="193"/>
      <c r="K220" s="193"/>
      <c r="L220" s="193">
        <v>5</v>
      </c>
      <c r="M220" s="193"/>
      <c r="N220" s="193"/>
      <c r="O220" s="193"/>
      <c r="P220" s="193"/>
      <c r="Q220" s="193"/>
      <c r="R220" s="193"/>
      <c r="S220" s="193">
        <v>4</v>
      </c>
      <c r="T220" s="193"/>
      <c r="U220" s="193"/>
      <c r="V220" s="193">
        <v>3</v>
      </c>
      <c r="W220" s="193"/>
      <c r="X220" s="193"/>
      <c r="Y220" s="193"/>
      <c r="Z220" s="193"/>
      <c r="AA220" s="193"/>
      <c r="AB220" s="193"/>
      <c r="AC220" s="193"/>
      <c r="AD220" s="193"/>
      <c r="AE220" s="193"/>
      <c r="AF220" s="193"/>
      <c r="AG220" s="193"/>
      <c r="AH220" s="193"/>
      <c r="AI220" s="118">
        <f ca="1">IF(Configurações!$G$10="Ligado",SUMIFS(C220:AH220,$C$4:$AH$4,"&lt;="&amp;Configurações!$C$5,$C$4:$AH$4,"&lt;="&amp;$AI$3),"")</f>
        <v>19</v>
      </c>
      <c r="AJ220" s="119">
        <f ca="1">IF(Configurações!$G$20="Ligado",IF(AI220&lt;=0,"Vazio",IF(Configurações!$G$18="Semana",IF(Configurações!$G$19="Contar",ENTRADAS!AI220/Configurações!$C$18,AI220/SUM(AK220:AN220)),AI220/A220)),"")</f>
        <v>6.333333333333333</v>
      </c>
      <c r="AK220" s="70">
        <f t="shared" si="9"/>
        <v>1</v>
      </c>
      <c r="AL220" s="70">
        <f t="shared" si="10"/>
        <v>1</v>
      </c>
      <c r="AM220" s="70">
        <f t="shared" si="11"/>
        <v>1</v>
      </c>
      <c r="AN220" s="70">
        <f ca="1">IF(SUMIF($Y$4:$AH$4,"&lt;=" &amp; $AJ$3,ENTRADAS!Y220:AH220)&gt;0,1,0)</f>
        <v>0</v>
      </c>
    </row>
    <row r="221" spans="1:104" ht="21">
      <c r="A221" s="68">
        <f ca="1">COUNT(INDEX($C:$AH,ROW(),1):INDEX($C:$AH,ROW(),$AI$3+1))</f>
        <v>0</v>
      </c>
      <c r="B221" s="106" t="str">
        <f>INDEX(Cadastro_Hortfrut[[#All],[Colunas4]],MATCH(ROW()-5,Cadastro_Hortfrut[[#All],[Colunas2]],0))</f>
        <v xml:space="preserve">Mexerica </v>
      </c>
      <c r="C221" s="193"/>
      <c r="D221" s="193"/>
      <c r="E221" s="193"/>
      <c r="F221" s="193"/>
      <c r="G221" s="193"/>
      <c r="H221" s="193"/>
      <c r="I221" s="193"/>
      <c r="J221" s="193"/>
      <c r="K221" s="193"/>
      <c r="L221" s="193"/>
      <c r="M221" s="193"/>
      <c r="N221" s="193"/>
      <c r="O221" s="193"/>
      <c r="P221" s="193"/>
      <c r="Q221" s="193"/>
      <c r="R221" s="193"/>
      <c r="S221" s="193"/>
      <c r="T221" s="193"/>
      <c r="U221" s="193"/>
      <c r="V221" s="193"/>
      <c r="W221" s="193"/>
      <c r="X221" s="193"/>
      <c r="Y221" s="193"/>
      <c r="Z221" s="193"/>
      <c r="AA221" s="193"/>
      <c r="AB221" s="193"/>
      <c r="AC221" s="193"/>
      <c r="AD221" s="193"/>
      <c r="AE221" s="193"/>
      <c r="AF221" s="193"/>
      <c r="AG221" s="193"/>
      <c r="AH221" s="193"/>
      <c r="AI221" s="118">
        <f ca="1">IF(Configurações!$G$10="Ligado",SUMIFS(C221:AH221,$C$4:$AH$4,"&lt;="&amp;Configurações!$C$5,$C$4:$AH$4,"&lt;="&amp;$AI$3),"")</f>
        <v>0</v>
      </c>
      <c r="AJ221" s="119" t="str">
        <f ca="1">IF(Configurações!$G$20="Ligado",IF(AI221&lt;=0,"Vazio",IF(Configurações!$G$18="Semana",IF(Configurações!$G$19="Contar",ENTRADAS!AI221/Configurações!$C$18,AI221/SUM(AK221:AN221)),AI221/A221)),"")</f>
        <v>Vazio</v>
      </c>
      <c r="AK221" s="70">
        <f t="shared" si="9"/>
        <v>0</v>
      </c>
      <c r="AL221" s="70">
        <f t="shared" si="10"/>
        <v>0</v>
      </c>
      <c r="AM221" s="70">
        <f t="shared" si="11"/>
        <v>0</v>
      </c>
      <c r="AN221" s="70">
        <f ca="1">IF(SUMIF($Y$4:$AH$4,"&lt;=" &amp; $AJ$3,ENTRADAS!Y221:AH221)&gt;0,1,0)</f>
        <v>0</v>
      </c>
    </row>
    <row r="222" spans="1:104" ht="21">
      <c r="A222" s="68">
        <f ca="1">COUNT(INDEX($C:$AH,ROW(),1):INDEX($C:$AH,ROW(),$AI$3+1))</f>
        <v>0</v>
      </c>
      <c r="B222" s="106" t="str">
        <f>INDEX(Cadastro_Hortfrut[[#All],[Colunas4]],MATCH(ROW()-5,Cadastro_Hortfrut[[#All],[Colunas2]],0))</f>
        <v xml:space="preserve">Morango </v>
      </c>
      <c r="C222" s="193"/>
      <c r="D222" s="193"/>
      <c r="E222" s="193"/>
      <c r="F222" s="193"/>
      <c r="G222" s="193"/>
      <c r="H222" s="193"/>
      <c r="I222" s="193"/>
      <c r="J222" s="193"/>
      <c r="K222" s="193"/>
      <c r="L222" s="193"/>
      <c r="M222" s="193"/>
      <c r="N222" s="193"/>
      <c r="O222" s="193"/>
      <c r="P222" s="193"/>
      <c r="Q222" s="193"/>
      <c r="R222" s="193"/>
      <c r="S222" s="193"/>
      <c r="T222" s="193"/>
      <c r="U222" s="193"/>
      <c r="V222" s="193"/>
      <c r="W222" s="193"/>
      <c r="X222" s="193"/>
      <c r="Y222" s="193"/>
      <c r="Z222" s="193"/>
      <c r="AA222" s="193"/>
      <c r="AB222" s="193"/>
      <c r="AC222" s="193"/>
      <c r="AD222" s="193"/>
      <c r="AE222" s="193"/>
      <c r="AF222" s="193"/>
      <c r="AG222" s="193"/>
      <c r="AH222" s="193"/>
      <c r="AI222" s="118">
        <f ca="1">IF(Configurações!$G$10="Ligado",SUMIFS(C222:AH222,$C$4:$AH$4,"&lt;="&amp;Configurações!$C$5,$C$4:$AH$4,"&lt;="&amp;$AI$3),"")</f>
        <v>0</v>
      </c>
      <c r="AJ222" s="119" t="str">
        <f ca="1">IF(Configurações!$G$20="Ligado",IF(AI222&lt;=0,"Vazio",IF(Configurações!$G$18="Semana",IF(Configurações!$G$19="Contar",ENTRADAS!AI222/Configurações!$C$18,AI222/SUM(AK222:AN222)),AI222/A222)),"")</f>
        <v>Vazio</v>
      </c>
      <c r="AK222" s="70">
        <f t="shared" si="9"/>
        <v>0</v>
      </c>
      <c r="AL222" s="70">
        <f t="shared" si="10"/>
        <v>0</v>
      </c>
      <c r="AM222" s="70">
        <f t="shared" si="11"/>
        <v>0</v>
      </c>
      <c r="AN222" s="70">
        <f ca="1">IF(SUMIF($Y$4:$AH$4,"&lt;=" &amp; $AJ$3,ENTRADAS!Y222:AH222)&gt;0,1,0)</f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</row>
    <row r="223" spans="1:104" ht="21">
      <c r="A223" s="68">
        <f ca="1">COUNT(INDEX($C:$AH,ROW(),1):INDEX($C:$AH,ROW(),$AI$3+1))</f>
        <v>0</v>
      </c>
      <c r="B223" s="106" t="str">
        <f>INDEX(Cadastro_Hortfrut[[#All],[Colunas4]],MATCH(ROW()-5,Cadastro_Hortfrut[[#All],[Colunas2]],0))</f>
        <v>Nabo</v>
      </c>
      <c r="C223" s="193"/>
      <c r="D223" s="193"/>
      <c r="E223" s="193"/>
      <c r="F223" s="193"/>
      <c r="G223" s="193"/>
      <c r="H223" s="193"/>
      <c r="I223" s="193"/>
      <c r="J223" s="193"/>
      <c r="K223" s="193"/>
      <c r="L223" s="193"/>
      <c r="M223" s="193"/>
      <c r="N223" s="193"/>
      <c r="O223" s="193"/>
      <c r="P223" s="193"/>
      <c r="Q223" s="193"/>
      <c r="R223" s="193"/>
      <c r="S223" s="193"/>
      <c r="T223" s="193"/>
      <c r="U223" s="193"/>
      <c r="V223" s="193"/>
      <c r="W223" s="193"/>
      <c r="X223" s="193"/>
      <c r="Y223" s="193"/>
      <c r="Z223" s="193"/>
      <c r="AA223" s="193"/>
      <c r="AB223" s="193"/>
      <c r="AC223" s="193"/>
      <c r="AD223" s="193"/>
      <c r="AE223" s="193"/>
      <c r="AF223" s="193"/>
      <c r="AG223" s="193"/>
      <c r="AH223" s="193"/>
      <c r="AI223" s="118">
        <f ca="1">IF(Configurações!$G$10="Ligado",SUMIFS(C223:AH223,$C$4:$AH$4,"&lt;="&amp;Configurações!$C$5,$C$4:$AH$4,"&lt;="&amp;$AI$3),"")</f>
        <v>0</v>
      </c>
      <c r="AJ223" s="119" t="str">
        <f ca="1">IF(Configurações!$G$20="Ligado",IF(AI223&lt;=0,"Vazio",IF(Configurações!$G$18="Semana",IF(Configurações!$G$19="Contar",ENTRADAS!AI223/Configurações!$C$18,AI223/SUM(AK223:AN223)),AI223/A223)),"")</f>
        <v>Vazio</v>
      </c>
      <c r="AK223" s="70">
        <f t="shared" si="9"/>
        <v>0</v>
      </c>
      <c r="AL223" s="70">
        <f t="shared" si="10"/>
        <v>0</v>
      </c>
      <c r="AM223" s="70">
        <f t="shared" si="11"/>
        <v>0</v>
      </c>
      <c r="AN223" s="70">
        <f ca="1">IF(SUMIF($Y$4:$AH$4,"&lt;=" &amp; $AJ$3,ENTRADAS!Y223:AH223)&gt;0,1,0)</f>
        <v>0</v>
      </c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  <c r="CO223" s="12"/>
      <c r="CP223" s="12"/>
      <c r="CQ223" s="12"/>
      <c r="CR223" s="12"/>
      <c r="CS223" s="12"/>
      <c r="CT223" s="12"/>
      <c r="CU223" s="12"/>
      <c r="CV223" s="12"/>
      <c r="CW223" s="12"/>
      <c r="CX223" s="12"/>
      <c r="CY223" s="12"/>
      <c r="CZ223" s="12"/>
    </row>
    <row r="224" spans="1:104" ht="21">
      <c r="A224" s="68">
        <f ca="1">COUNT(INDEX($C:$AH,ROW(),1):INDEX($C:$AH,ROW(),$AI$3+1))</f>
        <v>5</v>
      </c>
      <c r="B224" s="106" t="str">
        <f>INDEX(Cadastro_Hortfrut[[#All],[Colunas4]],MATCH(ROW()-5,Cadastro_Hortfrut[[#All],[Colunas2]],0))</f>
        <v xml:space="preserve">Ovos </v>
      </c>
      <c r="C224" s="193"/>
      <c r="D224" s="193">
        <v>60</v>
      </c>
      <c r="E224" s="193">
        <v>180</v>
      </c>
      <c r="F224" s="193"/>
      <c r="G224" s="193"/>
      <c r="H224" s="193"/>
      <c r="I224" s="193"/>
      <c r="J224" s="193"/>
      <c r="K224" s="193"/>
      <c r="L224" s="193">
        <v>540</v>
      </c>
      <c r="M224" s="193"/>
      <c r="N224" s="193"/>
      <c r="O224" s="193"/>
      <c r="P224" s="193"/>
      <c r="Q224" s="193"/>
      <c r="R224" s="193"/>
      <c r="S224" s="193">
        <v>180</v>
      </c>
      <c r="T224" s="193"/>
      <c r="U224" s="193">
        <v>360</v>
      </c>
      <c r="V224" s="193"/>
      <c r="W224" s="193"/>
      <c r="X224" s="193"/>
      <c r="Y224" s="193"/>
      <c r="Z224" s="193"/>
      <c r="AA224" s="193"/>
      <c r="AB224" s="193"/>
      <c r="AC224" s="193"/>
      <c r="AD224" s="193"/>
      <c r="AE224" s="193"/>
      <c r="AF224" s="193"/>
      <c r="AG224" s="193"/>
      <c r="AH224" s="193"/>
      <c r="AI224" s="118">
        <f ca="1">IF(Configurações!$G$10="Ligado",SUMIFS(C224:AH224,$C$4:$AH$4,"&lt;="&amp;Configurações!$C$5,$C$4:$AH$4,"&lt;="&amp;$AI$3),"")</f>
        <v>1320</v>
      </c>
      <c r="AJ224" s="119">
        <f ca="1">IF(Configurações!$G$20="Ligado",IF(AI224&lt;=0,"Vazio",IF(Configurações!$G$18="Semana",IF(Configurações!$G$19="Contar",ENTRADAS!AI224/Configurações!$C$18,AI224/SUM(AK224:AN224)),AI224/A224)),"")</f>
        <v>440</v>
      </c>
      <c r="AK224" s="70">
        <f t="shared" si="9"/>
        <v>1</v>
      </c>
      <c r="AL224" s="70">
        <f t="shared" si="10"/>
        <v>1</v>
      </c>
      <c r="AM224" s="70">
        <f t="shared" si="11"/>
        <v>1</v>
      </c>
      <c r="AN224" s="70">
        <f ca="1">IF(SUMIF($Y$4:$AH$4,"&lt;=" &amp; $AJ$3,ENTRADAS!Y224:AH224)&gt;0,1,0)</f>
        <v>0</v>
      </c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  <c r="CO224" s="12"/>
      <c r="CP224" s="12"/>
      <c r="CQ224" s="12"/>
      <c r="CR224" s="12"/>
      <c r="CS224" s="12"/>
      <c r="CT224" s="12"/>
      <c r="CU224" s="12"/>
      <c r="CV224" s="12"/>
      <c r="CW224" s="12"/>
      <c r="CX224" s="12"/>
      <c r="CY224" s="12"/>
      <c r="CZ224" s="12"/>
    </row>
    <row r="225" spans="1:40" ht="21">
      <c r="A225" s="68">
        <f ca="1">COUNT(INDEX($C:$AH,ROW(),1):INDEX($C:$AH,ROW(),$AI$3+1))</f>
        <v>5</v>
      </c>
      <c r="B225" s="106" t="str">
        <f>INDEX(Cadastro_Hortfrut[[#All],[Colunas4]],MATCH(ROW()-5,Cadastro_Hortfrut[[#All],[Colunas2]],0))</f>
        <v>Pepino</v>
      </c>
      <c r="C225" s="193"/>
      <c r="D225" s="193">
        <v>2</v>
      </c>
      <c r="E225" s="193"/>
      <c r="F225" s="193"/>
      <c r="G225" s="193">
        <v>2</v>
      </c>
      <c r="H225" s="193"/>
      <c r="I225" s="193"/>
      <c r="J225" s="193"/>
      <c r="K225" s="193"/>
      <c r="L225" s="193">
        <v>3</v>
      </c>
      <c r="M225" s="193"/>
      <c r="N225" s="193">
        <v>2</v>
      </c>
      <c r="O225" s="193"/>
      <c r="P225" s="193"/>
      <c r="Q225" s="193"/>
      <c r="R225" s="193"/>
      <c r="S225" s="193">
        <v>3</v>
      </c>
      <c r="T225" s="193"/>
      <c r="U225" s="193"/>
      <c r="V225" s="193"/>
      <c r="W225" s="193"/>
      <c r="X225" s="193"/>
      <c r="Y225" s="193"/>
      <c r="Z225" s="193"/>
      <c r="AA225" s="193"/>
      <c r="AB225" s="193"/>
      <c r="AC225" s="193"/>
      <c r="AD225" s="193"/>
      <c r="AE225" s="193"/>
      <c r="AF225" s="193"/>
      <c r="AG225" s="193"/>
      <c r="AH225" s="193"/>
      <c r="AI225" s="118">
        <f ca="1">IF(Configurações!$G$10="Ligado",SUMIFS(C225:AH225,$C$4:$AH$4,"&lt;="&amp;Configurações!$C$5,$C$4:$AH$4,"&lt;="&amp;$AI$3),"")</f>
        <v>12</v>
      </c>
      <c r="AJ225" s="119">
        <f ca="1">IF(Configurações!$G$20="Ligado",IF(AI225&lt;=0,"Vazio",IF(Configurações!$G$18="Semana",IF(Configurações!$G$19="Contar",ENTRADAS!AI225/Configurações!$C$18,AI225/SUM(AK225:AN225)),AI225/A225)),"")</f>
        <v>4</v>
      </c>
      <c r="AK225" s="70">
        <f t="shared" si="9"/>
        <v>1</v>
      </c>
      <c r="AL225" s="70">
        <f t="shared" si="10"/>
        <v>1</v>
      </c>
      <c r="AM225" s="70">
        <f t="shared" si="11"/>
        <v>1</v>
      </c>
      <c r="AN225" s="70">
        <f ca="1">IF(SUMIF($Y$4:$AH$4,"&lt;=" &amp; $AJ$3,ENTRADAS!Y225:AH225)&gt;0,1,0)</f>
        <v>0</v>
      </c>
    </row>
    <row r="226" spans="1:40" ht="21">
      <c r="A226" s="68">
        <f ca="1">COUNT(INDEX($C:$AH,ROW(),1):INDEX($C:$AH,ROW(),$AI$3+1))</f>
        <v>0</v>
      </c>
      <c r="B226" s="106" t="str">
        <f>INDEX(Cadastro_Hortfrut[[#All],[Colunas4]],MATCH(ROW()-5,Cadastro_Hortfrut[[#All],[Colunas2]],0))</f>
        <v>Pessego</v>
      </c>
      <c r="C226" s="193"/>
      <c r="D226" s="193"/>
      <c r="E226" s="193"/>
      <c r="F226" s="193"/>
      <c r="G226" s="193"/>
      <c r="H226" s="193"/>
      <c r="I226" s="193"/>
      <c r="J226" s="193"/>
      <c r="K226" s="193"/>
      <c r="L226" s="193"/>
      <c r="M226" s="193"/>
      <c r="N226" s="193"/>
      <c r="O226" s="193"/>
      <c r="P226" s="193"/>
      <c r="Q226" s="193"/>
      <c r="R226" s="193"/>
      <c r="S226" s="193"/>
      <c r="T226" s="193"/>
      <c r="U226" s="193"/>
      <c r="V226" s="193"/>
      <c r="W226" s="193"/>
      <c r="X226" s="193"/>
      <c r="Y226" s="193"/>
      <c r="Z226" s="193"/>
      <c r="AA226" s="193"/>
      <c r="AB226" s="193"/>
      <c r="AC226" s="193"/>
      <c r="AD226" s="193"/>
      <c r="AE226" s="193"/>
      <c r="AF226" s="193"/>
      <c r="AG226" s="193"/>
      <c r="AH226" s="193"/>
      <c r="AI226" s="118">
        <f ca="1">IF(Configurações!$G$10="Ligado",SUMIFS(C226:AH226,$C$4:$AH$4,"&lt;="&amp;Configurações!$C$5,$C$4:$AH$4,"&lt;="&amp;$AI$3),"")</f>
        <v>0</v>
      </c>
      <c r="AJ226" s="119" t="str">
        <f ca="1">IF(Configurações!$G$20="Ligado",IF(AI226&lt;=0,"Vazio",IF(Configurações!$G$18="Semana",IF(Configurações!$G$19="Contar",ENTRADAS!AI226/Configurações!$C$18,AI226/SUM(AK226:AN226)),AI226/A226)),"")</f>
        <v>Vazio</v>
      </c>
      <c r="AK226" s="70">
        <f t="shared" si="9"/>
        <v>0</v>
      </c>
      <c r="AL226" s="70">
        <f t="shared" si="10"/>
        <v>0</v>
      </c>
      <c r="AM226" s="70">
        <f t="shared" si="11"/>
        <v>0</v>
      </c>
      <c r="AN226" s="70">
        <f ca="1">IF(SUMIF($Y$4:$AH$4,"&lt;=" &amp; $AJ$3,ENTRADAS!Y226:AH226)&gt;0,1,0)</f>
        <v>0</v>
      </c>
    </row>
    <row r="227" spans="1:40" ht="21">
      <c r="A227" s="68">
        <f ca="1">COUNT(INDEX($C:$AH,ROW(),1):INDEX($C:$AH,ROW(),$AI$3+1))</f>
        <v>0</v>
      </c>
      <c r="B227" s="106" t="str">
        <f>INDEX(Cadastro_Hortfrut[[#All],[Colunas4]],MATCH(ROW()-5,Cadastro_Hortfrut[[#All],[Colunas2]],0))</f>
        <v xml:space="preserve">Pimentão Amarelo </v>
      </c>
      <c r="C227" s="193"/>
      <c r="D227" s="193"/>
      <c r="E227" s="193"/>
      <c r="F227" s="193"/>
      <c r="G227" s="193"/>
      <c r="H227" s="193"/>
      <c r="I227" s="193"/>
      <c r="J227" s="193"/>
      <c r="K227" s="193"/>
      <c r="L227" s="193"/>
      <c r="M227" s="193"/>
      <c r="N227" s="193"/>
      <c r="O227" s="193"/>
      <c r="P227" s="193"/>
      <c r="Q227" s="193"/>
      <c r="R227" s="193"/>
      <c r="S227" s="193"/>
      <c r="T227" s="193"/>
      <c r="U227" s="193"/>
      <c r="V227" s="193"/>
      <c r="W227" s="193"/>
      <c r="X227" s="193"/>
      <c r="Y227" s="193"/>
      <c r="Z227" s="193"/>
      <c r="AA227" s="193"/>
      <c r="AB227" s="193"/>
      <c r="AC227" s="193"/>
      <c r="AD227" s="193"/>
      <c r="AE227" s="193"/>
      <c r="AF227" s="193"/>
      <c r="AG227" s="193"/>
      <c r="AH227" s="193"/>
      <c r="AI227" s="118">
        <f ca="1">IF(Configurações!$G$10="Ligado",SUMIFS(C227:AH227,$C$4:$AH$4,"&lt;="&amp;Configurações!$C$5,$C$4:$AH$4,"&lt;="&amp;$AI$3),"")</f>
        <v>0</v>
      </c>
      <c r="AJ227" s="119" t="str">
        <f ca="1">IF(Configurações!$G$20="Ligado",IF(AI227&lt;=0,"Vazio",IF(Configurações!$G$18="Semana",IF(Configurações!$G$19="Contar",ENTRADAS!AI227/Configurações!$C$18,AI227/SUM(AK227:AN227)),AI227/A227)),"")</f>
        <v>Vazio</v>
      </c>
      <c r="AK227" s="70">
        <f t="shared" si="9"/>
        <v>0</v>
      </c>
      <c r="AL227" s="70">
        <f t="shared" si="10"/>
        <v>0</v>
      </c>
      <c r="AM227" s="70">
        <f t="shared" si="11"/>
        <v>0</v>
      </c>
      <c r="AN227" s="70">
        <f ca="1">IF(SUMIF($Y$4:$AH$4,"&lt;=" &amp; $AJ$3,ENTRADAS!Y227:AH227)&gt;0,1,0)</f>
        <v>0</v>
      </c>
    </row>
    <row r="228" spans="1:40" ht="21">
      <c r="A228" s="68">
        <f ca="1">COUNT(INDEX($C:$AH,ROW(),1):INDEX($C:$AH,ROW(),$AI$3+1))</f>
        <v>5</v>
      </c>
      <c r="B228" s="106" t="str">
        <f>INDEX(Cadastro_Hortfrut[[#All],[Colunas4]],MATCH(ROW()-5,Cadastro_Hortfrut[[#All],[Colunas2]],0))</f>
        <v xml:space="preserve">Pimentão Verde </v>
      </c>
      <c r="C228" s="193"/>
      <c r="D228" s="193">
        <v>1</v>
      </c>
      <c r="E228" s="193"/>
      <c r="F228" s="193"/>
      <c r="G228" s="193">
        <v>3</v>
      </c>
      <c r="H228" s="193"/>
      <c r="I228" s="193"/>
      <c r="J228" s="193"/>
      <c r="K228" s="193"/>
      <c r="L228" s="193">
        <v>3</v>
      </c>
      <c r="M228" s="193"/>
      <c r="N228" s="193"/>
      <c r="O228" s="193"/>
      <c r="P228" s="193"/>
      <c r="Q228" s="193"/>
      <c r="R228" s="193"/>
      <c r="S228" s="193">
        <v>9</v>
      </c>
      <c r="T228" s="193"/>
      <c r="U228" s="193"/>
      <c r="V228" s="193">
        <v>6</v>
      </c>
      <c r="W228" s="193"/>
      <c r="X228" s="193"/>
      <c r="Y228" s="193"/>
      <c r="Z228" s="193"/>
      <c r="AA228" s="193"/>
      <c r="AB228" s="193"/>
      <c r="AC228" s="193"/>
      <c r="AD228" s="193"/>
      <c r="AE228" s="193"/>
      <c r="AF228" s="193"/>
      <c r="AG228" s="193"/>
      <c r="AH228" s="193"/>
      <c r="AI228" s="118">
        <f ca="1">IF(Configurações!$G$10="Ligado",SUMIFS(C228:AH228,$C$4:$AH$4,"&lt;="&amp;Configurações!$C$5,$C$4:$AH$4,"&lt;="&amp;$AI$3),"")</f>
        <v>22</v>
      </c>
      <c r="AJ228" s="119">
        <f ca="1">IF(Configurações!$G$20="Ligado",IF(AI228&lt;=0,"Vazio",IF(Configurações!$G$18="Semana",IF(Configurações!$G$19="Contar",ENTRADAS!AI228/Configurações!$C$18,AI228/SUM(AK228:AN228)),AI228/A228)),"")</f>
        <v>7.333333333333333</v>
      </c>
      <c r="AK228" s="70">
        <f t="shared" si="9"/>
        <v>1</v>
      </c>
      <c r="AL228" s="70">
        <f t="shared" si="10"/>
        <v>1</v>
      </c>
      <c r="AM228" s="70">
        <f t="shared" si="11"/>
        <v>1</v>
      </c>
      <c r="AN228" s="70">
        <f ca="1">IF(SUMIF($Y$4:$AH$4,"&lt;=" &amp; $AJ$3,ENTRADAS!Y228:AH228)&gt;0,1,0)</f>
        <v>0</v>
      </c>
    </row>
    <row r="229" spans="1:40" ht="21">
      <c r="A229" s="68">
        <f ca="1">COUNT(INDEX($C:$AH,ROW(),1):INDEX($C:$AH,ROW(),$AI$3+1))</f>
        <v>0</v>
      </c>
      <c r="B229" s="126" t="str">
        <f>INDEX(Cadastro_Hortfrut[[#All],[Colunas4]],MATCH(ROW()-5,Cadastro_Hortfrut[[#All],[Colunas2]],0))</f>
        <v xml:space="preserve">Pimentão Vermelho </v>
      </c>
      <c r="C229" s="193"/>
      <c r="D229" s="193"/>
      <c r="E229" s="193"/>
      <c r="F229" s="193"/>
      <c r="G229" s="193"/>
      <c r="H229" s="193"/>
      <c r="I229" s="193"/>
      <c r="J229" s="193"/>
      <c r="K229" s="193"/>
      <c r="L229" s="193"/>
      <c r="M229" s="193"/>
      <c r="N229" s="193"/>
      <c r="O229" s="193"/>
      <c r="P229" s="193"/>
      <c r="Q229" s="193"/>
      <c r="R229" s="193"/>
      <c r="S229" s="193"/>
      <c r="T229" s="193"/>
      <c r="U229" s="193"/>
      <c r="V229" s="193"/>
      <c r="W229" s="193"/>
      <c r="X229" s="193"/>
      <c r="Y229" s="193"/>
      <c r="Z229" s="193"/>
      <c r="AA229" s="193"/>
      <c r="AB229" s="193"/>
      <c r="AC229" s="193"/>
      <c r="AD229" s="193"/>
      <c r="AE229" s="193"/>
      <c r="AF229" s="193"/>
      <c r="AG229" s="193"/>
      <c r="AH229" s="193"/>
      <c r="AI229" s="132">
        <f ca="1">IF(Configurações!$G$10="Ligado",SUMIFS(C229:AH229,$C$4:$AH$4,"&lt;="&amp;Configurações!$C$5,$C$4:$AH$4,"&lt;="&amp;$AI$3),"")</f>
        <v>0</v>
      </c>
      <c r="AJ229" s="119" t="str">
        <f ca="1">IF(Configurações!$G$20="Ligado",IF(AI229&lt;=0,"Vazio",IF(Configurações!$G$18="Semana",IF(Configurações!$G$19="Contar",ENTRADAS!AI229/Configurações!$C$18,AI229/SUM(AK229:AN229)),AI229/A229)),"")</f>
        <v>Vazio</v>
      </c>
      <c r="AK229" s="70">
        <f t="shared" si="9"/>
        <v>0</v>
      </c>
      <c r="AL229" s="70">
        <f t="shared" si="10"/>
        <v>0</v>
      </c>
      <c r="AM229" s="70">
        <f t="shared" si="11"/>
        <v>0</v>
      </c>
      <c r="AN229" s="70">
        <f ca="1">IF(SUMIF($Y$4:$AH$4,"&lt;=" &amp; $AJ$3,ENTRADAS!Y229:AH229)&gt;0,1,0)</f>
        <v>0</v>
      </c>
    </row>
    <row r="230" spans="1:40" ht="21">
      <c r="A230" s="68">
        <f ca="1">COUNT(INDEX($C:$AH,ROW(),1):INDEX($C:$AH,ROW(),$AI$3+1))</f>
        <v>0</v>
      </c>
      <c r="B230" s="126" t="str">
        <f>INDEX(Cadastro_Hortfrut[[#All],[Colunas4]],MATCH(ROW()-5,Cadastro_Hortfrut[[#All],[Colunas2]],0))</f>
        <v>Quiabo</v>
      </c>
      <c r="C230" s="193"/>
      <c r="D230" s="193"/>
      <c r="E230" s="193"/>
      <c r="F230" s="193"/>
      <c r="G230" s="193"/>
      <c r="H230" s="193"/>
      <c r="I230" s="193"/>
      <c r="J230" s="193"/>
      <c r="K230" s="193"/>
      <c r="L230" s="193"/>
      <c r="M230" s="193"/>
      <c r="N230" s="193"/>
      <c r="O230" s="193"/>
      <c r="P230" s="193"/>
      <c r="Q230" s="193"/>
      <c r="R230" s="193"/>
      <c r="S230" s="193"/>
      <c r="T230" s="193"/>
      <c r="U230" s="193"/>
      <c r="V230" s="193"/>
      <c r="W230" s="193"/>
      <c r="X230" s="193"/>
      <c r="Y230" s="193"/>
      <c r="Z230" s="193"/>
      <c r="AA230" s="193"/>
      <c r="AB230" s="193"/>
      <c r="AC230" s="193"/>
      <c r="AD230" s="193"/>
      <c r="AE230" s="193"/>
      <c r="AF230" s="193"/>
      <c r="AG230" s="193"/>
      <c r="AH230" s="193"/>
      <c r="AI230" s="132">
        <f ca="1">IF(Configurações!$G$10="Ligado",SUMIFS(C230:AH230,$C$4:$AH$4,"&lt;="&amp;Configurações!$C$5,$C$4:$AH$4,"&lt;="&amp;$AI$3),"")</f>
        <v>0</v>
      </c>
      <c r="AJ230" s="119" t="str">
        <f ca="1">IF(Configurações!$G$20="Ligado",IF(AI230&lt;=0,"Vazio",IF(Configurações!$G$18="Semana",IF(Configurações!$G$19="Contar",ENTRADAS!AI230/Configurações!$C$18,AI230/SUM(AK230:AN230)),AI230/A230)),"")</f>
        <v>Vazio</v>
      </c>
      <c r="AK230" s="70">
        <f t="shared" si="9"/>
        <v>0</v>
      </c>
      <c r="AL230" s="70">
        <f t="shared" si="10"/>
        <v>0</v>
      </c>
      <c r="AM230" s="70">
        <f t="shared" si="11"/>
        <v>0</v>
      </c>
      <c r="AN230" s="70">
        <f ca="1">IF(SUMIF($Y$4:$AH$4,"&lt;=" &amp; $AJ$3,ENTRADAS!Y230:AH230)&gt;0,1,0)</f>
        <v>0</v>
      </c>
    </row>
    <row r="231" spans="1:40" ht="21">
      <c r="A231" s="68">
        <f ca="1">COUNT(INDEX($C:$AH,ROW(),1):INDEX($C:$AH,ROW(),$AI$3+1))</f>
        <v>0</v>
      </c>
      <c r="B231" s="106" t="str">
        <f>INDEX(Cadastro_Hortfrut[[#All],[Colunas4]],MATCH(ROW()-5,Cadastro_Hortfrut[[#All],[Colunas2]],0))</f>
        <v>Rabanete</v>
      </c>
      <c r="C231" s="193"/>
      <c r="D231" s="193"/>
      <c r="E231" s="193"/>
      <c r="F231" s="193"/>
      <c r="G231" s="193"/>
      <c r="H231" s="193"/>
      <c r="I231" s="193"/>
      <c r="J231" s="193"/>
      <c r="K231" s="193"/>
      <c r="L231" s="193"/>
      <c r="M231" s="193"/>
      <c r="N231" s="193"/>
      <c r="O231" s="193"/>
      <c r="P231" s="193"/>
      <c r="Q231" s="193"/>
      <c r="R231" s="193"/>
      <c r="S231" s="193"/>
      <c r="T231" s="193"/>
      <c r="U231" s="193"/>
      <c r="V231" s="193"/>
      <c r="W231" s="193"/>
      <c r="X231" s="193"/>
      <c r="Y231" s="193"/>
      <c r="Z231" s="193"/>
      <c r="AA231" s="193"/>
      <c r="AB231" s="193"/>
      <c r="AC231" s="193"/>
      <c r="AD231" s="193"/>
      <c r="AE231" s="193"/>
      <c r="AF231" s="193"/>
      <c r="AG231" s="193"/>
      <c r="AH231" s="193"/>
      <c r="AI231" s="118">
        <f ca="1">IF(Configurações!$G$10="Ligado",SUMIFS(C231:AH231,$C$4:$AH$4,"&lt;="&amp;Configurações!$C$5,$C$4:$AH$4,"&lt;="&amp;$AI$3),"")</f>
        <v>0</v>
      </c>
      <c r="AJ231" s="119" t="str">
        <f ca="1">IF(Configurações!$G$20="Ligado",IF(AI231&lt;=0,"Vazio",IF(Configurações!$G$18="Semana",IF(Configurações!$G$19="Contar",ENTRADAS!AI231/Configurações!$C$18,AI231/SUM(AK231:AN231)),AI231/A231)),"")</f>
        <v>Vazio</v>
      </c>
      <c r="AK231" s="70">
        <f t="shared" si="9"/>
        <v>0</v>
      </c>
      <c r="AL231" s="70">
        <f t="shared" si="10"/>
        <v>0</v>
      </c>
      <c r="AM231" s="70">
        <f t="shared" si="11"/>
        <v>0</v>
      </c>
      <c r="AN231" s="70">
        <f ca="1">IF(SUMIF($Y$4:$AH$4,"&lt;=" &amp; $AJ$3,ENTRADAS!Y231:AH231)&gt;0,1,0)</f>
        <v>0</v>
      </c>
    </row>
    <row r="232" spans="1:40" ht="21">
      <c r="A232" s="68">
        <f ca="1">COUNT(INDEX($C:$AH,ROW(),1):INDEX($C:$AH,ROW(),$AI$3+1))</f>
        <v>3</v>
      </c>
      <c r="B232" s="106" t="str">
        <f>INDEX(Cadastro_Hortfrut[[#All],[Colunas4]],MATCH(ROW()-5,Cadastro_Hortfrut[[#All],[Colunas2]],0))</f>
        <v xml:space="preserve">Repolho </v>
      </c>
      <c r="C232" s="193"/>
      <c r="D232" s="193">
        <v>1</v>
      </c>
      <c r="E232" s="193"/>
      <c r="F232" s="193"/>
      <c r="G232" s="193"/>
      <c r="H232" s="193"/>
      <c r="I232" s="193"/>
      <c r="J232" s="193"/>
      <c r="K232" s="193"/>
      <c r="L232" s="193">
        <v>1</v>
      </c>
      <c r="M232" s="193"/>
      <c r="N232" s="193"/>
      <c r="O232" s="193"/>
      <c r="P232" s="193"/>
      <c r="Q232" s="193"/>
      <c r="R232" s="193"/>
      <c r="S232" s="193">
        <v>2</v>
      </c>
      <c r="T232" s="193"/>
      <c r="U232" s="193"/>
      <c r="V232" s="193"/>
      <c r="W232" s="193"/>
      <c r="X232" s="193"/>
      <c r="Y232" s="193"/>
      <c r="Z232" s="193"/>
      <c r="AA232" s="193"/>
      <c r="AB232" s="193"/>
      <c r="AC232" s="193"/>
      <c r="AD232" s="193"/>
      <c r="AE232" s="193"/>
      <c r="AF232" s="193"/>
      <c r="AG232" s="193"/>
      <c r="AH232" s="193"/>
      <c r="AI232" s="118">
        <f ca="1">IF(Configurações!$G$10="Ligado",SUMIFS(C232:AH232,$C$4:$AH$4,"&lt;="&amp;Configurações!$C$5,$C$4:$AH$4,"&lt;="&amp;$AI$3),"")</f>
        <v>4</v>
      </c>
      <c r="AJ232" s="119">
        <f ca="1">IF(Configurações!$G$20="Ligado",IF(AI232&lt;=0,"Vazio",IF(Configurações!$G$18="Semana",IF(Configurações!$G$19="Contar",ENTRADAS!AI232/Configurações!$C$18,AI232/SUM(AK232:AN232)),AI232/A232)),"")</f>
        <v>1.3333333333333333</v>
      </c>
      <c r="AK232" s="70">
        <f t="shared" si="9"/>
        <v>1</v>
      </c>
      <c r="AL232" s="70">
        <f t="shared" si="10"/>
        <v>1</v>
      </c>
      <c r="AM232" s="70">
        <f t="shared" si="11"/>
        <v>1</v>
      </c>
      <c r="AN232" s="70">
        <f ca="1">IF(SUMIF($Y$4:$AH$4,"&lt;=" &amp; $AJ$3,ENTRADAS!Y232:AH232)&gt;0,1,0)</f>
        <v>0</v>
      </c>
    </row>
    <row r="233" spans="1:40" ht="21">
      <c r="A233" s="68">
        <f ca="1">COUNT(INDEX($C:$AH,ROW(),1):INDEX($C:$AH,ROW(),$AI$3+1))</f>
        <v>1</v>
      </c>
      <c r="B233" s="106" t="str">
        <f>INDEX(Cadastro_Hortfrut[[#All],[Colunas4]],MATCH(ROW()-5,Cadastro_Hortfrut[[#All],[Colunas2]],0))</f>
        <v>Repolho roxo</v>
      </c>
      <c r="C233" s="193"/>
      <c r="D233" s="193"/>
      <c r="E233" s="193"/>
      <c r="F233" s="193"/>
      <c r="G233" s="193"/>
      <c r="H233" s="193"/>
      <c r="I233" s="193"/>
      <c r="J233" s="193"/>
      <c r="K233" s="193"/>
      <c r="L233" s="193"/>
      <c r="M233" s="193"/>
      <c r="N233" s="193"/>
      <c r="O233" s="193"/>
      <c r="P233" s="193"/>
      <c r="Q233" s="193"/>
      <c r="R233" s="193"/>
      <c r="S233" s="193"/>
      <c r="T233" s="193"/>
      <c r="U233" s="193">
        <v>1</v>
      </c>
      <c r="V233" s="193"/>
      <c r="W233" s="193"/>
      <c r="X233" s="193"/>
      <c r="Y233" s="193"/>
      <c r="Z233" s="193"/>
      <c r="AA233" s="193"/>
      <c r="AB233" s="193"/>
      <c r="AC233" s="193"/>
      <c r="AD233" s="193"/>
      <c r="AE233" s="193"/>
      <c r="AF233" s="193"/>
      <c r="AG233" s="193"/>
      <c r="AH233" s="193"/>
      <c r="AI233" s="118">
        <f ca="1">IF(Configurações!$G$10="Ligado",SUMIFS(C233:AH233,$C$4:$AH$4,"&lt;="&amp;Configurações!$C$5,$C$4:$AH$4,"&lt;="&amp;$AI$3),"")</f>
        <v>1</v>
      </c>
      <c r="AJ233" s="119">
        <f ca="1">IF(Configurações!$G$20="Ligado",IF(AI233&lt;=0,"Vazio",IF(Configurações!$G$18="Semana",IF(Configurações!$G$19="Contar",ENTRADAS!AI233/Configurações!$C$18,AI233/SUM(AK233:AN233)),AI233/A233)),"")</f>
        <v>1</v>
      </c>
      <c r="AK233" s="70">
        <f t="shared" si="9"/>
        <v>0</v>
      </c>
      <c r="AL233" s="70">
        <f t="shared" si="10"/>
        <v>0</v>
      </c>
      <c r="AM233" s="70">
        <f t="shared" si="11"/>
        <v>1</v>
      </c>
      <c r="AN233" s="70">
        <f ca="1">IF(SUMIF($Y$4:$AH$4,"&lt;=" &amp; $AJ$3,ENTRADAS!Y233:AH233)&gt;0,1,0)</f>
        <v>0</v>
      </c>
    </row>
    <row r="234" spans="1:40" ht="21">
      <c r="A234" s="68">
        <f ca="1">COUNT(INDEX($C:$AH,ROW(),1):INDEX($C:$AH,ROW(),$AI$3+1))</f>
        <v>2</v>
      </c>
      <c r="B234" s="126" t="str">
        <f>INDEX(Cadastro_Hortfrut[[#All],[Colunas4]],MATCH(ROW()-5,Cadastro_Hortfrut[[#All],[Colunas2]],0))</f>
        <v>Rúcula</v>
      </c>
      <c r="C234" s="193"/>
      <c r="D234" s="193"/>
      <c r="E234" s="193"/>
      <c r="F234" s="193"/>
      <c r="G234" s="193"/>
      <c r="H234" s="193"/>
      <c r="I234" s="193"/>
      <c r="J234" s="193"/>
      <c r="K234" s="193"/>
      <c r="L234" s="193"/>
      <c r="M234" s="193"/>
      <c r="N234" s="193">
        <v>4</v>
      </c>
      <c r="O234" s="193"/>
      <c r="P234" s="193"/>
      <c r="Q234" s="193"/>
      <c r="R234" s="193"/>
      <c r="S234" s="193"/>
      <c r="T234" s="193"/>
      <c r="U234" s="193"/>
      <c r="V234" s="193">
        <v>6</v>
      </c>
      <c r="W234" s="193"/>
      <c r="X234" s="193"/>
      <c r="Y234" s="193"/>
      <c r="Z234" s="193"/>
      <c r="AA234" s="193"/>
      <c r="AB234" s="193"/>
      <c r="AC234" s="193"/>
      <c r="AD234" s="193"/>
      <c r="AE234" s="193"/>
      <c r="AF234" s="193"/>
      <c r="AG234" s="193"/>
      <c r="AH234" s="193"/>
      <c r="AI234" s="132">
        <f ca="1">IF(Configurações!$G$10="Ligado",SUMIFS(C234:AH234,$C$4:$AH$4,"&lt;="&amp;Configurações!$C$5,$C$4:$AH$4,"&lt;="&amp;$AI$3),"")</f>
        <v>10</v>
      </c>
      <c r="AJ234" s="119">
        <f ca="1">IF(Configurações!$G$20="Ligado",IF(AI234&lt;=0,"Vazio",IF(Configurações!$G$18="Semana",IF(Configurações!$G$19="Contar",ENTRADAS!AI234/Configurações!$C$18,AI234/SUM(AK234:AN234)),AI234/A234)),"")</f>
        <v>5</v>
      </c>
      <c r="AK234" s="70">
        <f t="shared" si="9"/>
        <v>0</v>
      </c>
      <c r="AL234" s="70">
        <f t="shared" si="10"/>
        <v>1</v>
      </c>
      <c r="AM234" s="70">
        <f t="shared" si="11"/>
        <v>1</v>
      </c>
      <c r="AN234" s="70">
        <f ca="1">IF(SUMIF($Y$4:$AH$4,"&lt;=" &amp; $AJ$3,ENTRADAS!Y234:AH234)&gt;0,1,0)</f>
        <v>0</v>
      </c>
    </row>
    <row r="235" spans="1:40" ht="21">
      <c r="A235" s="68">
        <f ca="1">COUNT(INDEX($C:$AH,ROW(),1):INDEX($C:$AH,ROW(),$AI$3+1))</f>
        <v>7</v>
      </c>
      <c r="B235" s="140" t="str">
        <f>INDEX(Cadastro_Hortfrut[[#All],[Colunas4]],MATCH(ROW()-5,Cadastro_Hortfrut[[#All],[Colunas2]],0))</f>
        <v>Salsa</v>
      </c>
      <c r="C235" s="193"/>
      <c r="D235" s="193"/>
      <c r="E235" s="193">
        <v>3</v>
      </c>
      <c r="F235" s="193"/>
      <c r="G235" s="193">
        <v>4</v>
      </c>
      <c r="H235" s="193"/>
      <c r="I235" s="193"/>
      <c r="J235" s="193"/>
      <c r="K235" s="193"/>
      <c r="L235" s="193">
        <v>3</v>
      </c>
      <c r="M235" s="193"/>
      <c r="N235" s="193">
        <v>3</v>
      </c>
      <c r="O235" s="193"/>
      <c r="P235" s="193"/>
      <c r="Q235" s="193"/>
      <c r="R235" s="193"/>
      <c r="S235" s="193">
        <v>3</v>
      </c>
      <c r="T235" s="193"/>
      <c r="U235" s="193">
        <v>2</v>
      </c>
      <c r="V235" s="193">
        <v>4</v>
      </c>
      <c r="W235" s="193"/>
      <c r="X235" s="193"/>
      <c r="Y235" s="193"/>
      <c r="Z235" s="193"/>
      <c r="AA235" s="193"/>
      <c r="AB235" s="193"/>
      <c r="AC235" s="193"/>
      <c r="AD235" s="193"/>
      <c r="AE235" s="193"/>
      <c r="AF235" s="193"/>
      <c r="AG235" s="193"/>
      <c r="AH235" s="193"/>
      <c r="AI235" s="145">
        <f ca="1">IF(Configurações!$G$10="Ligado",SUMIFS(C235:AH235,$C$4:$AH$4,"&lt;="&amp;Configurações!$C$5,$C$4:$AH$4,"&lt;="&amp;$AI$3),"")</f>
        <v>22</v>
      </c>
      <c r="AJ235" s="119">
        <f ca="1">IF(Configurações!$G$20="Ligado",IF(AI235&lt;=0,"Vazio",IF(Configurações!$G$18="Semana",IF(Configurações!$G$19="Contar",ENTRADAS!AI235/Configurações!$C$18,AI235/SUM(AK235:AN235)),AI235/A235)),"")</f>
        <v>7.333333333333333</v>
      </c>
      <c r="AK235" s="70">
        <f t="shared" si="9"/>
        <v>1</v>
      </c>
      <c r="AL235" s="70">
        <f t="shared" si="10"/>
        <v>1</v>
      </c>
      <c r="AM235" s="70">
        <f t="shared" si="11"/>
        <v>1</v>
      </c>
      <c r="AN235" s="70">
        <f ca="1">IF(SUMIF($Y$4:$AH$4,"&lt;=" &amp; $AJ$3,ENTRADAS!Y235:AH235)&gt;0,1,0)</f>
        <v>0</v>
      </c>
    </row>
    <row r="236" spans="1:40" ht="21">
      <c r="A236" s="68">
        <f ca="1">COUNT(INDEX($C:$AH,ROW(),1):INDEX($C:$AH,ROW(),$AI$3+1))</f>
        <v>0</v>
      </c>
      <c r="B236" s="140" t="str">
        <f>INDEX(Cadastro_Hortfrut[[#All],[Colunas4]],MATCH(ROW()-5,Cadastro_Hortfrut[[#All],[Colunas2]],0))</f>
        <v>Salsão</v>
      </c>
      <c r="C236" s="193"/>
      <c r="D236" s="193"/>
      <c r="E236" s="193"/>
      <c r="F236" s="193"/>
      <c r="G236" s="193"/>
      <c r="H236" s="193"/>
      <c r="I236" s="193"/>
      <c r="J236" s="193"/>
      <c r="K236" s="193"/>
      <c r="L236" s="193"/>
      <c r="M236" s="193"/>
      <c r="N236" s="193"/>
      <c r="O236" s="193"/>
      <c r="P236" s="193"/>
      <c r="Q236" s="193"/>
      <c r="R236" s="193"/>
      <c r="S236" s="193"/>
      <c r="T236" s="193"/>
      <c r="U236" s="193"/>
      <c r="V236" s="193"/>
      <c r="W236" s="193"/>
      <c r="X236" s="193"/>
      <c r="Y236" s="193"/>
      <c r="Z236" s="193"/>
      <c r="AA236" s="193"/>
      <c r="AB236" s="193"/>
      <c r="AC236" s="193"/>
      <c r="AD236" s="193"/>
      <c r="AE236" s="193"/>
      <c r="AF236" s="193"/>
      <c r="AG236" s="193"/>
      <c r="AH236" s="193"/>
      <c r="AI236" s="145">
        <f ca="1">IF(Configurações!$G$10="Ligado",SUMIFS(C236:AH236,$C$4:$AH$4,"&lt;="&amp;Configurações!$C$5,$C$4:$AH$4,"&lt;="&amp;$AI$3),"")</f>
        <v>0</v>
      </c>
      <c r="AJ236" s="119" t="str">
        <f ca="1">IF(Configurações!$G$20="Ligado",IF(AI236&lt;=0,"Vazio",IF(Configurações!$G$18="Semana",IF(Configurações!$G$19="Contar",ENTRADAS!AI236/Configurações!$C$18,AI236/SUM(AK236:AN236)),AI236/A236)),"")</f>
        <v>Vazio</v>
      </c>
      <c r="AK236" s="70">
        <f t="shared" si="9"/>
        <v>0</v>
      </c>
      <c r="AL236" s="70">
        <f t="shared" si="10"/>
        <v>0</v>
      </c>
      <c r="AM236" s="70">
        <f t="shared" si="11"/>
        <v>0</v>
      </c>
      <c r="AN236" s="70">
        <f ca="1">IF(SUMIF($Y$4:$AH$4,"&lt;=" &amp; $AJ$3,ENTRADAS!Y236:AH236)&gt;0,1,0)</f>
        <v>0</v>
      </c>
    </row>
    <row r="237" spans="1:40" ht="21">
      <c r="A237" s="68">
        <f ca="1">COUNT(INDEX($C:$AH,ROW(),1):INDEX($C:$AH,ROW(),$AI$3+1))</f>
        <v>0</v>
      </c>
      <c r="B237" s="140" t="str">
        <f>INDEX(Cadastro_Hortfrut[[#All],[Colunas4]],MATCH(ROW()-5,Cadastro_Hortfrut[[#All],[Colunas2]],0))</f>
        <v>Tomate Cereja</v>
      </c>
      <c r="C237" s="193"/>
      <c r="D237" s="193"/>
      <c r="E237" s="193"/>
      <c r="F237" s="193"/>
      <c r="G237" s="193"/>
      <c r="H237" s="193"/>
      <c r="I237" s="193"/>
      <c r="J237" s="193"/>
      <c r="K237" s="193"/>
      <c r="L237" s="193"/>
      <c r="M237" s="193"/>
      <c r="N237" s="193"/>
      <c r="O237" s="193"/>
      <c r="P237" s="193"/>
      <c r="Q237" s="193"/>
      <c r="R237" s="193"/>
      <c r="S237" s="193"/>
      <c r="T237" s="193"/>
      <c r="U237" s="193"/>
      <c r="V237" s="193"/>
      <c r="W237" s="193"/>
      <c r="X237" s="193"/>
      <c r="Y237" s="193"/>
      <c r="Z237" s="193"/>
      <c r="AA237" s="193"/>
      <c r="AB237" s="193"/>
      <c r="AC237" s="193"/>
      <c r="AD237" s="193"/>
      <c r="AE237" s="193"/>
      <c r="AF237" s="193"/>
      <c r="AG237" s="193"/>
      <c r="AH237" s="193"/>
      <c r="AI237" s="145">
        <f ca="1">IF(Configurações!$G$10="Ligado",SUMIFS(C237:AH237,$C$4:$AH$4,"&lt;="&amp;Configurações!$C$5,$C$4:$AH$4,"&lt;="&amp;$AI$3),"")</f>
        <v>0</v>
      </c>
      <c r="AJ237" s="119" t="str">
        <f ca="1">IF(Configurações!$G$20="Ligado",IF(AI237&lt;=0,"Vazio",IF(Configurações!$G$18="Semana",IF(Configurações!$G$19="Contar",ENTRADAS!AI237/Configurações!$C$18,AI237/SUM(AK237:AN237)),AI237/A237)),"")</f>
        <v>Vazio</v>
      </c>
      <c r="AK237" s="70">
        <f t="shared" si="9"/>
        <v>0</v>
      </c>
      <c r="AL237" s="70">
        <f t="shared" si="10"/>
        <v>0</v>
      </c>
      <c r="AM237" s="70">
        <f t="shared" si="11"/>
        <v>0</v>
      </c>
      <c r="AN237" s="70">
        <f ca="1">IF(SUMIF($Y$4:$AH$4,"&lt;=" &amp; $AJ$3,ENTRADAS!Y237:AH237)&gt;0,1,0)</f>
        <v>0</v>
      </c>
    </row>
    <row r="238" spans="1:40" ht="21">
      <c r="A238" s="68">
        <f ca="1">COUNT(INDEX($C:$AH,ROW(),1):INDEX($C:$AH,ROW(),$AI$3+1))</f>
        <v>0</v>
      </c>
      <c r="B238" s="140" t="str">
        <f>INDEX(Cadastro_Hortfrut[[#All],[Colunas4]],MATCH(ROW()-5,Cadastro_Hortfrut[[#All],[Colunas2]],0))</f>
        <v>Tomate Molho</v>
      </c>
      <c r="C238" s="193"/>
      <c r="D238" s="193"/>
      <c r="E238" s="193"/>
      <c r="F238" s="193"/>
      <c r="G238" s="193"/>
      <c r="H238" s="193"/>
      <c r="I238" s="193"/>
      <c r="J238" s="193"/>
      <c r="K238" s="193"/>
      <c r="L238" s="193"/>
      <c r="M238" s="193"/>
      <c r="N238" s="193"/>
      <c r="O238" s="193"/>
      <c r="P238" s="193"/>
      <c r="Q238" s="193"/>
      <c r="R238" s="193"/>
      <c r="S238" s="193"/>
      <c r="T238" s="193"/>
      <c r="U238" s="193"/>
      <c r="V238" s="193"/>
      <c r="W238" s="193"/>
      <c r="X238" s="193"/>
      <c r="Y238" s="193"/>
      <c r="Z238" s="193"/>
      <c r="AA238" s="193"/>
      <c r="AB238" s="193"/>
      <c r="AC238" s="193"/>
      <c r="AD238" s="193"/>
      <c r="AE238" s="193"/>
      <c r="AF238" s="193"/>
      <c r="AG238" s="193"/>
      <c r="AH238" s="193"/>
      <c r="AI238" s="145">
        <f ca="1">IF(Configurações!$G$10="Ligado",SUMIFS(C238:AH238,$C$4:$AH$4,"&lt;="&amp;Configurações!$C$5,$C$4:$AH$4,"&lt;="&amp;$AI$3),"")</f>
        <v>0</v>
      </c>
      <c r="AJ238" s="119" t="str">
        <f ca="1">IF(Configurações!$G$20="Ligado",IF(AI238&lt;=0,"Vazio",IF(Configurações!$G$18="Semana",IF(Configurações!$G$19="Contar",ENTRADAS!AI238/Configurações!$C$18,AI238/SUM(AK238:AN238)),AI238/A238)),"")</f>
        <v>Vazio</v>
      </c>
      <c r="AK238" s="70">
        <f t="shared" si="9"/>
        <v>0</v>
      </c>
      <c r="AL238" s="70">
        <f t="shared" si="10"/>
        <v>0</v>
      </c>
      <c r="AM238" s="70">
        <f t="shared" si="11"/>
        <v>0</v>
      </c>
      <c r="AN238" s="70">
        <f ca="1">IF(SUMIF($Y$4:$AH$4,"&lt;=" &amp; $AJ$3,ENTRADAS!Y238:AH238)&gt;0,1,0)</f>
        <v>0</v>
      </c>
    </row>
    <row r="239" spans="1:40" ht="21">
      <c r="A239" s="68">
        <f ca="1">COUNT(INDEX($C:$AH,ROW(),1):INDEX($C:$AH,ROW(),$AI$3+1))</f>
        <v>8</v>
      </c>
      <c r="B239" s="140" t="str">
        <f>INDEX(Cadastro_Hortfrut[[#All],[Colunas4]],MATCH(ROW()-5,Cadastro_Hortfrut[[#All],[Colunas2]],0))</f>
        <v xml:space="preserve">Tomate Salada </v>
      </c>
      <c r="C239" s="193"/>
      <c r="D239" s="193">
        <v>5</v>
      </c>
      <c r="E239" s="193">
        <v>18</v>
      </c>
      <c r="F239" s="193"/>
      <c r="G239" s="193">
        <v>18</v>
      </c>
      <c r="H239" s="193"/>
      <c r="I239" s="193"/>
      <c r="J239" s="193"/>
      <c r="K239" s="193"/>
      <c r="L239" s="193">
        <v>18</v>
      </c>
      <c r="M239" s="193"/>
      <c r="N239" s="193">
        <v>18</v>
      </c>
      <c r="O239" s="193"/>
      <c r="P239" s="193"/>
      <c r="Q239" s="193"/>
      <c r="R239" s="193"/>
      <c r="S239" s="193">
        <v>18</v>
      </c>
      <c r="T239" s="193"/>
      <c r="U239" s="193">
        <v>18</v>
      </c>
      <c r="V239" s="193">
        <v>18</v>
      </c>
      <c r="W239" s="193"/>
      <c r="X239" s="193"/>
      <c r="Y239" s="193"/>
      <c r="Z239" s="193"/>
      <c r="AA239" s="193"/>
      <c r="AB239" s="193"/>
      <c r="AC239" s="193"/>
      <c r="AD239" s="193"/>
      <c r="AE239" s="193"/>
      <c r="AF239" s="193"/>
      <c r="AG239" s="193"/>
      <c r="AH239" s="193"/>
      <c r="AI239" s="145">
        <f ca="1">IF(Configurações!$G$10="Ligado",SUMIFS(C239:AH239,$C$4:$AH$4,"&lt;="&amp;Configurações!$C$5,$C$4:$AH$4,"&lt;="&amp;$AI$3),"")</f>
        <v>131</v>
      </c>
      <c r="AJ239" s="119">
        <f ca="1">IF(Configurações!$G$20="Ligado",IF(AI239&lt;=0,"Vazio",IF(Configurações!$G$18="Semana",IF(Configurações!$G$19="Contar",ENTRADAS!AI239/Configurações!$C$18,AI239/SUM(AK239:AN239)),AI239/A239)),"")</f>
        <v>43.666666666666664</v>
      </c>
      <c r="AK239" s="70">
        <f t="shared" si="9"/>
        <v>1</v>
      </c>
      <c r="AL239" s="70">
        <f t="shared" si="10"/>
        <v>1</v>
      </c>
      <c r="AM239" s="70">
        <f t="shared" si="11"/>
        <v>1</v>
      </c>
      <c r="AN239" s="70">
        <f ca="1">IF(SUMIF($Y$4:$AH$4,"&lt;=" &amp; $AJ$3,ENTRADAS!Y239:AH239)&gt;0,1,0)</f>
        <v>0</v>
      </c>
    </row>
    <row r="240" spans="1:40" ht="21">
      <c r="A240" s="68">
        <f ca="1">COUNT(INDEX($C:$AH,ROW(),1):INDEX($C:$AH,ROW(),$AI$3+1))</f>
        <v>0</v>
      </c>
      <c r="B240" s="140" t="str">
        <f>INDEX(Cadastro_Hortfrut[[#All],[Colunas4]],MATCH(ROW()-5,Cadastro_Hortfrut[[#All],[Colunas2]],0))</f>
        <v>Uva</v>
      </c>
      <c r="C240" s="193"/>
      <c r="D240" s="193"/>
      <c r="E240" s="193"/>
      <c r="F240" s="193"/>
      <c r="G240" s="193"/>
      <c r="H240" s="193"/>
      <c r="I240" s="193"/>
      <c r="J240" s="193"/>
      <c r="K240" s="193"/>
      <c r="L240" s="193"/>
      <c r="M240" s="193"/>
      <c r="N240" s="193"/>
      <c r="O240" s="193"/>
      <c r="P240" s="193"/>
      <c r="Q240" s="193"/>
      <c r="R240" s="193"/>
      <c r="S240" s="193"/>
      <c r="T240" s="193"/>
      <c r="U240" s="193"/>
      <c r="V240" s="193"/>
      <c r="W240" s="193"/>
      <c r="X240" s="193"/>
      <c r="Y240" s="193"/>
      <c r="Z240" s="193"/>
      <c r="AA240" s="193"/>
      <c r="AB240" s="193"/>
      <c r="AC240" s="193"/>
      <c r="AD240" s="193"/>
      <c r="AE240" s="193"/>
      <c r="AF240" s="193"/>
      <c r="AG240" s="193"/>
      <c r="AH240" s="193"/>
      <c r="AI240" s="145">
        <f ca="1">IF(Configurações!$G$10="Ligado",SUMIFS(C240:AH240,$C$4:$AH$4,"&lt;="&amp;Configurações!$C$5,$C$4:$AH$4,"&lt;="&amp;$AI$3),"")</f>
        <v>0</v>
      </c>
      <c r="AJ240" s="119" t="str">
        <f ca="1">IF(Configurações!$G$20="Ligado",IF(AI240&lt;=0,"Vazio",IF(Configurações!$G$18="Semana",IF(Configurações!$G$19="Contar",ENTRADAS!AI240/Configurações!$C$18,AI240/SUM(AK240:AN240)),AI240/A240)),"")</f>
        <v>Vazio</v>
      </c>
      <c r="AK240" s="70">
        <f t="shared" si="9"/>
        <v>0</v>
      </c>
      <c r="AL240" s="70">
        <f t="shared" si="10"/>
        <v>0</v>
      </c>
      <c r="AM240" s="70">
        <f t="shared" si="11"/>
        <v>0</v>
      </c>
      <c r="AN240" s="70">
        <f ca="1">IF(SUMIF($Y$4:$AH$4,"&lt;=" &amp; $AJ$3,ENTRADAS!Y240:AH240)&gt;0,1,0)</f>
        <v>0</v>
      </c>
    </row>
    <row r="241" spans="1:40" ht="21">
      <c r="A241" s="68">
        <f ca="1">COUNT(INDEX($C:$AH,ROW(),1):INDEX($C:$AH,ROW(),$AI$3+1))</f>
        <v>0</v>
      </c>
      <c r="B241" s="106" t="str">
        <f>INDEX(Cadastro_Hortfrut[[#All],[Colunas4]],MATCH(ROW()-5,Cadastro_Hortfrut[[#All],[Colunas2]],0))</f>
        <v xml:space="preserve">Vagem </v>
      </c>
      <c r="C241" s="193"/>
      <c r="D241" s="193"/>
      <c r="E241" s="193"/>
      <c r="F241" s="193"/>
      <c r="G241" s="193"/>
      <c r="H241" s="193"/>
      <c r="I241" s="193"/>
      <c r="J241" s="193"/>
      <c r="K241" s="193"/>
      <c r="L241" s="193"/>
      <c r="M241" s="193"/>
      <c r="N241" s="193"/>
      <c r="O241" s="193"/>
      <c r="P241" s="193"/>
      <c r="Q241" s="193"/>
      <c r="R241" s="193"/>
      <c r="S241" s="193"/>
      <c r="T241" s="193"/>
      <c r="U241" s="193"/>
      <c r="V241" s="193"/>
      <c r="W241" s="193"/>
      <c r="X241" s="193"/>
      <c r="Y241" s="193"/>
      <c r="Z241" s="193"/>
      <c r="AA241" s="193"/>
      <c r="AB241" s="193"/>
      <c r="AC241" s="193"/>
      <c r="AD241" s="193"/>
      <c r="AE241" s="193"/>
      <c r="AF241" s="193"/>
      <c r="AG241" s="193"/>
      <c r="AH241" s="193"/>
      <c r="AI241" s="118">
        <f ca="1">IF(Configurações!$G$10="Ligado",SUMIFS(C241:AH241,$C$4:$AH$4,"&lt;="&amp;Configurações!$C$5,$C$4:$AH$4,"&lt;="&amp;$AI$3),"")</f>
        <v>0</v>
      </c>
      <c r="AJ241" s="119" t="str">
        <f ca="1">IF(Configurações!$G$20="Ligado",IF(AI241&lt;=0,"Vazio",IF(Configurações!$G$18="Semana",IF(Configurações!$G$19="Contar",ENTRADAS!AI241/Configurações!$C$18,AI241/SUM(AK241:AN241)),AI241/A241)),"")</f>
        <v>Vazio</v>
      </c>
      <c r="AK241" s="70">
        <f t="shared" si="9"/>
        <v>0</v>
      </c>
      <c r="AL241" s="70">
        <f t="shared" si="10"/>
        <v>0</v>
      </c>
      <c r="AM241" s="70">
        <f t="shared" si="11"/>
        <v>0</v>
      </c>
      <c r="AN241" s="70">
        <f ca="1">IF(SUMIF($Y$4:$AH$4,"&lt;=" &amp; $AJ$3,ENTRADAS!Y241:AH241)&gt;0,1,0)</f>
        <v>0</v>
      </c>
    </row>
    <row r="242" spans="1:40" ht="21.75" thickBot="1">
      <c r="C242" s="193"/>
      <c r="D242" s="193"/>
      <c r="E242" s="193"/>
      <c r="F242" s="193"/>
      <c r="G242" s="193"/>
      <c r="H242" s="193"/>
      <c r="I242" s="193"/>
      <c r="J242" s="193"/>
      <c r="K242" s="193"/>
      <c r="L242" s="193"/>
      <c r="M242" s="193"/>
      <c r="N242" s="193"/>
      <c r="O242" s="193"/>
      <c r="P242" s="193"/>
      <c r="Q242" s="193"/>
      <c r="R242" s="193"/>
      <c r="S242" s="193"/>
      <c r="T242" s="193"/>
      <c r="U242" s="193"/>
      <c r="V242" s="193"/>
      <c r="W242" s="193"/>
      <c r="X242" s="193"/>
      <c r="Y242" s="193"/>
      <c r="Z242" s="193"/>
      <c r="AA242" s="193"/>
      <c r="AB242" s="193"/>
      <c r="AC242" s="193"/>
      <c r="AD242" s="193"/>
      <c r="AE242" s="193"/>
      <c r="AF242" s="193"/>
      <c r="AG242" s="193"/>
      <c r="AH242" s="193"/>
      <c r="AI242" s="193"/>
      <c r="AJ242" s="119"/>
      <c r="AK242" s="70"/>
      <c r="AL242" s="70"/>
      <c r="AM242" s="70"/>
      <c r="AN242" s="70"/>
    </row>
    <row r="243" spans="1:40" ht="24" thickBot="1">
      <c r="B243" s="451" t="s">
        <v>406</v>
      </c>
      <c r="C243" s="452"/>
      <c r="D243" s="452"/>
      <c r="E243" s="452"/>
      <c r="F243" s="452"/>
      <c r="G243" s="452"/>
      <c r="H243" s="452"/>
      <c r="I243" s="452"/>
      <c r="J243" s="452"/>
      <c r="K243" s="452"/>
      <c r="L243" s="452"/>
      <c r="M243" s="452"/>
      <c r="N243" s="452"/>
      <c r="O243" s="452"/>
      <c r="P243" s="452"/>
      <c r="Q243" s="452"/>
      <c r="R243" s="452"/>
      <c r="S243" s="452"/>
      <c r="T243" s="452"/>
      <c r="U243" s="452"/>
      <c r="V243" s="452"/>
      <c r="W243" s="452"/>
      <c r="X243" s="452"/>
      <c r="Y243" s="452"/>
      <c r="Z243" s="452"/>
      <c r="AA243" s="452"/>
      <c r="AB243" s="452"/>
      <c r="AC243" s="452"/>
      <c r="AD243" s="452"/>
      <c r="AE243" s="452"/>
      <c r="AF243" s="452"/>
      <c r="AG243" s="452"/>
      <c r="AH243" s="452"/>
      <c r="AI243" s="452"/>
      <c r="AJ243" s="452"/>
    </row>
    <row r="244" spans="1:40" ht="21">
      <c r="A244" s="228">
        <f ca="1">COUNT(INDEX($C:$AH,ROW(),1):INDEX($C:$AH,ROW(),$AI$3+1))</f>
        <v>4</v>
      </c>
      <c r="B244" s="231" t="str">
        <f>INDEX(Cadastro_Limpeza[[#All],[Colunas4]],MATCH(ROW()-5,Cadastro_Limpeza[[#All],[Colunas2]],0))</f>
        <v>Água Sanitária LT</v>
      </c>
      <c r="C244" s="238">
        <v>10</v>
      </c>
      <c r="D244" s="238">
        <v>6</v>
      </c>
      <c r="E244" s="238"/>
      <c r="F244" s="238"/>
      <c r="G244" s="238"/>
      <c r="H244" s="238"/>
      <c r="I244" s="238"/>
      <c r="J244" s="238"/>
      <c r="K244" s="238">
        <v>40</v>
      </c>
      <c r="L244" s="238"/>
      <c r="M244" s="238"/>
      <c r="N244" s="238"/>
      <c r="O244" s="238"/>
      <c r="P244" s="238"/>
      <c r="Q244" s="238">
        <v>30</v>
      </c>
      <c r="R244" s="238"/>
      <c r="S244" s="238"/>
      <c r="T244" s="238"/>
      <c r="U244" s="238"/>
      <c r="V244" s="238"/>
      <c r="W244" s="238"/>
      <c r="X244" s="238"/>
      <c r="Y244" s="238"/>
      <c r="Z244" s="238"/>
      <c r="AA244" s="238"/>
      <c r="AB244" s="238"/>
      <c r="AC244" s="238"/>
      <c r="AD244" s="238"/>
      <c r="AE244" s="238"/>
      <c r="AF244" s="238"/>
      <c r="AG244" s="238"/>
      <c r="AH244" s="238"/>
      <c r="AI244" s="264">
        <f ca="1">IF(Configurações!$G$10="Ligado",SUMIFS(C244:AH244,$C$4:$AH$4,"&lt;="&amp;Configurações!$C$5,$C$4:$AH$4,"&lt;="&amp;$AI$3),"")</f>
        <v>86</v>
      </c>
      <c r="AJ244" s="229">
        <f ca="1">IF(Configurações!$G$20="Ligado",IF(AI244&lt;=0,"Vazio",IF(Configurações!$G$18="Semana",IF(Configurações!$G$19="Contar",ENTRADAS!AI244/Configurações!$C$18,AI244/SUM(AK244:AN244)),AI244/A244)),"")</f>
        <v>43</v>
      </c>
      <c r="AK244" s="232">
        <f>IF(SUM(C244:J244)&gt;0,1,0)</f>
        <v>1</v>
      </c>
      <c r="AL244" s="232">
        <f>IF(SUM(K244:Q244)&gt;0,1,0)</f>
        <v>1</v>
      </c>
      <c r="AM244" s="232">
        <f>IF(SUM(R244:X244)&gt;0,1,0)</f>
        <v>0</v>
      </c>
      <c r="AN244" s="232">
        <f ca="1">IF(SUMIF($Y$4:$AH$4,"&lt;=" &amp; $AJ$3,ENTRADAS!Y244:AH244)&gt;0,1,0)</f>
        <v>0</v>
      </c>
    </row>
    <row r="245" spans="1:40" ht="21">
      <c r="A245" s="228">
        <f ca="1">COUNT(INDEX($C:$AH,ROW(),1):INDEX($C:$AH,ROW(),$AI$3+1))</f>
        <v>1</v>
      </c>
      <c r="B245" s="230" t="str">
        <f>INDEX(Cadastro_Limpeza[[#All],[Colunas4]],MATCH(ROW()-5,Cadastro_Limpeza[[#All],[Colunas2]],0))</f>
        <v>Alcool gel LT</v>
      </c>
      <c r="C245" s="239"/>
      <c r="D245" s="239"/>
      <c r="E245" s="239"/>
      <c r="F245" s="239"/>
      <c r="G245" s="239"/>
      <c r="H245" s="239"/>
      <c r="I245" s="239"/>
      <c r="J245" s="239"/>
      <c r="K245" s="239">
        <v>10</v>
      </c>
      <c r="L245" s="239"/>
      <c r="M245" s="239"/>
      <c r="N245" s="239"/>
      <c r="O245" s="239"/>
      <c r="P245" s="239"/>
      <c r="Q245" s="239"/>
      <c r="R245" s="239"/>
      <c r="S245" s="239"/>
      <c r="T245" s="239"/>
      <c r="U245" s="239"/>
      <c r="V245" s="239"/>
      <c r="W245" s="239"/>
      <c r="X245" s="239"/>
      <c r="Y245" s="239"/>
      <c r="Z245" s="239"/>
      <c r="AA245" s="239"/>
      <c r="AB245" s="239"/>
      <c r="AC245" s="239"/>
      <c r="AD245" s="239"/>
      <c r="AE245" s="239"/>
      <c r="AF245" s="239"/>
      <c r="AG245" s="239"/>
      <c r="AH245" s="239"/>
      <c r="AI245" s="264">
        <f ca="1">IF(Configurações!$G$10="Ligado",SUMIFS(C245:AH245,$C$4:$AH$4,"&lt;="&amp;Configurações!$C$5,$C$4:$AH$4,"&lt;="&amp;$AI$3),"")</f>
        <v>10</v>
      </c>
      <c r="AJ245" s="229">
        <f ca="1">IF(Configurações!$G$20="Ligado",IF(AI245&lt;=0,"Vazio",IF(Configurações!$G$18="Semana",IF(Configurações!$G$19="Contar",ENTRADAS!AI245/Configurações!$C$18,AI245/SUM(AK245:AN245)),AI245/A245)),"")</f>
        <v>10</v>
      </c>
      <c r="AK245" s="232">
        <f t="shared" ref="AK245:AK308" si="12">IF(SUM(C245:J245)&gt;0,1,0)</f>
        <v>0</v>
      </c>
      <c r="AL245" s="232">
        <f t="shared" ref="AL245:AL308" si="13">IF(SUM(K245:Q245)&gt;0,1,0)</f>
        <v>1</v>
      </c>
      <c r="AM245" s="232">
        <f t="shared" ref="AM245:AM308" si="14">IF(SUM(R245:X245)&gt;0,1,0)</f>
        <v>0</v>
      </c>
      <c r="AN245" s="232">
        <f ca="1">IF(SUMIF($Y$4:$AH$4,"&lt;=" &amp; $AJ$3,ENTRADAS!Y245:AH245)&gt;0,1,0)</f>
        <v>0</v>
      </c>
    </row>
    <row r="246" spans="1:40" ht="21">
      <c r="A246" s="228">
        <f ca="1">COUNT(INDEX($C:$AH,ROW(),1):INDEX($C:$AH,ROW(),$AI$3+1))</f>
        <v>2</v>
      </c>
      <c r="B246" s="231" t="str">
        <f>INDEX(Cadastro_Limpeza[[#All],[Colunas4]],MATCH(ROW()-5,Cadastro_Limpeza[[#All],[Colunas2]],0))</f>
        <v>Álcool LT</v>
      </c>
      <c r="C246" s="238"/>
      <c r="D246" s="238">
        <v>24</v>
      </c>
      <c r="E246" s="238"/>
      <c r="F246" s="238"/>
      <c r="G246" s="238"/>
      <c r="H246" s="238"/>
      <c r="I246" s="238"/>
      <c r="J246" s="238"/>
      <c r="K246" s="238">
        <v>12</v>
      </c>
      <c r="L246" s="238"/>
      <c r="M246" s="238"/>
      <c r="N246" s="238"/>
      <c r="O246" s="238"/>
      <c r="P246" s="238"/>
      <c r="Q246" s="238"/>
      <c r="R246" s="238"/>
      <c r="S246" s="238"/>
      <c r="T246" s="238"/>
      <c r="U246" s="238"/>
      <c r="V246" s="238"/>
      <c r="W246" s="238"/>
      <c r="X246" s="238"/>
      <c r="Y246" s="238"/>
      <c r="Z246" s="238"/>
      <c r="AA246" s="238"/>
      <c r="AB246" s="238"/>
      <c r="AC246" s="238"/>
      <c r="AD246" s="238"/>
      <c r="AE246" s="238"/>
      <c r="AF246" s="238"/>
      <c r="AG246" s="238"/>
      <c r="AH246" s="238"/>
      <c r="AI246" s="264">
        <f ca="1">IF(Configurações!$G$10="Ligado",SUMIFS(C246:AH246,$C$4:$AH$4,"&lt;="&amp;Configurações!$C$5,$C$4:$AH$4,"&lt;="&amp;$AI$3),"")</f>
        <v>36</v>
      </c>
      <c r="AJ246" s="229">
        <f ca="1">IF(Configurações!$G$20="Ligado",IF(AI246&lt;=0,"Vazio",IF(Configurações!$G$18="Semana",IF(Configurações!$G$19="Contar",ENTRADAS!AI246/Configurações!$C$18,AI246/SUM(AK246:AN246)),AI246/A246)),"")</f>
        <v>18</v>
      </c>
      <c r="AK246" s="232">
        <f t="shared" si="12"/>
        <v>1</v>
      </c>
      <c r="AL246" s="232">
        <f t="shared" si="13"/>
        <v>1</v>
      </c>
      <c r="AM246" s="232">
        <f t="shared" si="14"/>
        <v>0</v>
      </c>
      <c r="AN246" s="232">
        <f ca="1">IF(SUMIF($Y$4:$AH$4,"&lt;=" &amp; $AJ$3,ENTRADAS!Y246:AH246)&gt;0,1,0)</f>
        <v>0</v>
      </c>
    </row>
    <row r="247" spans="1:40" ht="21">
      <c r="A247" s="228">
        <f ca="1">COUNT(INDEX($C:$AH,ROW(),1):INDEX($C:$AH,ROW(),$AI$3+1))</f>
        <v>2</v>
      </c>
      <c r="B247" s="230" t="str">
        <f>INDEX(Cadastro_Limpeza[[#All],[Colunas4]],MATCH(ROW()-5,Cadastro_Limpeza[[#All],[Colunas2]],0))</f>
        <v>Amaciante</v>
      </c>
      <c r="C247" s="239"/>
      <c r="D247" s="239">
        <v>15</v>
      </c>
      <c r="E247" s="239"/>
      <c r="F247" s="239"/>
      <c r="G247" s="239"/>
      <c r="H247" s="239"/>
      <c r="I247" s="239"/>
      <c r="J247" s="239"/>
      <c r="K247" s="239">
        <v>20</v>
      </c>
      <c r="L247" s="239"/>
      <c r="M247" s="239"/>
      <c r="N247" s="239"/>
      <c r="O247" s="239"/>
      <c r="P247" s="239"/>
      <c r="Q247" s="239"/>
      <c r="R247" s="239"/>
      <c r="S247" s="239"/>
      <c r="T247" s="239"/>
      <c r="U247" s="239"/>
      <c r="V247" s="239"/>
      <c r="W247" s="239"/>
      <c r="X247" s="239"/>
      <c r="Y247" s="239"/>
      <c r="Z247" s="239"/>
      <c r="AA247" s="239"/>
      <c r="AB247" s="239"/>
      <c r="AC247" s="239"/>
      <c r="AD247" s="239"/>
      <c r="AE247" s="239"/>
      <c r="AF247" s="239"/>
      <c r="AG247" s="239"/>
      <c r="AH247" s="239"/>
      <c r="AI247" s="264">
        <f ca="1">IF(Configurações!$G$10="Ligado",SUMIFS(C247:AH247,$C$4:$AH$4,"&lt;="&amp;Configurações!$C$5,$C$4:$AH$4,"&lt;="&amp;$AI$3),"")</f>
        <v>35</v>
      </c>
      <c r="AJ247" s="229">
        <f ca="1">IF(Configurações!$G$20="Ligado",IF(AI247&lt;=0,"Vazio",IF(Configurações!$G$18="Semana",IF(Configurações!$G$19="Contar",ENTRADAS!AI247/Configurações!$C$18,AI247/SUM(AK247:AN247)),AI247/A247)),"")</f>
        <v>17.5</v>
      </c>
      <c r="AK247" s="232">
        <f t="shared" si="12"/>
        <v>1</v>
      </c>
      <c r="AL247" s="232">
        <f t="shared" si="13"/>
        <v>1</v>
      </c>
      <c r="AM247" s="232">
        <f t="shared" si="14"/>
        <v>0</v>
      </c>
      <c r="AN247" s="232">
        <f ca="1">IF(SUMIF($Y$4:$AH$4,"&lt;=" &amp; $AJ$3,ENTRADAS!Y247:AH247)&gt;0,1,0)</f>
        <v>0</v>
      </c>
    </row>
    <row r="248" spans="1:40" ht="21">
      <c r="A248" s="228">
        <f ca="1">COUNT(INDEX($C:$AH,ROW(),1):INDEX($C:$AH,ROW(),$AI$3+1))</f>
        <v>0</v>
      </c>
      <c r="B248" s="231" t="str">
        <f>INDEX(Cadastro_Limpeza[[#All],[Colunas4]],MATCH(ROW()-5,Cadastro_Limpeza[[#All],[Colunas2]],0))</f>
        <v>Bobina Papel toalha c/6 rolos</v>
      </c>
      <c r="C248" s="238"/>
      <c r="D248" s="238"/>
      <c r="E248" s="238"/>
      <c r="F248" s="238"/>
      <c r="G248" s="238"/>
      <c r="H248" s="238"/>
      <c r="I248" s="238"/>
      <c r="J248" s="238"/>
      <c r="K248" s="238"/>
      <c r="L248" s="238"/>
      <c r="M248" s="238"/>
      <c r="N248" s="238"/>
      <c r="O248" s="238"/>
      <c r="P248" s="238"/>
      <c r="Q248" s="238"/>
      <c r="R248" s="238"/>
      <c r="S248" s="238"/>
      <c r="T248" s="238"/>
      <c r="U248" s="238"/>
      <c r="V248" s="238"/>
      <c r="W248" s="238"/>
      <c r="X248" s="238"/>
      <c r="Y248" s="238"/>
      <c r="Z248" s="238"/>
      <c r="AA248" s="238"/>
      <c r="AB248" s="238"/>
      <c r="AC248" s="238"/>
      <c r="AD248" s="238"/>
      <c r="AE248" s="238"/>
      <c r="AF248" s="238"/>
      <c r="AG248" s="238"/>
      <c r="AH248" s="238"/>
      <c r="AI248" s="264">
        <f ca="1">IF(Configurações!$G$10="Ligado",SUMIFS(C248:AH248,$C$4:$AH$4,"&lt;="&amp;Configurações!$C$5,$C$4:$AH$4,"&lt;="&amp;$AI$3),"")</f>
        <v>0</v>
      </c>
      <c r="AJ248" s="229" t="str">
        <f ca="1">IF(Configurações!$G$20="Ligado",IF(AI248&lt;=0,"Vazio",IF(Configurações!$G$18="Semana",IF(Configurações!$G$19="Contar",ENTRADAS!AI248/Configurações!$C$18,AI248/SUM(AK248:AN248)),AI248/A248)),"")</f>
        <v>Vazio</v>
      </c>
      <c r="AK248" s="232">
        <f t="shared" si="12"/>
        <v>0</v>
      </c>
      <c r="AL248" s="232">
        <f t="shared" si="13"/>
        <v>0</v>
      </c>
      <c r="AM248" s="232">
        <f t="shared" si="14"/>
        <v>0</v>
      </c>
      <c r="AN248" s="232">
        <f ca="1">IF(SUMIF($Y$4:$AH$4,"&lt;=" &amp; $AJ$3,ENTRADAS!Y248:AH248)&gt;0,1,0)</f>
        <v>0</v>
      </c>
    </row>
    <row r="249" spans="1:40" ht="21">
      <c r="A249" s="228">
        <f ca="1">COUNT(INDEX($C:$AH,ROW(),1):INDEX($C:$AH,ROW(),$AI$3+1))</f>
        <v>0</v>
      </c>
      <c r="B249" s="230" t="str">
        <f>INDEX(Cadastro_Limpeza[[#All],[Colunas4]],MATCH(ROW()-5,Cadastro_Limpeza[[#All],[Colunas2]],0))</f>
        <v xml:space="preserve">Bom ar </v>
      </c>
      <c r="C249" s="239"/>
      <c r="D249" s="239"/>
      <c r="E249" s="239"/>
      <c r="F249" s="239"/>
      <c r="G249" s="239"/>
      <c r="H249" s="239"/>
      <c r="I249" s="239"/>
      <c r="J249" s="239"/>
      <c r="K249" s="239"/>
      <c r="L249" s="239"/>
      <c r="M249" s="239"/>
      <c r="N249" s="239"/>
      <c r="O249" s="239"/>
      <c r="P249" s="239"/>
      <c r="Q249" s="239"/>
      <c r="R249" s="239"/>
      <c r="S249" s="239"/>
      <c r="T249" s="239"/>
      <c r="U249" s="239"/>
      <c r="V249" s="239"/>
      <c r="W249" s="239"/>
      <c r="X249" s="239"/>
      <c r="Y249" s="239"/>
      <c r="Z249" s="239"/>
      <c r="AA249" s="239"/>
      <c r="AB249" s="239"/>
      <c r="AC249" s="239"/>
      <c r="AD249" s="239"/>
      <c r="AE249" s="239"/>
      <c r="AF249" s="239"/>
      <c r="AG249" s="239"/>
      <c r="AH249" s="239"/>
      <c r="AI249" s="264">
        <f ca="1">IF(Configurações!$G$10="Ligado",SUMIFS(C249:AH249,$C$4:$AH$4,"&lt;="&amp;Configurações!$C$5,$C$4:$AH$4,"&lt;="&amp;$AI$3),"")</f>
        <v>0</v>
      </c>
      <c r="AJ249" s="229" t="str">
        <f ca="1">IF(Configurações!$G$20="Ligado",IF(AI249&lt;=0,"Vazio",IF(Configurações!$G$18="Semana",IF(Configurações!$G$19="Contar",ENTRADAS!AI249/Configurações!$C$18,AI249/SUM(AK249:AN249)),AI249/A249)),"")</f>
        <v>Vazio</v>
      </c>
      <c r="AK249" s="232">
        <f t="shared" si="12"/>
        <v>0</v>
      </c>
      <c r="AL249" s="232">
        <f t="shared" si="13"/>
        <v>0</v>
      </c>
      <c r="AM249" s="232">
        <f t="shared" si="14"/>
        <v>0</v>
      </c>
      <c r="AN249" s="232">
        <f ca="1">IF(SUMIF($Y$4:$AH$4,"&lt;=" &amp; $AJ$3,ENTRADAS!Y249:AH249)&gt;0,1,0)</f>
        <v>0</v>
      </c>
    </row>
    <row r="250" spans="1:40" ht="21">
      <c r="A250" s="228">
        <f ca="1">COUNT(INDEX($C:$AH,ROW(),1):INDEX($C:$AH,ROW(),$AI$3+1))</f>
        <v>0</v>
      </c>
      <c r="B250" s="231" t="str">
        <f>INDEX(Cadastro_Limpeza[[#All],[Colunas4]],MATCH(ROW()-5,Cadastro_Limpeza[[#All],[Colunas2]],0))</f>
        <v>Bom bril</v>
      </c>
      <c r="C250" s="238"/>
      <c r="D250" s="238"/>
      <c r="E250" s="238"/>
      <c r="F250" s="238"/>
      <c r="G250" s="238"/>
      <c r="H250" s="238"/>
      <c r="I250" s="238"/>
      <c r="J250" s="238"/>
      <c r="K250" s="238"/>
      <c r="L250" s="238"/>
      <c r="M250" s="238"/>
      <c r="N250" s="238"/>
      <c r="O250" s="238"/>
      <c r="P250" s="238"/>
      <c r="Q250" s="238"/>
      <c r="R250" s="238"/>
      <c r="S250" s="238"/>
      <c r="T250" s="238"/>
      <c r="U250" s="238"/>
      <c r="V250" s="238"/>
      <c r="W250" s="238"/>
      <c r="X250" s="238"/>
      <c r="Y250" s="238"/>
      <c r="Z250" s="238"/>
      <c r="AA250" s="238"/>
      <c r="AB250" s="238"/>
      <c r="AC250" s="238"/>
      <c r="AD250" s="238"/>
      <c r="AE250" s="238"/>
      <c r="AF250" s="238"/>
      <c r="AG250" s="238"/>
      <c r="AH250" s="238"/>
      <c r="AI250" s="264">
        <f ca="1">IF(Configurações!$G$10="Ligado",SUMIFS(C250:AH250,$C$4:$AH$4,"&lt;="&amp;Configurações!$C$5,$C$4:$AH$4,"&lt;="&amp;$AI$3),"")</f>
        <v>0</v>
      </c>
      <c r="AJ250" s="229" t="str">
        <f ca="1">IF(Configurações!$G$20="Ligado",IF(AI250&lt;=0,"Vazio",IF(Configurações!$G$18="Semana",IF(Configurações!$G$19="Contar",ENTRADAS!AI250/Configurações!$C$18,AI250/SUM(AK250:AN250)),AI250/A250)),"")</f>
        <v>Vazio</v>
      </c>
      <c r="AK250" s="232">
        <f t="shared" si="12"/>
        <v>0</v>
      </c>
      <c r="AL250" s="232">
        <f t="shared" si="13"/>
        <v>0</v>
      </c>
      <c r="AM250" s="232">
        <f t="shared" si="14"/>
        <v>0</v>
      </c>
      <c r="AN250" s="232">
        <f ca="1">IF(SUMIF($Y$4:$AH$4,"&lt;=" &amp; $AJ$3,ENTRADAS!Y250:AH250)&gt;0,1,0)</f>
        <v>0</v>
      </c>
    </row>
    <row r="251" spans="1:40" ht="21">
      <c r="A251" s="228">
        <f ca="1">COUNT(INDEX($C:$AH,ROW(),1):INDEX($C:$AH,ROW(),$AI$3+1))</f>
        <v>0</v>
      </c>
      <c r="B251" s="230" t="str">
        <f>INDEX(Cadastro_Limpeza[[#All],[Colunas4]],MATCH(ROW()-5,Cadastro_Limpeza[[#All],[Colunas2]],0))</f>
        <v>Bota de Borracha</v>
      </c>
      <c r="C251" s="239"/>
      <c r="D251" s="239"/>
      <c r="E251" s="239"/>
      <c r="F251" s="239"/>
      <c r="G251" s="239"/>
      <c r="H251" s="239"/>
      <c r="I251" s="239"/>
      <c r="J251" s="239"/>
      <c r="K251" s="239"/>
      <c r="L251" s="239"/>
      <c r="M251" s="239"/>
      <c r="N251" s="239"/>
      <c r="O251" s="239"/>
      <c r="P251" s="239"/>
      <c r="Q251" s="239"/>
      <c r="R251" s="239"/>
      <c r="S251" s="239"/>
      <c r="T251" s="239"/>
      <c r="U251" s="239"/>
      <c r="V251" s="239"/>
      <c r="W251" s="239"/>
      <c r="X251" s="239"/>
      <c r="Y251" s="239"/>
      <c r="Z251" s="239"/>
      <c r="AA251" s="239"/>
      <c r="AB251" s="239"/>
      <c r="AC251" s="239"/>
      <c r="AD251" s="239"/>
      <c r="AE251" s="239"/>
      <c r="AF251" s="239"/>
      <c r="AG251" s="239"/>
      <c r="AH251" s="239"/>
      <c r="AI251" s="264">
        <f ca="1">IF(Configurações!$G$10="Ligado",SUMIFS(C251:AH251,$C$4:$AH$4,"&lt;="&amp;Configurações!$C$5,$C$4:$AH$4,"&lt;="&amp;$AI$3),"")</f>
        <v>0</v>
      </c>
      <c r="AJ251" s="229" t="str">
        <f ca="1">IF(Configurações!$G$20="Ligado",IF(AI251&lt;=0,"Vazio",IF(Configurações!$G$18="Semana",IF(Configurações!$G$19="Contar",ENTRADAS!AI251/Configurações!$C$18,AI251/SUM(AK251:AN251)),AI251/A251)),"")</f>
        <v>Vazio</v>
      </c>
      <c r="AK251" s="232">
        <f t="shared" si="12"/>
        <v>0</v>
      </c>
      <c r="AL251" s="232">
        <f t="shared" si="13"/>
        <v>0</v>
      </c>
      <c r="AM251" s="232">
        <f t="shared" si="14"/>
        <v>0</v>
      </c>
      <c r="AN251" s="232">
        <f ca="1">IF(SUMIF($Y$4:$AH$4,"&lt;=" &amp; $AJ$3,ENTRADAS!Y251:AH251)&gt;0,1,0)</f>
        <v>0</v>
      </c>
    </row>
    <row r="252" spans="1:40" ht="21">
      <c r="A252" s="228">
        <f ca="1">COUNT(INDEX($C:$AH,ROW(),1):INDEX($C:$AH,ROW(),$AI$3+1))</f>
        <v>0</v>
      </c>
      <c r="B252" s="231" t="str">
        <f>INDEX(Cadastro_Limpeza[[#All],[Colunas4]],MATCH(ROW()-5,Cadastro_Limpeza[[#All],[Colunas2]],0))</f>
        <v>Cera Liquida  LT</v>
      </c>
      <c r="C252" s="238"/>
      <c r="D252" s="238"/>
      <c r="E252" s="238"/>
      <c r="F252" s="238"/>
      <c r="G252" s="238"/>
      <c r="H252" s="238"/>
      <c r="I252" s="238"/>
      <c r="J252" s="238"/>
      <c r="K252" s="238"/>
      <c r="L252" s="238"/>
      <c r="M252" s="238"/>
      <c r="N252" s="238"/>
      <c r="O252" s="238"/>
      <c r="P252" s="238"/>
      <c r="Q252" s="238"/>
      <c r="R252" s="238"/>
      <c r="S252" s="238"/>
      <c r="T252" s="238"/>
      <c r="U252" s="238"/>
      <c r="V252" s="238"/>
      <c r="W252" s="238"/>
      <c r="X252" s="238"/>
      <c r="Y252" s="238"/>
      <c r="Z252" s="238"/>
      <c r="AA252" s="238"/>
      <c r="AB252" s="238"/>
      <c r="AC252" s="238"/>
      <c r="AD252" s="238"/>
      <c r="AE252" s="238"/>
      <c r="AF252" s="238"/>
      <c r="AG252" s="238"/>
      <c r="AH252" s="238"/>
      <c r="AI252" s="264">
        <f ca="1">IF(Configurações!$G$10="Ligado",SUMIFS(C252:AH252,$C$4:$AH$4,"&lt;="&amp;Configurações!$C$5,$C$4:$AH$4,"&lt;="&amp;$AI$3),"")</f>
        <v>0</v>
      </c>
      <c r="AJ252" s="229" t="str">
        <f ca="1">IF(Configurações!$G$20="Ligado",IF(AI252&lt;=0,"Vazio",IF(Configurações!$G$18="Semana",IF(Configurações!$G$19="Contar",ENTRADAS!AI252/Configurações!$C$18,AI252/SUM(AK252:AN252)),AI252/A252)),"")</f>
        <v>Vazio</v>
      </c>
      <c r="AK252" s="232">
        <f t="shared" si="12"/>
        <v>0</v>
      </c>
      <c r="AL252" s="232">
        <f t="shared" si="13"/>
        <v>0</v>
      </c>
      <c r="AM252" s="232">
        <f t="shared" si="14"/>
        <v>0</v>
      </c>
      <c r="AN252" s="232">
        <f ca="1">IF(SUMIF($Y$4:$AH$4,"&lt;=" &amp; $AJ$3,ENTRADAS!Y252:AH252)&gt;0,1,0)</f>
        <v>0</v>
      </c>
    </row>
    <row r="253" spans="1:40" ht="21">
      <c r="A253" s="228">
        <f ca="1">COUNT(INDEX($C:$AH,ROW(),1):INDEX($C:$AH,ROW(),$AI$3+1))</f>
        <v>0</v>
      </c>
      <c r="B253" s="230" t="str">
        <f>INDEX(Cadastro_Limpeza[[#All],[Colunas4]],MATCH(ROW()-5,Cadastro_Limpeza[[#All],[Colunas2]],0))</f>
        <v>Cesto de Lixo</v>
      </c>
      <c r="C253" s="239"/>
      <c r="D253" s="239"/>
      <c r="E253" s="239"/>
      <c r="F253" s="239"/>
      <c r="G253" s="239"/>
      <c r="H253" s="239"/>
      <c r="I253" s="239"/>
      <c r="J253" s="239"/>
      <c r="K253" s="239"/>
      <c r="L253" s="239"/>
      <c r="M253" s="239"/>
      <c r="N253" s="239"/>
      <c r="O253" s="239"/>
      <c r="P253" s="239"/>
      <c r="Q253" s="239"/>
      <c r="R253" s="239"/>
      <c r="S253" s="239"/>
      <c r="T253" s="239"/>
      <c r="U253" s="239"/>
      <c r="V253" s="239"/>
      <c r="W253" s="239"/>
      <c r="X253" s="239"/>
      <c r="Y253" s="239"/>
      <c r="Z253" s="239"/>
      <c r="AA253" s="239"/>
      <c r="AB253" s="239"/>
      <c r="AC253" s="239"/>
      <c r="AD253" s="239"/>
      <c r="AE253" s="239"/>
      <c r="AF253" s="239"/>
      <c r="AG253" s="239"/>
      <c r="AH253" s="239"/>
      <c r="AI253" s="264">
        <f ca="1">IF(Configurações!$G$10="Ligado",SUMIFS(C253:AH253,$C$4:$AH$4,"&lt;="&amp;Configurações!$C$5,$C$4:$AH$4,"&lt;="&amp;$AI$3),"")</f>
        <v>0</v>
      </c>
      <c r="AJ253" s="229" t="str">
        <f ca="1">IF(Configurações!$G$20="Ligado",IF(AI253&lt;=0,"Vazio",IF(Configurações!$G$18="Semana",IF(Configurações!$G$19="Contar",ENTRADAS!AI253/Configurações!$C$18,AI253/SUM(AK253:AN253)),AI253/A253)),"")</f>
        <v>Vazio</v>
      </c>
      <c r="AK253" s="232">
        <f t="shared" si="12"/>
        <v>0</v>
      </c>
      <c r="AL253" s="232">
        <f t="shared" si="13"/>
        <v>0</v>
      </c>
      <c r="AM253" s="232">
        <f t="shared" si="14"/>
        <v>0</v>
      </c>
      <c r="AN253" s="232">
        <f ca="1">IF(SUMIF($Y$4:$AH$4,"&lt;=" &amp; $AJ$3,ENTRADAS!Y253:AH253)&gt;0,1,0)</f>
        <v>0</v>
      </c>
    </row>
    <row r="254" spans="1:40" ht="21">
      <c r="A254" s="228">
        <f ca="1">COUNT(INDEX($C:$AH,ROW(),1):INDEX($C:$AH,ROW(),$AI$3+1))</f>
        <v>0</v>
      </c>
      <c r="B254" s="231" t="str">
        <f>INDEX(Cadastro_Limpeza[[#All],[Colunas4]],MATCH(ROW()-5,Cadastro_Limpeza[[#All],[Colunas2]],0))</f>
        <v>Cloro</v>
      </c>
      <c r="C254" s="238"/>
      <c r="D254" s="238"/>
      <c r="E254" s="238"/>
      <c r="F254" s="238"/>
      <c r="G254" s="238"/>
      <c r="H254" s="238"/>
      <c r="I254" s="238"/>
      <c r="J254" s="238"/>
      <c r="K254" s="238"/>
      <c r="L254" s="238"/>
      <c r="M254" s="238"/>
      <c r="N254" s="238"/>
      <c r="O254" s="238"/>
      <c r="P254" s="238"/>
      <c r="Q254" s="238"/>
      <c r="R254" s="238"/>
      <c r="S254" s="238"/>
      <c r="T254" s="238"/>
      <c r="U254" s="238"/>
      <c r="V254" s="238"/>
      <c r="W254" s="238"/>
      <c r="X254" s="238"/>
      <c r="Y254" s="238"/>
      <c r="Z254" s="238"/>
      <c r="AA254" s="238"/>
      <c r="AB254" s="238"/>
      <c r="AC254" s="238"/>
      <c r="AD254" s="238"/>
      <c r="AE254" s="238"/>
      <c r="AF254" s="238"/>
      <c r="AG254" s="238"/>
      <c r="AH254" s="238"/>
      <c r="AI254" s="264">
        <f ca="1">IF(Configurações!$G$10="Ligado",SUMIFS(C254:AH254,$C$4:$AH$4,"&lt;="&amp;Configurações!$C$5,$C$4:$AH$4,"&lt;="&amp;$AI$3),"")</f>
        <v>0</v>
      </c>
      <c r="AJ254" s="229" t="str">
        <f ca="1">IF(Configurações!$G$20="Ligado",IF(AI254&lt;=0,"Vazio",IF(Configurações!$G$18="Semana",IF(Configurações!$G$19="Contar",ENTRADAS!AI254/Configurações!$C$18,AI254/SUM(AK254:AN254)),AI254/A254)),"")</f>
        <v>Vazio</v>
      </c>
      <c r="AK254" s="232">
        <f t="shared" si="12"/>
        <v>0</v>
      </c>
      <c r="AL254" s="232">
        <f t="shared" si="13"/>
        <v>0</v>
      </c>
      <c r="AM254" s="232">
        <f t="shared" si="14"/>
        <v>0</v>
      </c>
      <c r="AN254" s="232">
        <f ca="1">IF(SUMIF($Y$4:$AH$4,"&lt;=" &amp; $AJ$3,ENTRADAS!Y254:AH254)&gt;0,1,0)</f>
        <v>0</v>
      </c>
    </row>
    <row r="255" spans="1:40" ht="21">
      <c r="A255" s="228">
        <f ca="1">COUNT(INDEX($C:$AH,ROW(),1):INDEX($C:$AH,ROW(),$AI$3+1))</f>
        <v>0</v>
      </c>
      <c r="B255" s="230" t="str">
        <f>INDEX(Cadastro_Limpeza[[#All],[Colunas4]],MATCH(ROW()-5,Cadastro_Limpeza[[#All],[Colunas2]],0))</f>
        <v>Copinho de café 50ml</v>
      </c>
      <c r="C255" s="239"/>
      <c r="D255" s="239"/>
      <c r="E255" s="239"/>
      <c r="F255" s="239"/>
      <c r="G255" s="239"/>
      <c r="H255" s="239"/>
      <c r="I255" s="239"/>
      <c r="J255" s="239"/>
      <c r="K255" s="239"/>
      <c r="L255" s="239"/>
      <c r="M255" s="239"/>
      <c r="N255" s="239"/>
      <c r="O255" s="239"/>
      <c r="P255" s="239"/>
      <c r="Q255" s="239"/>
      <c r="R255" s="239"/>
      <c r="S255" s="239"/>
      <c r="T255" s="239"/>
      <c r="U255" s="239"/>
      <c r="V255" s="239"/>
      <c r="W255" s="239"/>
      <c r="X255" s="239"/>
      <c r="Y255" s="239"/>
      <c r="Z255" s="239"/>
      <c r="AA255" s="239"/>
      <c r="AB255" s="239"/>
      <c r="AC255" s="239"/>
      <c r="AD255" s="239"/>
      <c r="AE255" s="239"/>
      <c r="AF255" s="239"/>
      <c r="AG255" s="239"/>
      <c r="AH255" s="239"/>
      <c r="AI255" s="264">
        <f ca="1">IF(Configurações!$G$10="Ligado",SUMIFS(C255:AH255,$C$4:$AH$4,"&lt;="&amp;Configurações!$C$5,$C$4:$AH$4,"&lt;="&amp;$AI$3),"")</f>
        <v>0</v>
      </c>
      <c r="AJ255" s="229" t="str">
        <f ca="1">IF(Configurações!$G$20="Ligado",IF(AI255&lt;=0,"Vazio",IF(Configurações!$G$18="Semana",IF(Configurações!$G$19="Contar",ENTRADAS!AI255/Configurações!$C$18,AI255/SUM(AK255:AN255)),AI255/A255)),"")</f>
        <v>Vazio</v>
      </c>
      <c r="AK255" s="232">
        <f t="shared" si="12"/>
        <v>0</v>
      </c>
      <c r="AL255" s="232">
        <f t="shared" si="13"/>
        <v>0</v>
      </c>
      <c r="AM255" s="232">
        <f t="shared" si="14"/>
        <v>0</v>
      </c>
      <c r="AN255" s="232">
        <f ca="1">IF(SUMIF($Y$4:$AH$4,"&lt;=" &amp; $AJ$3,ENTRADAS!Y255:AH255)&gt;0,1,0)</f>
        <v>0</v>
      </c>
    </row>
    <row r="256" spans="1:40" ht="21">
      <c r="A256" s="228">
        <f ca="1">COUNT(INDEX($C:$AH,ROW(),1):INDEX($C:$AH,ROW(),$AI$3+1))</f>
        <v>0</v>
      </c>
      <c r="B256" s="231" t="str">
        <f>INDEX(Cadastro_Limpeza[[#All],[Colunas4]],MATCH(ROW()-5,Cadastro_Limpeza[[#All],[Colunas2]],0))</f>
        <v>Copo descartável 100ml</v>
      </c>
      <c r="C256" s="238"/>
      <c r="D256" s="238"/>
      <c r="E256" s="238"/>
      <c r="F256" s="238"/>
      <c r="G256" s="238"/>
      <c r="H256" s="238"/>
      <c r="I256" s="238"/>
      <c r="J256" s="238"/>
      <c r="K256" s="238"/>
      <c r="L256" s="238"/>
      <c r="M256" s="238"/>
      <c r="N256" s="238"/>
      <c r="O256" s="238"/>
      <c r="P256" s="238"/>
      <c r="Q256" s="238"/>
      <c r="R256" s="238"/>
      <c r="S256" s="238"/>
      <c r="T256" s="238"/>
      <c r="U256" s="238"/>
      <c r="V256" s="238"/>
      <c r="W256" s="238"/>
      <c r="X256" s="238"/>
      <c r="Y256" s="238"/>
      <c r="Z256" s="238"/>
      <c r="AA256" s="238"/>
      <c r="AB256" s="238"/>
      <c r="AC256" s="238"/>
      <c r="AD256" s="238"/>
      <c r="AE256" s="238"/>
      <c r="AF256" s="238"/>
      <c r="AG256" s="238"/>
      <c r="AH256" s="238"/>
      <c r="AI256" s="264">
        <f ca="1">IF(Configurações!$G$10="Ligado",SUMIFS(C256:AH256,$C$4:$AH$4,"&lt;="&amp;Configurações!$C$5,$C$4:$AH$4,"&lt;="&amp;$AI$3),"")</f>
        <v>0</v>
      </c>
      <c r="AJ256" s="229" t="str">
        <f ca="1">IF(Configurações!$G$20="Ligado",IF(AI256&lt;=0,"Vazio",IF(Configurações!$G$18="Semana",IF(Configurações!$G$19="Contar",ENTRADAS!AI256/Configurações!$C$18,AI256/SUM(AK256:AN256)),AI256/A256)),"")</f>
        <v>Vazio</v>
      </c>
      <c r="AK256" s="232">
        <f t="shared" si="12"/>
        <v>0</v>
      </c>
      <c r="AL256" s="232">
        <f t="shared" si="13"/>
        <v>0</v>
      </c>
      <c r="AM256" s="232">
        <f t="shared" si="14"/>
        <v>0</v>
      </c>
      <c r="AN256" s="232">
        <f ca="1">IF(SUMIF($Y$4:$AH$4,"&lt;=" &amp; $AJ$3,ENTRADAS!Y256:AH256)&gt;0,1,0)</f>
        <v>0</v>
      </c>
    </row>
    <row r="257" spans="1:40" ht="21">
      <c r="A257" s="228">
        <f ca="1">COUNT(INDEX($C:$AH,ROW(),1):INDEX($C:$AH,ROW(),$AI$3+1))</f>
        <v>1</v>
      </c>
      <c r="B257" s="230" t="str">
        <f>INDEX(Cadastro_Limpeza[[#All],[Colunas4]],MATCH(ROW()-5,Cadastro_Limpeza[[#All],[Colunas2]],0))</f>
        <v>Copo descartável 200ml</v>
      </c>
      <c r="C257" s="239"/>
      <c r="D257" s="239"/>
      <c r="E257" s="239"/>
      <c r="F257" s="239"/>
      <c r="G257" s="239"/>
      <c r="H257" s="239"/>
      <c r="I257" s="239"/>
      <c r="J257" s="239"/>
      <c r="K257" s="239"/>
      <c r="L257" s="239"/>
      <c r="M257" s="239"/>
      <c r="N257" s="239"/>
      <c r="O257" s="239"/>
      <c r="P257" s="239"/>
      <c r="Q257" s="239"/>
      <c r="R257" s="239"/>
      <c r="S257" s="239"/>
      <c r="T257" s="239"/>
      <c r="U257" s="239"/>
      <c r="V257" s="239"/>
      <c r="W257" s="239"/>
      <c r="X257" s="239"/>
      <c r="Y257" s="239">
        <v>50</v>
      </c>
      <c r="Z257" s="239"/>
      <c r="AA257" s="239"/>
      <c r="AB257" s="239"/>
      <c r="AC257" s="239"/>
      <c r="AD257" s="239"/>
      <c r="AE257" s="239"/>
      <c r="AF257" s="239"/>
      <c r="AG257" s="239"/>
      <c r="AH257" s="239"/>
      <c r="AI257" s="264">
        <f ca="1">IF(Configurações!$G$10="Ligado",SUMIFS(C257:AH257,$C$4:$AH$4,"&lt;="&amp;Configurações!$C$5,$C$4:$AH$4,"&lt;="&amp;$AI$3),"")</f>
        <v>50</v>
      </c>
      <c r="AJ257" s="229">
        <f ca="1">IF(Configurações!$G$20="Ligado",IF(AI257&lt;=0,"Vazio",IF(Configurações!$G$18="Semana",IF(Configurações!$G$19="Contar",ENTRADAS!AI257/Configurações!$C$18,AI257/SUM(AK257:AN257)),AI257/A257)),"")</f>
        <v>50</v>
      </c>
      <c r="AK257" s="232">
        <f t="shared" si="12"/>
        <v>0</v>
      </c>
      <c r="AL257" s="232">
        <f t="shared" si="13"/>
        <v>0</v>
      </c>
      <c r="AM257" s="232">
        <f t="shared" si="14"/>
        <v>0</v>
      </c>
      <c r="AN257" s="232">
        <f ca="1">IF(SUMIF($Y$4:$AH$4,"&lt;=" &amp; $AJ$3,ENTRADAS!Y257:AH257)&gt;0,1,0)</f>
        <v>1</v>
      </c>
    </row>
    <row r="258" spans="1:40" ht="21">
      <c r="A258" s="228">
        <f ca="1">COUNT(INDEX($C:$AH,ROW(),1):INDEX($C:$AH,ROW(),$AI$3+1))</f>
        <v>1</v>
      </c>
      <c r="B258" s="231" t="str">
        <f>INDEX(Cadastro_Limpeza[[#All],[Colunas4]],MATCH(ROW()-5,Cadastro_Limpeza[[#All],[Colunas2]],0))</f>
        <v>Desincrustante</v>
      </c>
      <c r="C258" s="238"/>
      <c r="D258" s="238">
        <v>5</v>
      </c>
      <c r="E258" s="238"/>
      <c r="F258" s="238"/>
      <c r="G258" s="238"/>
      <c r="H258" s="238"/>
      <c r="I258" s="238"/>
      <c r="J258" s="238"/>
      <c r="K258" s="238"/>
      <c r="L258" s="238"/>
      <c r="M258" s="238"/>
      <c r="N258" s="238"/>
      <c r="O258" s="238"/>
      <c r="P258" s="238"/>
      <c r="Q258" s="238"/>
      <c r="R258" s="238"/>
      <c r="S258" s="238"/>
      <c r="T258" s="238"/>
      <c r="U258" s="238"/>
      <c r="V258" s="238"/>
      <c r="W258" s="238"/>
      <c r="X258" s="238"/>
      <c r="Y258" s="238"/>
      <c r="Z258" s="238"/>
      <c r="AA258" s="238"/>
      <c r="AB258" s="238"/>
      <c r="AC258" s="238"/>
      <c r="AD258" s="238"/>
      <c r="AE258" s="238"/>
      <c r="AF258" s="238"/>
      <c r="AG258" s="238"/>
      <c r="AH258" s="238"/>
      <c r="AI258" s="264">
        <f ca="1">IF(Configurações!$G$10="Ligado",SUMIFS(C258:AH258,$C$4:$AH$4,"&lt;="&amp;Configurações!$C$5,$C$4:$AH$4,"&lt;="&amp;$AI$3),"")</f>
        <v>5</v>
      </c>
      <c r="AJ258" s="229">
        <f ca="1">IF(Configurações!$G$20="Ligado",IF(AI258&lt;=0,"Vazio",IF(Configurações!$G$18="Semana",IF(Configurações!$G$19="Contar",ENTRADAS!AI258/Configurações!$C$18,AI258/SUM(AK258:AN258)),AI258/A258)),"")</f>
        <v>5</v>
      </c>
      <c r="AK258" s="232">
        <f t="shared" si="12"/>
        <v>1</v>
      </c>
      <c r="AL258" s="232">
        <f t="shared" si="13"/>
        <v>0</v>
      </c>
      <c r="AM258" s="232">
        <f t="shared" si="14"/>
        <v>0</v>
      </c>
      <c r="AN258" s="232">
        <f ca="1">IF(SUMIF($Y$4:$AH$4,"&lt;=" &amp; $AJ$3,ENTRADAS!Y258:AH258)&gt;0,1,0)</f>
        <v>0</v>
      </c>
    </row>
    <row r="259" spans="1:40" ht="21">
      <c r="A259" s="228">
        <f ca="1">COUNT(INDEX($C:$AH,ROW(),1):INDEX($C:$AH,ROW(),$AI$3+1))</f>
        <v>0</v>
      </c>
      <c r="B259" s="230" t="str">
        <f>INDEX(Cadastro_Limpeza[[#All],[Colunas4]],MATCH(ROW()-5,Cadastro_Limpeza[[#All],[Colunas2]],0))</f>
        <v xml:space="preserve">Desinfetante  </v>
      </c>
      <c r="C259" s="239"/>
      <c r="D259" s="239"/>
      <c r="E259" s="239"/>
      <c r="F259" s="239"/>
      <c r="G259" s="239"/>
      <c r="H259" s="239"/>
      <c r="I259" s="239"/>
      <c r="J259" s="239"/>
      <c r="K259" s="239"/>
      <c r="L259" s="239"/>
      <c r="M259" s="239"/>
      <c r="N259" s="239"/>
      <c r="O259" s="239"/>
      <c r="P259" s="239"/>
      <c r="Q259" s="239"/>
      <c r="R259" s="239"/>
      <c r="S259" s="239"/>
      <c r="T259" s="239"/>
      <c r="U259" s="239"/>
      <c r="V259" s="239"/>
      <c r="W259" s="239"/>
      <c r="X259" s="239"/>
      <c r="Y259" s="239"/>
      <c r="Z259" s="239"/>
      <c r="AA259" s="239"/>
      <c r="AB259" s="239"/>
      <c r="AC259" s="239"/>
      <c r="AD259" s="239"/>
      <c r="AE259" s="239"/>
      <c r="AF259" s="239"/>
      <c r="AG259" s="239"/>
      <c r="AH259" s="239"/>
      <c r="AI259" s="264">
        <f ca="1">IF(Configurações!$G$10="Ligado",SUMIFS(C259:AH259,$C$4:$AH$4,"&lt;="&amp;Configurações!$C$5,$C$4:$AH$4,"&lt;="&amp;$AI$3),"")</f>
        <v>0</v>
      </c>
      <c r="AJ259" s="229" t="str">
        <f ca="1">IF(Configurações!$G$20="Ligado",IF(AI259&lt;=0,"Vazio",IF(Configurações!$G$18="Semana",IF(Configurações!$G$19="Contar",ENTRADAS!AI259/Configurações!$C$18,AI259/SUM(AK259:AN259)),AI259/A259)),"")</f>
        <v>Vazio</v>
      </c>
      <c r="AK259" s="232">
        <f t="shared" si="12"/>
        <v>0</v>
      </c>
      <c r="AL259" s="232">
        <f t="shared" si="13"/>
        <v>0</v>
      </c>
      <c r="AM259" s="232">
        <f t="shared" si="14"/>
        <v>0</v>
      </c>
      <c r="AN259" s="232">
        <f ca="1">IF(SUMIF($Y$4:$AH$4,"&lt;=" &amp; $AJ$3,ENTRADAS!Y259:AH259)&gt;0,1,0)</f>
        <v>0</v>
      </c>
    </row>
    <row r="260" spans="1:40" ht="21">
      <c r="A260" s="228">
        <f ca="1">COUNT(INDEX($C:$AH,ROW(),1):INDEX($C:$AH,ROW(),$AI$3+1))</f>
        <v>0</v>
      </c>
      <c r="B260" s="231" t="str">
        <f>INDEX(Cadastro_Limpeza[[#All],[Colunas4]],MATCH(ROW()-5,Cadastro_Limpeza[[#All],[Colunas2]],0))</f>
        <v>Detergente super gel</v>
      </c>
      <c r="C260" s="238"/>
      <c r="D260" s="238"/>
      <c r="E260" s="238"/>
      <c r="F260" s="238"/>
      <c r="G260" s="238"/>
      <c r="H260" s="238"/>
      <c r="I260" s="238"/>
      <c r="J260" s="238"/>
      <c r="K260" s="238"/>
      <c r="L260" s="238"/>
      <c r="M260" s="238"/>
      <c r="N260" s="238"/>
      <c r="O260" s="238"/>
      <c r="P260" s="238"/>
      <c r="Q260" s="238"/>
      <c r="R260" s="238"/>
      <c r="S260" s="238"/>
      <c r="T260" s="238"/>
      <c r="U260" s="238"/>
      <c r="V260" s="238"/>
      <c r="W260" s="238"/>
      <c r="X260" s="238"/>
      <c r="Y260" s="238"/>
      <c r="Z260" s="238"/>
      <c r="AA260" s="238"/>
      <c r="AB260" s="238"/>
      <c r="AC260" s="238"/>
      <c r="AD260" s="238"/>
      <c r="AE260" s="238"/>
      <c r="AF260" s="238"/>
      <c r="AG260" s="238"/>
      <c r="AH260" s="238"/>
      <c r="AI260" s="264">
        <f ca="1">IF(Configurações!$G$10="Ligado",SUMIFS(C260:AH260,$C$4:$AH$4,"&lt;="&amp;Configurações!$C$5,$C$4:$AH$4,"&lt;="&amp;$AI$3),"")</f>
        <v>0</v>
      </c>
      <c r="AJ260" s="229" t="str">
        <f ca="1">IF(Configurações!$G$20="Ligado",IF(AI260&lt;=0,"Vazio",IF(Configurações!$G$18="Semana",IF(Configurações!$G$19="Contar",ENTRADAS!AI260/Configurações!$C$18,AI260/SUM(AK260:AN260)),AI260/A260)),"")</f>
        <v>Vazio</v>
      </c>
      <c r="AK260" s="232">
        <f t="shared" si="12"/>
        <v>0</v>
      </c>
      <c r="AL260" s="232">
        <f t="shared" si="13"/>
        <v>0</v>
      </c>
      <c r="AM260" s="232">
        <f t="shared" si="14"/>
        <v>0</v>
      </c>
      <c r="AN260" s="232">
        <f ca="1">IF(SUMIF($Y$4:$AH$4,"&lt;=" &amp; $AJ$3,ENTRADAS!Y260:AH260)&gt;0,1,0)</f>
        <v>0</v>
      </c>
    </row>
    <row r="261" spans="1:40" ht="21">
      <c r="A261" s="228">
        <f ca="1">COUNT(INDEX($C:$AH,ROW(),1):INDEX($C:$AH,ROW(),$AI$3+1))</f>
        <v>0</v>
      </c>
      <c r="B261" s="230" t="str">
        <f>INDEX(Cadastro_Limpeza[[#All],[Colunas4]],MATCH(ROW()-5,Cadastro_Limpeza[[#All],[Colunas2]],0))</f>
        <v xml:space="preserve">Detergente/Limpa Piso </v>
      </c>
      <c r="C261" s="239"/>
      <c r="D261" s="239"/>
      <c r="E261" s="239"/>
      <c r="F261" s="239"/>
      <c r="G261" s="239"/>
      <c r="H261" s="239"/>
      <c r="I261" s="239"/>
      <c r="J261" s="239"/>
      <c r="K261" s="239"/>
      <c r="L261" s="239"/>
      <c r="M261" s="239"/>
      <c r="N261" s="239"/>
      <c r="O261" s="239"/>
      <c r="P261" s="239"/>
      <c r="Q261" s="239"/>
      <c r="R261" s="239"/>
      <c r="S261" s="239"/>
      <c r="T261" s="239"/>
      <c r="U261" s="239"/>
      <c r="V261" s="239"/>
      <c r="W261" s="239"/>
      <c r="X261" s="239"/>
      <c r="Y261" s="239"/>
      <c r="Z261" s="239"/>
      <c r="AA261" s="239"/>
      <c r="AB261" s="239"/>
      <c r="AC261" s="239"/>
      <c r="AD261" s="239"/>
      <c r="AE261" s="239"/>
      <c r="AF261" s="239"/>
      <c r="AG261" s="239"/>
      <c r="AH261" s="239"/>
      <c r="AI261" s="264">
        <f ca="1">IF(Configurações!$G$10="Ligado",SUMIFS(C261:AH261,$C$4:$AH$4,"&lt;="&amp;Configurações!$C$5,$C$4:$AH$4,"&lt;="&amp;$AI$3),"")</f>
        <v>0</v>
      </c>
      <c r="AJ261" s="229" t="str">
        <f ca="1">IF(Configurações!$G$20="Ligado",IF(AI261&lt;=0,"Vazio",IF(Configurações!$G$18="Semana",IF(Configurações!$G$19="Contar",ENTRADAS!AI261/Configurações!$C$18,AI261/SUM(AK261:AN261)),AI261/A261)),"")</f>
        <v>Vazio</v>
      </c>
      <c r="AK261" s="232">
        <f t="shared" si="12"/>
        <v>0</v>
      </c>
      <c r="AL261" s="232">
        <f t="shared" si="13"/>
        <v>0</v>
      </c>
      <c r="AM261" s="232">
        <f t="shared" si="14"/>
        <v>0</v>
      </c>
      <c r="AN261" s="232">
        <f ca="1">IF(SUMIF($Y$4:$AH$4,"&lt;=" &amp; $AJ$3,ENTRADAS!Y261:AH261)&gt;0,1,0)</f>
        <v>0</v>
      </c>
    </row>
    <row r="262" spans="1:40" ht="21">
      <c r="A262" s="228">
        <f ca="1">COUNT(INDEX($C:$AH,ROW(),1):INDEX($C:$AH,ROW(),$AI$3+1))</f>
        <v>0</v>
      </c>
      <c r="B262" s="231" t="str">
        <f>INDEX(Cadastro_Limpeza[[#All],[Colunas4]],MATCH(ROW()-5,Cadastro_Limpeza[[#All],[Colunas2]],0))</f>
        <v xml:space="preserve">Detergente/Maq.Louça </v>
      </c>
      <c r="C262" s="238"/>
      <c r="D262" s="238"/>
      <c r="E262" s="238"/>
      <c r="F262" s="238"/>
      <c r="G262" s="238"/>
      <c r="H262" s="238"/>
      <c r="I262" s="238"/>
      <c r="J262" s="238"/>
      <c r="K262" s="238"/>
      <c r="L262" s="238"/>
      <c r="M262" s="238"/>
      <c r="N262" s="238"/>
      <c r="O262" s="238"/>
      <c r="P262" s="238"/>
      <c r="Q262" s="238"/>
      <c r="R262" s="238"/>
      <c r="S262" s="238"/>
      <c r="T262" s="238"/>
      <c r="U262" s="238"/>
      <c r="V262" s="238"/>
      <c r="W262" s="238"/>
      <c r="X262" s="238"/>
      <c r="Y262" s="238"/>
      <c r="Z262" s="238"/>
      <c r="AA262" s="238"/>
      <c r="AB262" s="238"/>
      <c r="AC262" s="238"/>
      <c r="AD262" s="238"/>
      <c r="AE262" s="238"/>
      <c r="AF262" s="238"/>
      <c r="AG262" s="238"/>
      <c r="AH262" s="238"/>
      <c r="AI262" s="264">
        <f ca="1">IF(Configurações!$G$10="Ligado",SUMIFS(C262:AH262,$C$4:$AH$4,"&lt;="&amp;Configurações!$C$5,$C$4:$AH$4,"&lt;="&amp;$AI$3),"")</f>
        <v>0</v>
      </c>
      <c r="AJ262" s="229" t="str">
        <f ca="1">IF(Configurações!$G$20="Ligado",IF(AI262&lt;=0,"Vazio",IF(Configurações!$G$18="Semana",IF(Configurações!$G$19="Contar",ENTRADAS!AI262/Configurações!$C$18,AI262/SUM(AK262:AN262)),AI262/A262)),"")</f>
        <v>Vazio</v>
      </c>
      <c r="AK262" s="232">
        <f t="shared" si="12"/>
        <v>0</v>
      </c>
      <c r="AL262" s="232">
        <f t="shared" si="13"/>
        <v>0</v>
      </c>
      <c r="AM262" s="232">
        <f t="shared" si="14"/>
        <v>0</v>
      </c>
      <c r="AN262" s="232">
        <f ca="1">IF(SUMIF($Y$4:$AH$4,"&lt;=" &amp; $AJ$3,ENTRADAS!Y262:AH262)&gt;0,1,0)</f>
        <v>0</v>
      </c>
    </row>
    <row r="263" spans="1:40" ht="21">
      <c r="A263" s="228">
        <f ca="1">COUNT(INDEX($C:$AH,ROW(),1):INDEX($C:$AH,ROW(),$AI$3+1))</f>
        <v>0</v>
      </c>
      <c r="B263" s="230" t="str">
        <f>INDEX(Cadastro_Limpeza[[#All],[Colunas4]],MATCH(ROW()-5,Cadastro_Limpeza[[#All],[Colunas2]],0))</f>
        <v xml:space="preserve">Detergente/Secante  </v>
      </c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  <c r="P263" s="239"/>
      <c r="Q263" s="239"/>
      <c r="R263" s="239"/>
      <c r="S263" s="239"/>
      <c r="T263" s="239"/>
      <c r="U263" s="239"/>
      <c r="V263" s="239"/>
      <c r="W263" s="239"/>
      <c r="X263" s="239"/>
      <c r="Y263" s="239"/>
      <c r="Z263" s="239"/>
      <c r="AA263" s="239"/>
      <c r="AB263" s="239"/>
      <c r="AC263" s="239"/>
      <c r="AD263" s="239"/>
      <c r="AE263" s="239"/>
      <c r="AF263" s="239"/>
      <c r="AG263" s="239"/>
      <c r="AH263" s="239"/>
      <c r="AI263" s="264">
        <f ca="1">IF(Configurações!$G$10="Ligado",SUMIFS(C263:AH263,$C$4:$AH$4,"&lt;="&amp;Configurações!$C$5,$C$4:$AH$4,"&lt;="&amp;$AI$3),"")</f>
        <v>0</v>
      </c>
      <c r="AJ263" s="229" t="str">
        <f ca="1">IF(Configurações!$G$20="Ligado",IF(AI263&lt;=0,"Vazio",IF(Configurações!$G$18="Semana",IF(Configurações!$G$19="Contar",ENTRADAS!AI263/Configurações!$C$18,AI263/SUM(AK263:AN263)),AI263/A263)),"")</f>
        <v>Vazio</v>
      </c>
      <c r="AK263" s="232">
        <f t="shared" si="12"/>
        <v>0</v>
      </c>
      <c r="AL263" s="232">
        <f t="shared" si="13"/>
        <v>0</v>
      </c>
      <c r="AM263" s="232">
        <f t="shared" si="14"/>
        <v>0</v>
      </c>
      <c r="AN263" s="232">
        <f ca="1">IF(SUMIF($Y$4:$AH$4,"&lt;=" &amp; $AJ$3,ENTRADAS!Y263:AH263)&gt;0,1,0)</f>
        <v>0</v>
      </c>
    </row>
    <row r="264" spans="1:40" ht="21">
      <c r="A264" s="228">
        <f ca="1">COUNT(INDEX($C:$AH,ROW(),1):INDEX($C:$AH,ROW(),$AI$3+1))</f>
        <v>0</v>
      </c>
      <c r="B264" s="231" t="str">
        <f>INDEX(Cadastro_Limpeza[[#All],[Colunas4]],MATCH(ROW()-5,Cadastro_Limpeza[[#All],[Colunas2]],0))</f>
        <v>Dispenser p/ papel toalha</v>
      </c>
      <c r="C264" s="238"/>
      <c r="D264" s="238"/>
      <c r="E264" s="238"/>
      <c r="F264" s="238"/>
      <c r="G264" s="238"/>
      <c r="H264" s="238"/>
      <c r="I264" s="238"/>
      <c r="J264" s="238"/>
      <c r="K264" s="238"/>
      <c r="L264" s="238"/>
      <c r="M264" s="238"/>
      <c r="N264" s="238"/>
      <c r="O264" s="238"/>
      <c r="P264" s="238"/>
      <c r="Q264" s="238"/>
      <c r="R264" s="238"/>
      <c r="S264" s="238"/>
      <c r="T264" s="238"/>
      <c r="U264" s="238"/>
      <c r="V264" s="238"/>
      <c r="W264" s="238"/>
      <c r="X264" s="238"/>
      <c r="Y264" s="238"/>
      <c r="Z264" s="238"/>
      <c r="AA264" s="238"/>
      <c r="AB264" s="238"/>
      <c r="AC264" s="238"/>
      <c r="AD264" s="238"/>
      <c r="AE264" s="238"/>
      <c r="AF264" s="238"/>
      <c r="AG264" s="238"/>
      <c r="AH264" s="238"/>
      <c r="AI264" s="264">
        <f ca="1">IF(Configurações!$G$10="Ligado",SUMIFS(C264:AH264,$C$4:$AH$4,"&lt;="&amp;Configurações!$C$5,$C$4:$AH$4,"&lt;="&amp;$AI$3),"")</f>
        <v>0</v>
      </c>
      <c r="AJ264" s="229" t="str">
        <f ca="1">IF(Configurações!$G$20="Ligado",IF(AI264&lt;=0,"Vazio",IF(Configurações!$G$18="Semana",IF(Configurações!$G$19="Contar",ENTRADAS!AI264/Configurações!$C$18,AI264/SUM(AK264:AN264)),AI264/A264)),"")</f>
        <v>Vazio</v>
      </c>
      <c r="AK264" s="232">
        <f t="shared" si="12"/>
        <v>0</v>
      </c>
      <c r="AL264" s="232">
        <f t="shared" si="13"/>
        <v>0</v>
      </c>
      <c r="AM264" s="232">
        <f t="shared" si="14"/>
        <v>0</v>
      </c>
      <c r="AN264" s="232">
        <f ca="1">IF(SUMIF($Y$4:$AH$4,"&lt;=" &amp; $AJ$3,ENTRADAS!Y264:AH264)&gt;0,1,0)</f>
        <v>0</v>
      </c>
    </row>
    <row r="265" spans="1:40" ht="21">
      <c r="A265" s="228">
        <f ca="1">COUNT(INDEX($C:$AH,ROW(),1):INDEX($C:$AH,ROW(),$AI$3+1))</f>
        <v>0</v>
      </c>
      <c r="B265" s="230" t="str">
        <f>INDEX(Cadastro_Limpeza[[#All],[Colunas4]],MATCH(ROW()-5,Cadastro_Limpeza[[#All],[Colunas2]],0))</f>
        <v xml:space="preserve">Eliminador de Odores </v>
      </c>
      <c r="C265" s="239"/>
      <c r="D265" s="239"/>
      <c r="E265" s="239"/>
      <c r="F265" s="239"/>
      <c r="G265" s="239"/>
      <c r="H265" s="239"/>
      <c r="I265" s="239"/>
      <c r="J265" s="239"/>
      <c r="K265" s="239"/>
      <c r="L265" s="239"/>
      <c r="M265" s="239"/>
      <c r="N265" s="239"/>
      <c r="O265" s="239"/>
      <c r="P265" s="239"/>
      <c r="Q265" s="239"/>
      <c r="R265" s="239"/>
      <c r="S265" s="239"/>
      <c r="T265" s="239"/>
      <c r="U265" s="239"/>
      <c r="V265" s="239"/>
      <c r="W265" s="239"/>
      <c r="X265" s="239"/>
      <c r="Y265" s="239"/>
      <c r="Z265" s="239"/>
      <c r="AA265" s="239"/>
      <c r="AB265" s="239"/>
      <c r="AC265" s="239"/>
      <c r="AD265" s="239"/>
      <c r="AE265" s="239"/>
      <c r="AF265" s="239"/>
      <c r="AG265" s="239"/>
      <c r="AH265" s="239"/>
      <c r="AI265" s="264">
        <f ca="1">IF(Configurações!$G$10="Ligado",SUMIFS(C265:AH265,$C$4:$AH$4,"&lt;="&amp;Configurações!$C$5,$C$4:$AH$4,"&lt;="&amp;$AI$3),"")</f>
        <v>0</v>
      </c>
      <c r="AJ265" s="229" t="str">
        <f ca="1">IF(Configurações!$G$20="Ligado",IF(AI265&lt;=0,"Vazio",IF(Configurações!$G$18="Semana",IF(Configurações!$G$19="Contar",ENTRADAS!AI265/Configurações!$C$18,AI265/SUM(AK265:AN265)),AI265/A265)),"")</f>
        <v>Vazio</v>
      </c>
      <c r="AK265" s="232">
        <f t="shared" si="12"/>
        <v>0</v>
      </c>
      <c r="AL265" s="232">
        <f t="shared" si="13"/>
        <v>0</v>
      </c>
      <c r="AM265" s="232">
        <f t="shared" si="14"/>
        <v>0</v>
      </c>
      <c r="AN265" s="232">
        <f ca="1">IF(SUMIF($Y$4:$AH$4,"&lt;=" &amp; $AJ$3,ENTRADAS!Y265:AH265)&gt;0,1,0)</f>
        <v>0</v>
      </c>
    </row>
    <row r="266" spans="1:40" ht="21">
      <c r="A266" s="228">
        <f ca="1">COUNT(INDEX($C:$AH,ROW(),1):INDEX($C:$AH,ROW(),$AI$3+1))</f>
        <v>0</v>
      </c>
      <c r="B266" s="231" t="str">
        <f>INDEX(Cadastro_Limpeza[[#All],[Colunas4]],MATCH(ROW()-5,Cadastro_Limpeza[[#All],[Colunas2]],0))</f>
        <v>Escova p/ Lavar Roupa</v>
      </c>
      <c r="C266" s="238"/>
      <c r="D266" s="238"/>
      <c r="E266" s="238"/>
      <c r="F266" s="238"/>
      <c r="G266" s="238"/>
      <c r="H266" s="238"/>
      <c r="I266" s="238"/>
      <c r="J266" s="238"/>
      <c r="K266" s="238"/>
      <c r="L266" s="238"/>
      <c r="M266" s="238"/>
      <c r="N266" s="238"/>
      <c r="O266" s="238"/>
      <c r="P266" s="238"/>
      <c r="Q266" s="238"/>
      <c r="R266" s="238"/>
      <c r="S266" s="238"/>
      <c r="T266" s="238"/>
      <c r="U266" s="238"/>
      <c r="V266" s="238"/>
      <c r="W266" s="238"/>
      <c r="X266" s="238"/>
      <c r="Y266" s="238"/>
      <c r="Z266" s="238"/>
      <c r="AA266" s="238"/>
      <c r="AB266" s="238"/>
      <c r="AC266" s="238"/>
      <c r="AD266" s="238"/>
      <c r="AE266" s="238"/>
      <c r="AF266" s="238"/>
      <c r="AG266" s="238"/>
      <c r="AH266" s="238"/>
      <c r="AI266" s="264">
        <f ca="1">IF(Configurações!$G$10="Ligado",SUMIFS(C266:AH266,$C$4:$AH$4,"&lt;="&amp;Configurações!$C$5,$C$4:$AH$4,"&lt;="&amp;$AI$3),"")</f>
        <v>0</v>
      </c>
      <c r="AJ266" s="229" t="str">
        <f ca="1">IF(Configurações!$G$20="Ligado",IF(AI266&lt;=0,"Vazio",IF(Configurações!$G$18="Semana",IF(Configurações!$G$19="Contar",ENTRADAS!AI266/Configurações!$C$18,AI266/SUM(AK266:AN266)),AI266/A266)),"")</f>
        <v>Vazio</v>
      </c>
      <c r="AK266" s="232">
        <f t="shared" si="12"/>
        <v>0</v>
      </c>
      <c r="AL266" s="232">
        <f t="shared" si="13"/>
        <v>0</v>
      </c>
      <c r="AM266" s="232">
        <f t="shared" si="14"/>
        <v>0</v>
      </c>
      <c r="AN266" s="232">
        <f ca="1">IF(SUMIF($Y$4:$AH$4,"&lt;=" &amp; $AJ$3,ENTRADAS!Y266:AH266)&gt;0,1,0)</f>
        <v>0</v>
      </c>
    </row>
    <row r="267" spans="1:40" ht="21">
      <c r="A267" s="228">
        <f ca="1">COUNT(INDEX($C:$AH,ROW(),1):INDEX($C:$AH,ROW(),$AI$3+1))</f>
        <v>0</v>
      </c>
      <c r="B267" s="230" t="str">
        <f>INDEX(Cadastro_Limpeza[[#All],[Colunas4]],MATCH(ROW()-5,Cadastro_Limpeza[[#All],[Colunas2]],0))</f>
        <v>Escova Sanitária</v>
      </c>
      <c r="C267" s="239"/>
      <c r="D267" s="239"/>
      <c r="E267" s="239"/>
      <c r="F267" s="239"/>
      <c r="G267" s="239"/>
      <c r="H267" s="239"/>
      <c r="I267" s="239"/>
      <c r="J267" s="239"/>
      <c r="K267" s="239"/>
      <c r="L267" s="239"/>
      <c r="M267" s="239"/>
      <c r="N267" s="239"/>
      <c r="O267" s="239"/>
      <c r="P267" s="239"/>
      <c r="Q267" s="239"/>
      <c r="R267" s="239"/>
      <c r="S267" s="239"/>
      <c r="T267" s="239"/>
      <c r="U267" s="239"/>
      <c r="V267" s="239"/>
      <c r="W267" s="239"/>
      <c r="X267" s="239"/>
      <c r="Y267" s="239"/>
      <c r="Z267" s="239"/>
      <c r="AA267" s="239"/>
      <c r="AB267" s="239"/>
      <c r="AC267" s="239"/>
      <c r="AD267" s="239"/>
      <c r="AE267" s="239"/>
      <c r="AF267" s="239"/>
      <c r="AG267" s="239"/>
      <c r="AH267" s="239"/>
      <c r="AI267" s="264">
        <f ca="1">IF(Configurações!$G$10="Ligado",SUMIFS(C267:AH267,$C$4:$AH$4,"&lt;="&amp;Configurações!$C$5,$C$4:$AH$4,"&lt;="&amp;$AI$3),"")</f>
        <v>0</v>
      </c>
      <c r="AJ267" s="229" t="str">
        <f ca="1">IF(Configurações!$G$20="Ligado",IF(AI267&lt;=0,"Vazio",IF(Configurações!$G$18="Semana",IF(Configurações!$G$19="Contar",ENTRADAS!AI267/Configurações!$C$18,AI267/SUM(AK267:AN267)),AI267/A267)),"")</f>
        <v>Vazio</v>
      </c>
      <c r="AK267" s="232">
        <f t="shared" si="12"/>
        <v>0</v>
      </c>
      <c r="AL267" s="232">
        <f t="shared" si="13"/>
        <v>0</v>
      </c>
      <c r="AM267" s="232">
        <f t="shared" si="14"/>
        <v>0</v>
      </c>
      <c r="AN267" s="232">
        <f ca="1">IF(SUMIF($Y$4:$AH$4,"&lt;=" &amp; $AJ$3,ENTRADAS!Y267:AH267)&gt;0,1,0)</f>
        <v>0</v>
      </c>
    </row>
    <row r="268" spans="1:40" ht="21">
      <c r="A268" s="228">
        <f ca="1">COUNT(INDEX($C:$AH,ROW(),1):INDEX($C:$AH,ROW(),$AI$3+1))</f>
        <v>0</v>
      </c>
      <c r="B268" s="231" t="str">
        <f>INDEX(Cadastro_Limpeza[[#All],[Colunas4]],MATCH(ROW()-5,Cadastro_Limpeza[[#All],[Colunas2]],0))</f>
        <v>Espeto de Madeira</v>
      </c>
      <c r="C268" s="238"/>
      <c r="D268" s="238"/>
      <c r="E268" s="238"/>
      <c r="F268" s="238"/>
      <c r="G268" s="238"/>
      <c r="H268" s="238"/>
      <c r="I268" s="238"/>
      <c r="J268" s="238"/>
      <c r="K268" s="238"/>
      <c r="L268" s="238"/>
      <c r="M268" s="238"/>
      <c r="N268" s="238"/>
      <c r="O268" s="238"/>
      <c r="P268" s="238"/>
      <c r="Q268" s="238"/>
      <c r="R268" s="238"/>
      <c r="S268" s="238"/>
      <c r="T268" s="238"/>
      <c r="U268" s="238"/>
      <c r="V268" s="238"/>
      <c r="W268" s="238"/>
      <c r="X268" s="238"/>
      <c r="Y268" s="238"/>
      <c r="Z268" s="238"/>
      <c r="AA268" s="238"/>
      <c r="AB268" s="238"/>
      <c r="AC268" s="238"/>
      <c r="AD268" s="238"/>
      <c r="AE268" s="238"/>
      <c r="AF268" s="238"/>
      <c r="AG268" s="238"/>
      <c r="AH268" s="238"/>
      <c r="AI268" s="264">
        <f ca="1">IF(Configurações!$G$10="Ligado",SUMIFS(C268:AH268,$C$4:$AH$4,"&lt;="&amp;Configurações!$C$5,$C$4:$AH$4,"&lt;="&amp;$AI$3),"")</f>
        <v>0</v>
      </c>
      <c r="AJ268" s="229" t="str">
        <f ca="1">IF(Configurações!$G$20="Ligado",IF(AI268&lt;=0,"Vazio",IF(Configurações!$G$18="Semana",IF(Configurações!$G$19="Contar",ENTRADAS!AI268/Configurações!$C$18,AI268/SUM(AK268:AN268)),AI268/A268)),"")</f>
        <v>Vazio</v>
      </c>
      <c r="AK268" s="232">
        <f t="shared" si="12"/>
        <v>0</v>
      </c>
      <c r="AL268" s="232">
        <f t="shared" si="13"/>
        <v>0</v>
      </c>
      <c r="AM268" s="232">
        <f t="shared" si="14"/>
        <v>0</v>
      </c>
      <c r="AN268" s="232">
        <f ca="1">IF(SUMIF($Y$4:$AH$4,"&lt;=" &amp; $AJ$3,ENTRADAS!Y268:AH268)&gt;0,1,0)</f>
        <v>0</v>
      </c>
    </row>
    <row r="269" spans="1:40" ht="21">
      <c r="A269" s="228">
        <f ca="1">COUNT(INDEX($C:$AH,ROW(),1):INDEX($C:$AH,ROW(),$AI$3+1))</f>
        <v>2</v>
      </c>
      <c r="B269" s="230" t="str">
        <f>INDEX(Cadastro_Limpeza[[#All],[Colunas4]],MATCH(ROW()-5,Cadastro_Limpeza[[#All],[Colunas2]],0))</f>
        <v>Esponja Dupla Face</v>
      </c>
      <c r="C269" s="239"/>
      <c r="D269" s="239">
        <v>20</v>
      </c>
      <c r="E269" s="239"/>
      <c r="F269" s="239"/>
      <c r="G269" s="239"/>
      <c r="H269" s="239"/>
      <c r="I269" s="239"/>
      <c r="J269" s="239"/>
      <c r="K269" s="239"/>
      <c r="L269" s="239"/>
      <c r="M269" s="239"/>
      <c r="N269" s="239"/>
      <c r="O269" s="239"/>
      <c r="P269" s="239"/>
      <c r="Q269" s="239">
        <v>10</v>
      </c>
      <c r="R269" s="239"/>
      <c r="S269" s="239"/>
      <c r="T269" s="239"/>
      <c r="U269" s="239"/>
      <c r="V269" s="239"/>
      <c r="W269" s="239"/>
      <c r="X269" s="239"/>
      <c r="Y269" s="239"/>
      <c r="Z269" s="239"/>
      <c r="AA269" s="239"/>
      <c r="AB269" s="239"/>
      <c r="AC269" s="239"/>
      <c r="AD269" s="239"/>
      <c r="AE269" s="239"/>
      <c r="AF269" s="239"/>
      <c r="AG269" s="239"/>
      <c r="AH269" s="239"/>
      <c r="AI269" s="264">
        <f ca="1">IF(Configurações!$G$10="Ligado",SUMIFS(C269:AH269,$C$4:$AH$4,"&lt;="&amp;Configurações!$C$5,$C$4:$AH$4,"&lt;="&amp;$AI$3),"")</f>
        <v>30</v>
      </c>
      <c r="AJ269" s="229">
        <f ca="1">IF(Configurações!$G$20="Ligado",IF(AI269&lt;=0,"Vazio",IF(Configurações!$G$18="Semana",IF(Configurações!$G$19="Contar",ENTRADAS!AI269/Configurações!$C$18,AI269/SUM(AK269:AN269)),AI269/A269)),"")</f>
        <v>15</v>
      </c>
      <c r="AK269" s="232">
        <f t="shared" si="12"/>
        <v>1</v>
      </c>
      <c r="AL269" s="232">
        <f t="shared" si="13"/>
        <v>1</v>
      </c>
      <c r="AM269" s="232">
        <f t="shared" si="14"/>
        <v>0</v>
      </c>
      <c r="AN269" s="232">
        <f ca="1">IF(SUMIF($Y$4:$AH$4,"&lt;=" &amp; $AJ$3,ENTRADAS!Y269:AH269)&gt;0,1,0)</f>
        <v>0</v>
      </c>
    </row>
    <row r="270" spans="1:40" ht="21">
      <c r="A270" s="228">
        <f ca="1">COUNT(INDEX($C:$AH,ROW(),1):INDEX($C:$AH,ROW(),$AI$3+1))</f>
        <v>1</v>
      </c>
      <c r="B270" s="231" t="str">
        <f>INDEX(Cadastro_Limpeza[[#All],[Colunas4]],MATCH(ROW()-5,Cadastro_Limpeza[[#All],[Colunas2]],0))</f>
        <v>Esponja Verde ( Fibra)</v>
      </c>
      <c r="C270" s="238"/>
      <c r="D270" s="238">
        <v>10</v>
      </c>
      <c r="E270" s="238"/>
      <c r="F270" s="238"/>
      <c r="G270" s="238"/>
      <c r="H270" s="238"/>
      <c r="I270" s="238"/>
      <c r="J270" s="238"/>
      <c r="K270" s="238"/>
      <c r="L270" s="238"/>
      <c r="M270" s="238"/>
      <c r="N270" s="238"/>
      <c r="O270" s="238"/>
      <c r="P270" s="238"/>
      <c r="Q270" s="238"/>
      <c r="R270" s="238"/>
      <c r="S270" s="238"/>
      <c r="T270" s="238"/>
      <c r="U270" s="238"/>
      <c r="V270" s="238"/>
      <c r="W270" s="238"/>
      <c r="X270" s="238"/>
      <c r="Y270" s="238"/>
      <c r="Z270" s="238"/>
      <c r="AA270" s="238"/>
      <c r="AB270" s="238"/>
      <c r="AC270" s="238"/>
      <c r="AD270" s="238"/>
      <c r="AE270" s="238"/>
      <c r="AF270" s="238"/>
      <c r="AG270" s="238"/>
      <c r="AH270" s="238"/>
      <c r="AI270" s="264">
        <f ca="1">IF(Configurações!$G$10="Ligado",SUMIFS(C270:AH270,$C$4:$AH$4,"&lt;="&amp;Configurações!$C$5,$C$4:$AH$4,"&lt;="&amp;$AI$3),"")</f>
        <v>10</v>
      </c>
      <c r="AJ270" s="229">
        <f ca="1">IF(Configurações!$G$20="Ligado",IF(AI270&lt;=0,"Vazio",IF(Configurações!$G$18="Semana",IF(Configurações!$G$19="Contar",ENTRADAS!AI270/Configurações!$C$18,AI270/SUM(AK270:AN270)),AI270/A270)),"")</f>
        <v>10</v>
      </c>
      <c r="AK270" s="232">
        <f t="shared" si="12"/>
        <v>1</v>
      </c>
      <c r="AL270" s="232">
        <f t="shared" si="13"/>
        <v>0</v>
      </c>
      <c r="AM270" s="232">
        <f t="shared" si="14"/>
        <v>0</v>
      </c>
      <c r="AN270" s="232">
        <f ca="1">IF(SUMIF($Y$4:$AH$4,"&lt;=" &amp; $AJ$3,ENTRADAS!Y270:AH270)&gt;0,1,0)</f>
        <v>0</v>
      </c>
    </row>
    <row r="271" spans="1:40" ht="21">
      <c r="A271" s="228">
        <f ca="1">COUNT(INDEX($C:$AH,ROW(),1):INDEX($C:$AH,ROW(),$AI$3+1))</f>
        <v>1</v>
      </c>
      <c r="B271" s="230" t="str">
        <f>INDEX(Cadastro_Limpeza[[#All],[Colunas4]],MATCH(ROW()-5,Cadastro_Limpeza[[#All],[Colunas2]],0))</f>
        <v>Filme PVC 300MTS</v>
      </c>
      <c r="C271" s="239"/>
      <c r="D271" s="239">
        <v>4</v>
      </c>
      <c r="E271" s="239"/>
      <c r="F271" s="239"/>
      <c r="G271" s="239"/>
      <c r="H271" s="239"/>
      <c r="I271" s="239"/>
      <c r="J271" s="239"/>
      <c r="K271" s="239"/>
      <c r="L271" s="239"/>
      <c r="M271" s="239"/>
      <c r="N271" s="239"/>
      <c r="O271" s="239"/>
      <c r="P271" s="239"/>
      <c r="Q271" s="239"/>
      <c r="R271" s="239"/>
      <c r="S271" s="239"/>
      <c r="T271" s="239"/>
      <c r="U271" s="239"/>
      <c r="V271" s="239"/>
      <c r="W271" s="239"/>
      <c r="X271" s="239"/>
      <c r="Y271" s="239"/>
      <c r="Z271" s="239"/>
      <c r="AA271" s="239"/>
      <c r="AB271" s="239"/>
      <c r="AC271" s="239"/>
      <c r="AD271" s="239"/>
      <c r="AE271" s="239"/>
      <c r="AF271" s="239"/>
      <c r="AG271" s="239"/>
      <c r="AH271" s="239"/>
      <c r="AI271" s="264">
        <f ca="1">IF(Configurações!$G$10="Ligado",SUMIFS(C271:AH271,$C$4:$AH$4,"&lt;="&amp;Configurações!$C$5,$C$4:$AH$4,"&lt;="&amp;$AI$3),"")</f>
        <v>4</v>
      </c>
      <c r="AJ271" s="229">
        <f ca="1">IF(Configurações!$G$20="Ligado",IF(AI271&lt;=0,"Vazio",IF(Configurações!$G$18="Semana",IF(Configurações!$G$19="Contar",ENTRADAS!AI271/Configurações!$C$18,AI271/SUM(AK271:AN271)),AI271/A271)),"")</f>
        <v>4</v>
      </c>
      <c r="AK271" s="232">
        <f t="shared" si="12"/>
        <v>1</v>
      </c>
      <c r="AL271" s="232">
        <f t="shared" si="13"/>
        <v>0</v>
      </c>
      <c r="AM271" s="232">
        <f t="shared" si="14"/>
        <v>0</v>
      </c>
      <c r="AN271" s="232">
        <f ca="1">IF(SUMIF($Y$4:$AH$4,"&lt;=" &amp; $AJ$3,ENTRADAS!Y271:AH271)&gt;0,1,0)</f>
        <v>0</v>
      </c>
    </row>
    <row r="272" spans="1:40" ht="21">
      <c r="A272" s="228">
        <f ca="1">COUNT(INDEX($C:$AH,ROW(),1):INDEX($C:$AH,ROW(),$AI$3+1))</f>
        <v>0</v>
      </c>
      <c r="B272" s="231" t="str">
        <f>INDEX(Cadastro_Limpeza[[#All],[Colunas4]],MATCH(ROW()-5,Cadastro_Limpeza[[#All],[Colunas2]],0))</f>
        <v>Fósforo</v>
      </c>
      <c r="C272" s="238"/>
      <c r="D272" s="238"/>
      <c r="E272" s="238"/>
      <c r="F272" s="238"/>
      <c r="G272" s="238"/>
      <c r="H272" s="238"/>
      <c r="I272" s="238"/>
      <c r="J272" s="238"/>
      <c r="K272" s="238"/>
      <c r="L272" s="238"/>
      <c r="M272" s="238"/>
      <c r="N272" s="238"/>
      <c r="O272" s="238"/>
      <c r="P272" s="238"/>
      <c r="Q272" s="238"/>
      <c r="R272" s="238"/>
      <c r="S272" s="238"/>
      <c r="T272" s="238"/>
      <c r="U272" s="238"/>
      <c r="V272" s="238"/>
      <c r="W272" s="238"/>
      <c r="X272" s="238"/>
      <c r="Y272" s="238"/>
      <c r="Z272" s="238"/>
      <c r="AA272" s="238"/>
      <c r="AB272" s="238"/>
      <c r="AC272" s="238"/>
      <c r="AD272" s="238"/>
      <c r="AE272" s="238"/>
      <c r="AF272" s="238"/>
      <c r="AG272" s="238"/>
      <c r="AH272" s="238"/>
      <c r="AI272" s="264">
        <f ca="1">IF(Configurações!$G$10="Ligado",SUMIFS(C272:AH272,$C$4:$AH$4,"&lt;="&amp;Configurações!$C$5,$C$4:$AH$4,"&lt;="&amp;$AI$3),"")</f>
        <v>0</v>
      </c>
      <c r="AJ272" s="229" t="str">
        <f ca="1">IF(Configurações!$G$20="Ligado",IF(AI272&lt;=0,"Vazio",IF(Configurações!$G$18="Semana",IF(Configurações!$G$19="Contar",ENTRADAS!AI272/Configurações!$C$18,AI272/SUM(AK272:AN272)),AI272/A272)),"")</f>
        <v>Vazio</v>
      </c>
      <c r="AK272" s="232">
        <f t="shared" si="12"/>
        <v>0</v>
      </c>
      <c r="AL272" s="232">
        <f t="shared" si="13"/>
        <v>0</v>
      </c>
      <c r="AM272" s="232">
        <f t="shared" si="14"/>
        <v>0</v>
      </c>
      <c r="AN272" s="232">
        <f ca="1">IF(SUMIF($Y$4:$AH$4,"&lt;=" &amp; $AJ$3,ENTRADAS!Y272:AH272)&gt;0,1,0)</f>
        <v>0</v>
      </c>
    </row>
    <row r="273" spans="1:40" ht="21">
      <c r="A273" s="228">
        <f ca="1">COUNT(INDEX($C:$AH,ROW(),1):INDEX($C:$AH,ROW(),$AI$3+1))</f>
        <v>1</v>
      </c>
      <c r="B273" s="230" t="str">
        <f>INDEX(Cadastro_Limpeza[[#All],[Colunas4]],MATCH(ROW()-5,Cadastro_Limpeza[[#All],[Colunas2]],0))</f>
        <v>Guardanapo cx c/80 uni</v>
      </c>
      <c r="C273" s="239"/>
      <c r="D273" s="239">
        <v>2</v>
      </c>
      <c r="E273" s="239"/>
      <c r="F273" s="239"/>
      <c r="G273" s="239"/>
      <c r="H273" s="239"/>
      <c r="I273" s="239"/>
      <c r="J273" s="239"/>
      <c r="K273" s="239"/>
      <c r="L273" s="239"/>
      <c r="M273" s="239"/>
      <c r="N273" s="239"/>
      <c r="O273" s="239"/>
      <c r="P273" s="239"/>
      <c r="Q273" s="239"/>
      <c r="R273" s="239"/>
      <c r="S273" s="239"/>
      <c r="T273" s="239"/>
      <c r="U273" s="239"/>
      <c r="V273" s="239"/>
      <c r="W273" s="239"/>
      <c r="X273" s="239"/>
      <c r="Y273" s="239"/>
      <c r="Z273" s="239"/>
      <c r="AA273" s="239"/>
      <c r="AB273" s="239"/>
      <c r="AC273" s="239"/>
      <c r="AD273" s="239"/>
      <c r="AE273" s="239"/>
      <c r="AF273" s="239"/>
      <c r="AG273" s="239"/>
      <c r="AH273" s="239"/>
      <c r="AI273" s="264">
        <f ca="1">IF(Configurações!$G$10="Ligado",SUMIFS(C273:AH273,$C$4:$AH$4,"&lt;="&amp;Configurações!$C$5,$C$4:$AH$4,"&lt;="&amp;$AI$3),"")</f>
        <v>2</v>
      </c>
      <c r="AJ273" s="229">
        <f ca="1">IF(Configurações!$G$20="Ligado",IF(AI273&lt;=0,"Vazio",IF(Configurações!$G$18="Semana",IF(Configurações!$G$19="Contar",ENTRADAS!AI273/Configurações!$C$18,AI273/SUM(AK273:AN273)),AI273/A273)),"")</f>
        <v>2</v>
      </c>
      <c r="AK273" s="232">
        <f t="shared" si="12"/>
        <v>1</v>
      </c>
      <c r="AL273" s="232">
        <f t="shared" si="13"/>
        <v>0</v>
      </c>
      <c r="AM273" s="232">
        <f t="shared" si="14"/>
        <v>0</v>
      </c>
      <c r="AN273" s="232">
        <f ca="1">IF(SUMIF($Y$4:$AH$4,"&lt;=" &amp; $AJ$3,ENTRADAS!Y273:AH273)&gt;0,1,0)</f>
        <v>0</v>
      </c>
    </row>
    <row r="274" spans="1:40" ht="21">
      <c r="A274" s="228">
        <f ca="1">COUNT(INDEX($C:$AH,ROW(),1):INDEX($C:$AH,ROW(),$AI$3+1))</f>
        <v>0</v>
      </c>
      <c r="B274" s="231" t="str">
        <f>INDEX(Cadastro_Limpeza[[#All],[Colunas4]],MATCH(ROW()-5,Cadastro_Limpeza[[#All],[Colunas2]],0))</f>
        <v xml:space="preserve">Hipoclorito  </v>
      </c>
      <c r="C274" s="238"/>
      <c r="D274" s="238"/>
      <c r="E274" s="238"/>
      <c r="F274" s="238"/>
      <c r="G274" s="238"/>
      <c r="H274" s="238"/>
      <c r="I274" s="238"/>
      <c r="J274" s="238"/>
      <c r="K274" s="238"/>
      <c r="L274" s="238"/>
      <c r="M274" s="238"/>
      <c r="N274" s="238"/>
      <c r="O274" s="238"/>
      <c r="P274" s="238"/>
      <c r="Q274" s="238"/>
      <c r="R274" s="238"/>
      <c r="S274" s="238"/>
      <c r="T274" s="238"/>
      <c r="U274" s="238"/>
      <c r="V274" s="238"/>
      <c r="W274" s="238"/>
      <c r="X274" s="238"/>
      <c r="Y274" s="238"/>
      <c r="Z274" s="238"/>
      <c r="AA274" s="238"/>
      <c r="AB274" s="238"/>
      <c r="AC274" s="238"/>
      <c r="AD274" s="238"/>
      <c r="AE274" s="238"/>
      <c r="AF274" s="238"/>
      <c r="AG274" s="238"/>
      <c r="AH274" s="238"/>
      <c r="AI274" s="264">
        <f ca="1">IF(Configurações!$G$10="Ligado",SUMIFS(C274:AH274,$C$4:$AH$4,"&lt;="&amp;Configurações!$C$5,$C$4:$AH$4,"&lt;="&amp;$AI$3),"")</f>
        <v>0</v>
      </c>
      <c r="AJ274" s="229" t="str">
        <f ca="1">IF(Configurações!$G$20="Ligado",IF(AI274&lt;=0,"Vazio",IF(Configurações!$G$18="Semana",IF(Configurações!$G$19="Contar",ENTRADAS!AI274/Configurações!$C$18,AI274/SUM(AK274:AN274)),AI274/A274)),"")</f>
        <v>Vazio</v>
      </c>
      <c r="AK274" s="232">
        <f t="shared" si="12"/>
        <v>0</v>
      </c>
      <c r="AL274" s="232">
        <f t="shared" si="13"/>
        <v>0</v>
      </c>
      <c r="AM274" s="232">
        <f t="shared" si="14"/>
        <v>0</v>
      </c>
      <c r="AN274" s="232">
        <f ca="1">IF(SUMIF($Y$4:$AH$4,"&lt;=" &amp; $AJ$3,ENTRADAS!Y274:AH274)&gt;0,1,0)</f>
        <v>0</v>
      </c>
    </row>
    <row r="275" spans="1:40" ht="21">
      <c r="A275" s="228">
        <f ca="1">COUNT(INDEX($C:$AH,ROW(),1):INDEX($C:$AH,ROW(),$AI$3+1))</f>
        <v>1</v>
      </c>
      <c r="B275" s="230" t="str">
        <f>INDEX(Cadastro_Limpeza[[#All],[Colunas4]],MATCH(ROW()-5,Cadastro_Limpeza[[#All],[Colunas2]],0))</f>
        <v>Limpa Alumínio  p/cozinha</v>
      </c>
      <c r="C275" s="239"/>
      <c r="D275" s="239">
        <v>5</v>
      </c>
      <c r="E275" s="239"/>
      <c r="F275" s="239"/>
      <c r="G275" s="239"/>
      <c r="H275" s="239"/>
      <c r="I275" s="239"/>
      <c r="J275" s="239"/>
      <c r="K275" s="239"/>
      <c r="L275" s="239"/>
      <c r="M275" s="239"/>
      <c r="N275" s="239"/>
      <c r="O275" s="239"/>
      <c r="P275" s="239"/>
      <c r="Q275" s="239"/>
      <c r="R275" s="239"/>
      <c r="S275" s="239"/>
      <c r="T275" s="239"/>
      <c r="U275" s="239"/>
      <c r="V275" s="239"/>
      <c r="W275" s="239"/>
      <c r="X275" s="239"/>
      <c r="Y275" s="239"/>
      <c r="Z275" s="239"/>
      <c r="AA275" s="239"/>
      <c r="AB275" s="239"/>
      <c r="AC275" s="239"/>
      <c r="AD275" s="239"/>
      <c r="AE275" s="239"/>
      <c r="AF275" s="239"/>
      <c r="AG275" s="239"/>
      <c r="AH275" s="239"/>
      <c r="AI275" s="264">
        <f ca="1">IF(Configurações!$G$10="Ligado",SUMIFS(C275:AH275,$C$4:$AH$4,"&lt;="&amp;Configurações!$C$5,$C$4:$AH$4,"&lt;="&amp;$AI$3),"")</f>
        <v>5</v>
      </c>
      <c r="AJ275" s="229">
        <f ca="1">IF(Configurações!$G$20="Ligado",IF(AI275&lt;=0,"Vazio",IF(Configurações!$G$18="Semana",IF(Configurações!$G$19="Contar",ENTRADAS!AI275/Configurações!$C$18,AI275/SUM(AK275:AN275)),AI275/A275)),"")</f>
        <v>5</v>
      </c>
      <c r="AK275" s="232">
        <f t="shared" si="12"/>
        <v>1</v>
      </c>
      <c r="AL275" s="232">
        <f t="shared" si="13"/>
        <v>0</v>
      </c>
      <c r="AM275" s="232">
        <f t="shared" si="14"/>
        <v>0</v>
      </c>
      <c r="AN275" s="232">
        <f ca="1">IF(SUMIF($Y$4:$AH$4,"&lt;=" &amp; $AJ$3,ENTRADAS!Y275:AH275)&gt;0,1,0)</f>
        <v>0</v>
      </c>
    </row>
    <row r="276" spans="1:40" ht="21">
      <c r="A276" s="228">
        <f ca="1">COUNT(INDEX($C:$AH,ROW(),1):INDEX($C:$AH,ROW(),$AI$3+1))</f>
        <v>0</v>
      </c>
      <c r="B276" s="231" t="str">
        <f>INDEX(Cadastro_Limpeza[[#All],[Colunas4]],MATCH(ROW()-5,Cadastro_Limpeza[[#All],[Colunas2]],0))</f>
        <v xml:space="preserve">Limpa Pedras  </v>
      </c>
      <c r="C276" s="238"/>
      <c r="D276" s="238"/>
      <c r="E276" s="238"/>
      <c r="F276" s="238"/>
      <c r="G276" s="238"/>
      <c r="H276" s="238"/>
      <c r="I276" s="238"/>
      <c r="J276" s="238"/>
      <c r="K276" s="238"/>
      <c r="L276" s="238"/>
      <c r="M276" s="238"/>
      <c r="N276" s="238"/>
      <c r="O276" s="238"/>
      <c r="P276" s="238"/>
      <c r="Q276" s="238"/>
      <c r="R276" s="238"/>
      <c r="S276" s="238"/>
      <c r="T276" s="238"/>
      <c r="U276" s="238"/>
      <c r="V276" s="238"/>
      <c r="W276" s="238"/>
      <c r="X276" s="238"/>
      <c r="Y276" s="238"/>
      <c r="Z276" s="238"/>
      <c r="AA276" s="238"/>
      <c r="AB276" s="238"/>
      <c r="AC276" s="238"/>
      <c r="AD276" s="238"/>
      <c r="AE276" s="238"/>
      <c r="AF276" s="238"/>
      <c r="AG276" s="238"/>
      <c r="AH276" s="238"/>
      <c r="AI276" s="264">
        <f ca="1">IF(Configurações!$G$10="Ligado",SUMIFS(C276:AH276,$C$4:$AH$4,"&lt;="&amp;Configurações!$C$5,$C$4:$AH$4,"&lt;="&amp;$AI$3),"")</f>
        <v>0</v>
      </c>
      <c r="AJ276" s="229" t="str">
        <f ca="1">IF(Configurações!$G$20="Ligado",IF(AI276&lt;=0,"Vazio",IF(Configurações!$G$18="Semana",IF(Configurações!$G$19="Contar",ENTRADAS!AI276/Configurações!$C$18,AI276/SUM(AK276:AN276)),AI276/A276)),"")</f>
        <v>Vazio</v>
      </c>
      <c r="AK276" s="232">
        <f t="shared" si="12"/>
        <v>0</v>
      </c>
      <c r="AL276" s="232">
        <f t="shared" si="13"/>
        <v>0</v>
      </c>
      <c r="AM276" s="232">
        <f t="shared" si="14"/>
        <v>0</v>
      </c>
      <c r="AN276" s="232">
        <f ca="1">IF(SUMIF($Y$4:$AH$4,"&lt;=" &amp; $AJ$3,ENTRADAS!Y276:AH276)&gt;0,1,0)</f>
        <v>0</v>
      </c>
    </row>
    <row r="277" spans="1:40" ht="21">
      <c r="A277" s="228">
        <f ca="1">COUNT(INDEX($C:$AH,ROW(),1):INDEX($C:$AH,ROW(),$AI$3+1))</f>
        <v>0</v>
      </c>
      <c r="B277" s="230" t="str">
        <f>INDEX(Cadastro_Limpeza[[#All],[Colunas4]],MATCH(ROW()-5,Cadastro_Limpeza[[#All],[Colunas2]],0))</f>
        <v xml:space="preserve">Limpa Vidros </v>
      </c>
      <c r="C277" s="239"/>
      <c r="D277" s="239"/>
      <c r="E277" s="239"/>
      <c r="F277" s="239"/>
      <c r="G277" s="239"/>
      <c r="H277" s="239"/>
      <c r="I277" s="239"/>
      <c r="J277" s="239"/>
      <c r="K277" s="239"/>
      <c r="L277" s="239"/>
      <c r="M277" s="239"/>
      <c r="N277" s="239"/>
      <c r="O277" s="239"/>
      <c r="P277" s="239"/>
      <c r="Q277" s="239"/>
      <c r="R277" s="239"/>
      <c r="S277" s="239"/>
      <c r="T277" s="239"/>
      <c r="U277" s="239"/>
      <c r="V277" s="239"/>
      <c r="W277" s="239"/>
      <c r="X277" s="239"/>
      <c r="Y277" s="239"/>
      <c r="Z277" s="239"/>
      <c r="AA277" s="239"/>
      <c r="AB277" s="239"/>
      <c r="AC277" s="239"/>
      <c r="AD277" s="239"/>
      <c r="AE277" s="239"/>
      <c r="AF277" s="239"/>
      <c r="AG277" s="239"/>
      <c r="AH277" s="239"/>
      <c r="AI277" s="264">
        <f ca="1">IF(Configurações!$G$10="Ligado",SUMIFS(C277:AH277,$C$4:$AH$4,"&lt;="&amp;Configurações!$C$5,$C$4:$AH$4,"&lt;="&amp;$AI$3),"")</f>
        <v>0</v>
      </c>
      <c r="AJ277" s="229" t="str">
        <f ca="1">IF(Configurações!$G$20="Ligado",IF(AI277&lt;=0,"Vazio",IF(Configurações!$G$18="Semana",IF(Configurações!$G$19="Contar",ENTRADAS!AI277/Configurações!$C$18,AI277/SUM(AK277:AN277)),AI277/A277)),"")</f>
        <v>Vazio</v>
      </c>
      <c r="AK277" s="232">
        <f t="shared" si="12"/>
        <v>0</v>
      </c>
      <c r="AL277" s="232">
        <f t="shared" si="13"/>
        <v>0</v>
      </c>
      <c r="AM277" s="232">
        <f t="shared" si="14"/>
        <v>0</v>
      </c>
      <c r="AN277" s="232">
        <f ca="1">IF(SUMIF($Y$4:$AH$4,"&lt;=" &amp; $AJ$3,ENTRADAS!Y277:AH277)&gt;0,1,0)</f>
        <v>0</v>
      </c>
    </row>
    <row r="278" spans="1:40" ht="21">
      <c r="A278" s="228">
        <f ca="1">COUNT(INDEX($C:$AH,ROW(),1):INDEX($C:$AH,ROW(),$AI$3+1))</f>
        <v>1</v>
      </c>
      <c r="B278" s="231" t="str">
        <f>INDEX(Cadastro_Limpeza[[#All],[Colunas4]],MATCH(ROW()-5,Cadastro_Limpeza[[#All],[Colunas2]],0))</f>
        <v>Lustra Móveis 500ML</v>
      </c>
      <c r="C278" s="238"/>
      <c r="D278" s="238">
        <v>10</v>
      </c>
      <c r="E278" s="238"/>
      <c r="F278" s="238"/>
      <c r="G278" s="238"/>
      <c r="H278" s="238"/>
      <c r="I278" s="238"/>
      <c r="J278" s="238"/>
      <c r="K278" s="238"/>
      <c r="L278" s="238"/>
      <c r="M278" s="238"/>
      <c r="N278" s="238"/>
      <c r="O278" s="238"/>
      <c r="P278" s="238"/>
      <c r="Q278" s="238"/>
      <c r="R278" s="238"/>
      <c r="S278" s="238"/>
      <c r="T278" s="238"/>
      <c r="U278" s="238"/>
      <c r="V278" s="238"/>
      <c r="W278" s="238"/>
      <c r="X278" s="238"/>
      <c r="Y278" s="238"/>
      <c r="Z278" s="238"/>
      <c r="AA278" s="238"/>
      <c r="AB278" s="238"/>
      <c r="AC278" s="238"/>
      <c r="AD278" s="238"/>
      <c r="AE278" s="238"/>
      <c r="AF278" s="238"/>
      <c r="AG278" s="238"/>
      <c r="AH278" s="238"/>
      <c r="AI278" s="264">
        <f ca="1">IF(Configurações!$G$10="Ligado",SUMIFS(C278:AH278,$C$4:$AH$4,"&lt;="&amp;Configurações!$C$5,$C$4:$AH$4,"&lt;="&amp;$AI$3),"")</f>
        <v>10</v>
      </c>
      <c r="AJ278" s="229">
        <f ca="1">IF(Configurações!$G$20="Ligado",IF(AI278&lt;=0,"Vazio",IF(Configurações!$G$18="Semana",IF(Configurações!$G$19="Contar",ENTRADAS!AI278/Configurações!$C$18,AI278/SUM(AK278:AN278)),AI278/A278)),"")</f>
        <v>10</v>
      </c>
      <c r="AK278" s="232">
        <f t="shared" si="12"/>
        <v>1</v>
      </c>
      <c r="AL278" s="232">
        <f t="shared" si="13"/>
        <v>0</v>
      </c>
      <c r="AM278" s="232">
        <f t="shared" si="14"/>
        <v>0</v>
      </c>
      <c r="AN278" s="232">
        <f ca="1">IF(SUMIF($Y$4:$AH$4,"&lt;=" &amp; $AJ$3,ENTRADAS!Y278:AH278)&gt;0,1,0)</f>
        <v>0</v>
      </c>
    </row>
    <row r="279" spans="1:40" ht="21">
      <c r="A279" s="228">
        <f ca="1">COUNT(INDEX($C:$AH,ROW(),1):INDEX($C:$AH,ROW(),$AI$3+1))</f>
        <v>2</v>
      </c>
      <c r="B279" s="230" t="str">
        <f>INDEX(Cadastro_Limpeza[[#All],[Colunas4]],MATCH(ROW()-5,Cadastro_Limpeza[[#All],[Colunas2]],0))</f>
        <v>Luva Latex cx c/ 100</v>
      </c>
      <c r="C279" s="239"/>
      <c r="D279" s="239"/>
      <c r="E279" s="239"/>
      <c r="F279" s="239"/>
      <c r="G279" s="239"/>
      <c r="H279" s="239"/>
      <c r="I279" s="239"/>
      <c r="J279" s="239"/>
      <c r="K279" s="239">
        <v>10</v>
      </c>
      <c r="L279" s="239"/>
      <c r="M279" s="239"/>
      <c r="N279" s="239"/>
      <c r="O279" s="239"/>
      <c r="P279" s="239"/>
      <c r="Q279" s="239">
        <v>3</v>
      </c>
      <c r="R279" s="239"/>
      <c r="S279" s="239"/>
      <c r="T279" s="239"/>
      <c r="U279" s="239"/>
      <c r="V279" s="239"/>
      <c r="W279" s="239"/>
      <c r="X279" s="239"/>
      <c r="Y279" s="239"/>
      <c r="Z279" s="239"/>
      <c r="AA279" s="239"/>
      <c r="AB279" s="239"/>
      <c r="AC279" s="239"/>
      <c r="AD279" s="239"/>
      <c r="AE279" s="239"/>
      <c r="AF279" s="239"/>
      <c r="AG279" s="239"/>
      <c r="AH279" s="239"/>
      <c r="AI279" s="264">
        <f ca="1">IF(Configurações!$G$10="Ligado",SUMIFS(C279:AH279,$C$4:$AH$4,"&lt;="&amp;Configurações!$C$5,$C$4:$AH$4,"&lt;="&amp;$AI$3),"")</f>
        <v>13</v>
      </c>
      <c r="AJ279" s="229">
        <f ca="1">IF(Configurações!$G$20="Ligado",IF(AI279&lt;=0,"Vazio",IF(Configurações!$G$18="Semana",IF(Configurações!$G$19="Contar",ENTRADAS!AI279/Configurações!$C$18,AI279/SUM(AK279:AN279)),AI279/A279)),"")</f>
        <v>13</v>
      </c>
      <c r="AK279" s="232">
        <f t="shared" si="12"/>
        <v>0</v>
      </c>
      <c r="AL279" s="232">
        <f t="shared" si="13"/>
        <v>1</v>
      </c>
      <c r="AM279" s="232">
        <f t="shared" si="14"/>
        <v>0</v>
      </c>
      <c r="AN279" s="232">
        <f ca="1">IF(SUMIF($Y$4:$AH$4,"&lt;=" &amp; $AJ$3,ENTRADAS!Y279:AH279)&gt;0,1,0)</f>
        <v>0</v>
      </c>
    </row>
    <row r="280" spans="1:40" ht="21">
      <c r="A280" s="228">
        <f ca="1">COUNT(INDEX($C:$AH,ROW(),1):INDEX($C:$AH,ROW(),$AI$3+1))</f>
        <v>1</v>
      </c>
      <c r="B280" s="231" t="str">
        <f>INDEX(Cadastro_Limpeza[[#All],[Colunas4]],MATCH(ROW()-5,Cadastro_Limpeza[[#All],[Colunas2]],0))</f>
        <v>Luva Limpeza</v>
      </c>
      <c r="C280" s="238"/>
      <c r="D280" s="238">
        <v>8</v>
      </c>
      <c r="E280" s="238"/>
      <c r="F280" s="238"/>
      <c r="G280" s="238"/>
      <c r="H280" s="238"/>
      <c r="I280" s="238"/>
      <c r="J280" s="238"/>
      <c r="K280" s="238"/>
      <c r="L280" s="238"/>
      <c r="M280" s="238"/>
      <c r="N280" s="238"/>
      <c r="O280" s="238"/>
      <c r="P280" s="238"/>
      <c r="Q280" s="238"/>
      <c r="R280" s="238"/>
      <c r="S280" s="238"/>
      <c r="T280" s="238"/>
      <c r="U280" s="238"/>
      <c r="V280" s="238"/>
      <c r="W280" s="238"/>
      <c r="X280" s="238"/>
      <c r="Y280" s="238"/>
      <c r="Z280" s="238"/>
      <c r="AA280" s="238"/>
      <c r="AB280" s="238"/>
      <c r="AC280" s="238"/>
      <c r="AD280" s="238"/>
      <c r="AE280" s="238"/>
      <c r="AF280" s="238"/>
      <c r="AG280" s="238"/>
      <c r="AH280" s="238"/>
      <c r="AI280" s="264">
        <f ca="1">IF(Configurações!$G$10="Ligado",SUMIFS(C280:AH280,$C$4:$AH$4,"&lt;="&amp;Configurações!$C$5,$C$4:$AH$4,"&lt;="&amp;$AI$3),"")</f>
        <v>8</v>
      </c>
      <c r="AJ280" s="229">
        <f ca="1">IF(Configurações!$G$20="Ligado",IF(AI280&lt;=0,"Vazio",IF(Configurações!$G$18="Semana",IF(Configurações!$G$19="Contar",ENTRADAS!AI280/Configurações!$C$18,AI280/SUM(AK280:AN280)),AI280/A280)),"")</f>
        <v>8</v>
      </c>
      <c r="AK280" s="232">
        <f t="shared" si="12"/>
        <v>1</v>
      </c>
      <c r="AL280" s="232">
        <f t="shared" si="13"/>
        <v>0</v>
      </c>
      <c r="AM280" s="232">
        <f t="shared" si="14"/>
        <v>0</v>
      </c>
      <c r="AN280" s="232">
        <f ca="1">IF(SUMIF($Y$4:$AH$4,"&lt;=" &amp; $AJ$3,ENTRADAS!Y280:AH280)&gt;0,1,0)</f>
        <v>0</v>
      </c>
    </row>
    <row r="281" spans="1:40" ht="21">
      <c r="A281" s="228">
        <f ca="1">COUNT(INDEX($C:$AH,ROW(),1):INDEX($C:$AH,ROW(),$AI$3+1))</f>
        <v>0</v>
      </c>
      <c r="B281" s="230" t="str">
        <f>INDEX(Cadastro_Limpeza[[#All],[Colunas4]],MATCH(ROW()-5,Cadastro_Limpeza[[#All],[Colunas2]],0))</f>
        <v>Mascara de Proteção</v>
      </c>
      <c r="C281" s="239"/>
      <c r="D281" s="239"/>
      <c r="E281" s="239"/>
      <c r="F281" s="239"/>
      <c r="G281" s="239"/>
      <c r="H281" s="239"/>
      <c r="I281" s="239"/>
      <c r="J281" s="239"/>
      <c r="K281" s="239"/>
      <c r="L281" s="239"/>
      <c r="M281" s="239"/>
      <c r="N281" s="239"/>
      <c r="O281" s="239"/>
      <c r="P281" s="239"/>
      <c r="Q281" s="239"/>
      <c r="R281" s="239"/>
      <c r="S281" s="239"/>
      <c r="T281" s="239"/>
      <c r="U281" s="239"/>
      <c r="V281" s="239"/>
      <c r="W281" s="239"/>
      <c r="X281" s="239"/>
      <c r="Y281" s="239"/>
      <c r="Z281" s="239"/>
      <c r="AA281" s="239"/>
      <c r="AB281" s="239"/>
      <c r="AC281" s="239"/>
      <c r="AD281" s="239"/>
      <c r="AE281" s="239"/>
      <c r="AF281" s="239"/>
      <c r="AG281" s="239"/>
      <c r="AH281" s="239"/>
      <c r="AI281" s="264">
        <f ca="1">IF(Configurações!$G$10="Ligado",SUMIFS(C281:AH281,$C$4:$AH$4,"&lt;="&amp;Configurações!$C$5,$C$4:$AH$4,"&lt;="&amp;$AI$3),"")</f>
        <v>0</v>
      </c>
      <c r="AJ281" s="229" t="str">
        <f ca="1">IF(Configurações!$G$20="Ligado",IF(AI281&lt;=0,"Vazio",IF(Configurações!$G$18="Semana",IF(Configurações!$G$19="Contar",ENTRADAS!AI281/Configurações!$C$18,AI281/SUM(AK281:AN281)),AI281/A281)),"")</f>
        <v>Vazio</v>
      </c>
      <c r="AK281" s="232">
        <f t="shared" si="12"/>
        <v>0</v>
      </c>
      <c r="AL281" s="232">
        <f t="shared" si="13"/>
        <v>0</v>
      </c>
      <c r="AM281" s="232">
        <f t="shared" si="14"/>
        <v>0</v>
      </c>
      <c r="AN281" s="232">
        <f ca="1">IF(SUMIF($Y$4:$AH$4,"&lt;=" &amp; $AJ$3,ENTRADAS!Y281:AH281)&gt;0,1,0)</f>
        <v>0</v>
      </c>
    </row>
    <row r="282" spans="1:40" ht="21">
      <c r="A282" s="228">
        <f ca="1">COUNT(INDEX($C:$AH,ROW(),1):INDEX($C:$AH,ROW(),$AI$3+1))</f>
        <v>0</v>
      </c>
      <c r="B282" s="231" t="str">
        <f>INDEX(Cadastro_Limpeza[[#All],[Colunas4]],MATCH(ROW()-5,Cadastro_Limpeza[[#All],[Colunas2]],0))</f>
        <v>Pá de lixo</v>
      </c>
      <c r="C282" s="238"/>
      <c r="D282" s="238"/>
      <c r="E282" s="238"/>
      <c r="F282" s="238"/>
      <c r="G282" s="238"/>
      <c r="H282" s="238"/>
      <c r="I282" s="238"/>
      <c r="J282" s="238"/>
      <c r="K282" s="238"/>
      <c r="L282" s="238"/>
      <c r="M282" s="238"/>
      <c r="N282" s="238"/>
      <c r="O282" s="238"/>
      <c r="P282" s="238"/>
      <c r="Q282" s="238"/>
      <c r="R282" s="238"/>
      <c r="S282" s="238"/>
      <c r="T282" s="238"/>
      <c r="U282" s="238"/>
      <c r="V282" s="238"/>
      <c r="W282" s="238"/>
      <c r="X282" s="238"/>
      <c r="Y282" s="238"/>
      <c r="Z282" s="238"/>
      <c r="AA282" s="238"/>
      <c r="AB282" s="238"/>
      <c r="AC282" s="238"/>
      <c r="AD282" s="238"/>
      <c r="AE282" s="238"/>
      <c r="AF282" s="238"/>
      <c r="AG282" s="238"/>
      <c r="AH282" s="238"/>
      <c r="AI282" s="264">
        <f ca="1">IF(Configurações!$G$10="Ligado",SUMIFS(C282:AH282,$C$4:$AH$4,"&lt;="&amp;Configurações!$C$5,$C$4:$AH$4,"&lt;="&amp;$AI$3),"")</f>
        <v>0</v>
      </c>
      <c r="AJ282" s="229" t="str">
        <f ca="1">IF(Configurações!$G$20="Ligado",IF(AI282&lt;=0,"Vazio",IF(Configurações!$G$18="Semana",IF(Configurações!$G$19="Contar",ENTRADAS!AI282/Configurações!$C$18,AI282/SUM(AK282:AN282)),AI282/A282)),"")</f>
        <v>Vazio</v>
      </c>
      <c r="AK282" s="232">
        <f t="shared" si="12"/>
        <v>0</v>
      </c>
      <c r="AL282" s="232">
        <f t="shared" si="13"/>
        <v>0</v>
      </c>
      <c r="AM282" s="232">
        <f t="shared" si="14"/>
        <v>0</v>
      </c>
      <c r="AN282" s="232">
        <f ca="1">IF(SUMIF($Y$4:$AH$4,"&lt;=" &amp; $AJ$3,ENTRADAS!Y282:AH282)&gt;0,1,0)</f>
        <v>0</v>
      </c>
    </row>
    <row r="283" spans="1:40" ht="21">
      <c r="A283" s="228">
        <f ca="1">COUNT(INDEX($C:$AH,ROW(),1):INDEX($C:$AH,ROW(),$AI$3+1))</f>
        <v>0</v>
      </c>
      <c r="B283" s="230" t="str">
        <f>INDEX(Cadastro_Limpeza[[#All],[Colunas4]],MATCH(ROW()-5,Cadastro_Limpeza[[#All],[Colunas2]],0))</f>
        <v>Palheta(colher descartavel)</v>
      </c>
      <c r="C283" s="239"/>
      <c r="D283" s="239"/>
      <c r="E283" s="239"/>
      <c r="F283" s="239"/>
      <c r="G283" s="239"/>
      <c r="H283" s="239"/>
      <c r="I283" s="239"/>
      <c r="J283" s="239"/>
      <c r="K283" s="239"/>
      <c r="L283" s="239"/>
      <c r="M283" s="239"/>
      <c r="N283" s="239"/>
      <c r="O283" s="239"/>
      <c r="P283" s="239"/>
      <c r="Q283" s="239"/>
      <c r="R283" s="239"/>
      <c r="S283" s="239"/>
      <c r="T283" s="239"/>
      <c r="U283" s="239"/>
      <c r="V283" s="239"/>
      <c r="W283" s="239"/>
      <c r="X283" s="239"/>
      <c r="Y283" s="239"/>
      <c r="Z283" s="239"/>
      <c r="AA283" s="239"/>
      <c r="AB283" s="239"/>
      <c r="AC283" s="239"/>
      <c r="AD283" s="239"/>
      <c r="AE283" s="239"/>
      <c r="AF283" s="239"/>
      <c r="AG283" s="239"/>
      <c r="AH283" s="239"/>
      <c r="AI283" s="264">
        <f ca="1">IF(Configurações!$G$10="Ligado",SUMIFS(C283:AH283,$C$4:$AH$4,"&lt;="&amp;Configurações!$C$5,$C$4:$AH$4,"&lt;="&amp;$AI$3),"")</f>
        <v>0</v>
      </c>
      <c r="AJ283" s="229" t="str">
        <f ca="1">IF(Configurações!$G$20="Ligado",IF(AI283&lt;=0,"Vazio",IF(Configurações!$G$18="Semana",IF(Configurações!$G$19="Contar",ENTRADAS!AI283/Configurações!$C$18,AI283/SUM(AK283:AN283)),AI283/A283)),"")</f>
        <v>Vazio</v>
      </c>
      <c r="AK283" s="232">
        <f t="shared" si="12"/>
        <v>0</v>
      </c>
      <c r="AL283" s="232">
        <f t="shared" si="13"/>
        <v>0</v>
      </c>
      <c r="AM283" s="232">
        <f t="shared" si="14"/>
        <v>0</v>
      </c>
      <c r="AN283" s="232">
        <f ca="1">IF(SUMIF($Y$4:$AH$4,"&lt;=" &amp; $AJ$3,ENTRADAS!Y283:AH283)&gt;0,1,0)</f>
        <v>0</v>
      </c>
    </row>
    <row r="284" spans="1:40" ht="21">
      <c r="A284" s="228">
        <f ca="1">COUNT(INDEX($C:$AH,ROW(),1):INDEX($C:$AH,ROW(),$AI$3+1))</f>
        <v>0</v>
      </c>
      <c r="B284" s="231" t="str">
        <f>INDEX(Cadastro_Limpeza[[#All],[Colunas4]],MATCH(ROW()-5,Cadastro_Limpeza[[#All],[Colunas2]],0))</f>
        <v>Palito de dente cx 5000</v>
      </c>
      <c r="C284" s="238"/>
      <c r="D284" s="238"/>
      <c r="E284" s="238"/>
      <c r="F284" s="238"/>
      <c r="G284" s="238"/>
      <c r="H284" s="238"/>
      <c r="I284" s="238"/>
      <c r="J284" s="238"/>
      <c r="K284" s="238"/>
      <c r="L284" s="238"/>
      <c r="M284" s="238"/>
      <c r="N284" s="238"/>
      <c r="O284" s="238"/>
      <c r="P284" s="238"/>
      <c r="Q284" s="238"/>
      <c r="R284" s="238"/>
      <c r="S284" s="238"/>
      <c r="T284" s="238"/>
      <c r="U284" s="238"/>
      <c r="V284" s="238"/>
      <c r="W284" s="238"/>
      <c r="X284" s="238"/>
      <c r="Y284" s="238"/>
      <c r="Z284" s="238"/>
      <c r="AA284" s="238"/>
      <c r="AB284" s="238"/>
      <c r="AC284" s="238"/>
      <c r="AD284" s="238"/>
      <c r="AE284" s="238"/>
      <c r="AF284" s="238"/>
      <c r="AG284" s="238"/>
      <c r="AH284" s="238"/>
      <c r="AI284" s="264">
        <f ca="1">IF(Configurações!$G$10="Ligado",SUMIFS(C284:AH284,$C$4:$AH$4,"&lt;="&amp;Configurações!$C$5,$C$4:$AH$4,"&lt;="&amp;$AI$3),"")</f>
        <v>0</v>
      </c>
      <c r="AJ284" s="229" t="str">
        <f ca="1">IF(Configurações!$G$20="Ligado",IF(AI284&lt;=0,"Vazio",IF(Configurações!$G$18="Semana",IF(Configurações!$G$19="Contar",ENTRADAS!AI284/Configurações!$C$18,AI284/SUM(AK284:AN284)),AI284/A284)),"")</f>
        <v>Vazio</v>
      </c>
      <c r="AK284" s="232">
        <f t="shared" si="12"/>
        <v>0</v>
      </c>
      <c r="AL284" s="232">
        <f t="shared" si="13"/>
        <v>0</v>
      </c>
      <c r="AM284" s="232">
        <f t="shared" si="14"/>
        <v>0</v>
      </c>
      <c r="AN284" s="232">
        <f ca="1">IF(SUMIF($Y$4:$AH$4,"&lt;=" &amp; $AJ$3,ENTRADAS!Y284:AH284)&gt;0,1,0)</f>
        <v>0</v>
      </c>
    </row>
    <row r="285" spans="1:40" ht="21">
      <c r="A285" s="228">
        <f ca="1">COUNT(INDEX($C:$AH,ROW(),1):INDEX($C:$AH,ROW(),$AI$3+1))</f>
        <v>0</v>
      </c>
      <c r="B285" s="230" t="str">
        <f>INDEX(Cadastro_Limpeza[[#All],[Colunas4]],MATCH(ROW()-5,Cadastro_Limpeza[[#All],[Colunas2]],0))</f>
        <v>Palito de dente sachê</v>
      </c>
      <c r="C285" s="239"/>
      <c r="D285" s="239"/>
      <c r="E285" s="239"/>
      <c r="F285" s="239"/>
      <c r="G285" s="239"/>
      <c r="H285" s="239"/>
      <c r="I285" s="239"/>
      <c r="J285" s="239"/>
      <c r="K285" s="239"/>
      <c r="L285" s="239"/>
      <c r="M285" s="239"/>
      <c r="N285" s="239"/>
      <c r="O285" s="239"/>
      <c r="P285" s="239"/>
      <c r="Q285" s="239"/>
      <c r="R285" s="239"/>
      <c r="S285" s="239"/>
      <c r="T285" s="239"/>
      <c r="U285" s="239"/>
      <c r="V285" s="239"/>
      <c r="W285" s="239"/>
      <c r="X285" s="239"/>
      <c r="Y285" s="239"/>
      <c r="Z285" s="239"/>
      <c r="AA285" s="239"/>
      <c r="AB285" s="239"/>
      <c r="AC285" s="239"/>
      <c r="AD285" s="239"/>
      <c r="AE285" s="239"/>
      <c r="AF285" s="239"/>
      <c r="AG285" s="239"/>
      <c r="AH285" s="239"/>
      <c r="AI285" s="264">
        <f ca="1">IF(Configurações!$G$10="Ligado",SUMIFS(C285:AH285,$C$4:$AH$4,"&lt;="&amp;Configurações!$C$5,$C$4:$AH$4,"&lt;="&amp;$AI$3),"")</f>
        <v>0</v>
      </c>
      <c r="AJ285" s="229" t="str">
        <f ca="1">IF(Configurações!$G$20="Ligado",IF(AI285&lt;=0,"Vazio",IF(Configurações!$G$18="Semana",IF(Configurações!$G$19="Contar",ENTRADAS!AI285/Configurações!$C$18,AI285/SUM(AK285:AN285)),AI285/A285)),"")</f>
        <v>Vazio</v>
      </c>
      <c r="AK285" s="232">
        <f t="shared" si="12"/>
        <v>0</v>
      </c>
      <c r="AL285" s="232">
        <f t="shared" si="13"/>
        <v>0</v>
      </c>
      <c r="AM285" s="232">
        <f t="shared" si="14"/>
        <v>0</v>
      </c>
      <c r="AN285" s="232">
        <f ca="1">IF(SUMIF($Y$4:$AH$4,"&lt;=" &amp; $AJ$3,ENTRADAS!Y285:AH285)&gt;0,1,0)</f>
        <v>0</v>
      </c>
    </row>
    <row r="286" spans="1:40" ht="21">
      <c r="A286" s="228">
        <f ca="1">COUNT(INDEX($C:$AH,ROW(),1):INDEX($C:$AH,ROW(),$AI$3+1))</f>
        <v>0</v>
      </c>
      <c r="B286" s="231" t="str">
        <f>INDEX(Cadastro_Limpeza[[#All],[Colunas4]],MATCH(ROW()-5,Cadastro_Limpeza[[#All],[Colunas2]],0))</f>
        <v>Pano de chão</v>
      </c>
      <c r="C286" s="238"/>
      <c r="D286" s="238"/>
      <c r="E286" s="238"/>
      <c r="F286" s="238"/>
      <c r="G286" s="238"/>
      <c r="H286" s="238"/>
      <c r="I286" s="238"/>
      <c r="J286" s="238"/>
      <c r="K286" s="238"/>
      <c r="L286" s="238"/>
      <c r="M286" s="238"/>
      <c r="N286" s="238"/>
      <c r="O286" s="238"/>
      <c r="P286" s="238"/>
      <c r="Q286" s="238"/>
      <c r="R286" s="238"/>
      <c r="S286" s="238"/>
      <c r="T286" s="238"/>
      <c r="U286" s="238"/>
      <c r="V286" s="238"/>
      <c r="W286" s="238"/>
      <c r="X286" s="238"/>
      <c r="Y286" s="238"/>
      <c r="Z286" s="238"/>
      <c r="AA286" s="238"/>
      <c r="AB286" s="238"/>
      <c r="AC286" s="238"/>
      <c r="AD286" s="238"/>
      <c r="AE286" s="238"/>
      <c r="AF286" s="238"/>
      <c r="AG286" s="238"/>
      <c r="AH286" s="238"/>
      <c r="AI286" s="264">
        <f ca="1">IF(Configurações!$G$10="Ligado",SUMIFS(C286:AH286,$C$4:$AH$4,"&lt;="&amp;Configurações!$C$5,$C$4:$AH$4,"&lt;="&amp;$AI$3),"")</f>
        <v>0</v>
      </c>
      <c r="AJ286" s="229" t="str">
        <f ca="1">IF(Configurações!$G$20="Ligado",IF(AI286&lt;=0,"Vazio",IF(Configurações!$G$18="Semana",IF(Configurações!$G$19="Contar",ENTRADAS!AI286/Configurações!$C$18,AI286/SUM(AK286:AN286)),AI286/A286)),"")</f>
        <v>Vazio</v>
      </c>
      <c r="AK286" s="232">
        <f t="shared" si="12"/>
        <v>0</v>
      </c>
      <c r="AL286" s="232">
        <f t="shared" si="13"/>
        <v>0</v>
      </c>
      <c r="AM286" s="232">
        <f t="shared" si="14"/>
        <v>0</v>
      </c>
      <c r="AN286" s="232">
        <f ca="1">IF(SUMIF($Y$4:$AH$4,"&lt;=" &amp; $AJ$3,ENTRADAS!Y286:AH286)&gt;0,1,0)</f>
        <v>0</v>
      </c>
    </row>
    <row r="287" spans="1:40" ht="21">
      <c r="A287" s="228">
        <f ca="1">COUNT(INDEX($C:$AH,ROW(),1):INDEX($C:$AH,ROW(),$AI$3+1))</f>
        <v>0</v>
      </c>
      <c r="B287" s="230" t="str">
        <f>INDEX(Cadastro_Limpeza[[#All],[Colunas4]],MATCH(ROW()-5,Cadastro_Limpeza[[#All],[Colunas2]],0))</f>
        <v>Papel alumínio</v>
      </c>
      <c r="C287" s="239"/>
      <c r="D287" s="239"/>
      <c r="E287" s="239"/>
      <c r="F287" s="239"/>
      <c r="G287" s="239"/>
      <c r="H287" s="239"/>
      <c r="I287" s="239"/>
      <c r="J287" s="239"/>
      <c r="K287" s="239"/>
      <c r="L287" s="239"/>
      <c r="M287" s="239"/>
      <c r="N287" s="239"/>
      <c r="O287" s="239"/>
      <c r="P287" s="239"/>
      <c r="Q287" s="239"/>
      <c r="R287" s="239"/>
      <c r="S287" s="239"/>
      <c r="T287" s="239"/>
      <c r="U287" s="239"/>
      <c r="V287" s="239"/>
      <c r="W287" s="239"/>
      <c r="X287" s="239"/>
      <c r="Y287" s="239"/>
      <c r="Z287" s="239"/>
      <c r="AA287" s="239"/>
      <c r="AB287" s="239"/>
      <c r="AC287" s="239"/>
      <c r="AD287" s="239"/>
      <c r="AE287" s="239"/>
      <c r="AF287" s="239"/>
      <c r="AG287" s="239"/>
      <c r="AH287" s="239"/>
      <c r="AI287" s="264">
        <f ca="1">IF(Configurações!$G$10="Ligado",SUMIFS(C287:AH287,$C$4:$AH$4,"&lt;="&amp;Configurações!$C$5,$C$4:$AH$4,"&lt;="&amp;$AI$3),"")</f>
        <v>0</v>
      </c>
      <c r="AJ287" s="229" t="str">
        <f ca="1">IF(Configurações!$G$20="Ligado",IF(AI287&lt;=0,"Vazio",IF(Configurações!$G$18="Semana",IF(Configurações!$G$19="Contar",ENTRADAS!AI287/Configurações!$C$18,AI287/SUM(AK287:AN287)),AI287/A287)),"")</f>
        <v>Vazio</v>
      </c>
      <c r="AK287" s="232">
        <f t="shared" si="12"/>
        <v>0</v>
      </c>
      <c r="AL287" s="232">
        <f t="shared" si="13"/>
        <v>0</v>
      </c>
      <c r="AM287" s="232">
        <f t="shared" si="14"/>
        <v>0</v>
      </c>
      <c r="AN287" s="232">
        <f ca="1">IF(SUMIF($Y$4:$AH$4,"&lt;=" &amp; $AJ$3,ENTRADAS!Y287:AH287)&gt;0,1,0)</f>
        <v>0</v>
      </c>
    </row>
    <row r="288" spans="1:40" ht="21">
      <c r="A288" s="228">
        <f ca="1">COUNT(INDEX($C:$AH,ROW(),1):INDEX($C:$AH,ROW(),$AI$3+1))</f>
        <v>1</v>
      </c>
      <c r="B288" s="231" t="str">
        <f>INDEX(Cadastro_Limpeza[[#All],[Colunas4]],MATCH(ROW()-5,Cadastro_Limpeza[[#All],[Colunas2]],0))</f>
        <v>Papel Higiênico</v>
      </c>
      <c r="C288" s="238"/>
      <c r="D288" s="238"/>
      <c r="E288" s="238"/>
      <c r="F288" s="238"/>
      <c r="G288" s="238"/>
      <c r="H288" s="238"/>
      <c r="I288" s="238"/>
      <c r="J288" s="238"/>
      <c r="K288" s="238"/>
      <c r="L288" s="238"/>
      <c r="M288" s="238"/>
      <c r="N288" s="238"/>
      <c r="O288" s="238"/>
      <c r="P288" s="238"/>
      <c r="Q288" s="238">
        <v>4</v>
      </c>
      <c r="R288" s="238"/>
      <c r="S288" s="238"/>
      <c r="T288" s="238"/>
      <c r="U288" s="238"/>
      <c r="V288" s="238"/>
      <c r="W288" s="238"/>
      <c r="X288" s="238"/>
      <c r="Y288" s="238"/>
      <c r="Z288" s="238"/>
      <c r="AA288" s="238"/>
      <c r="AB288" s="238"/>
      <c r="AC288" s="238"/>
      <c r="AD288" s="238"/>
      <c r="AE288" s="238"/>
      <c r="AF288" s="238"/>
      <c r="AG288" s="238"/>
      <c r="AH288" s="238"/>
      <c r="AI288" s="264">
        <f ca="1">IF(Configurações!$G$10="Ligado",SUMIFS(C288:AH288,$C$4:$AH$4,"&lt;="&amp;Configurações!$C$5,$C$4:$AH$4,"&lt;="&amp;$AI$3),"")</f>
        <v>4</v>
      </c>
      <c r="AJ288" s="229">
        <f ca="1">IF(Configurações!$G$20="Ligado",IF(AI288&lt;=0,"Vazio",IF(Configurações!$G$18="Semana",IF(Configurações!$G$19="Contar",ENTRADAS!AI288/Configurações!$C$18,AI288/SUM(AK288:AN288)),AI288/A288)),"")</f>
        <v>4</v>
      </c>
      <c r="AK288" s="232">
        <f t="shared" si="12"/>
        <v>0</v>
      </c>
      <c r="AL288" s="232">
        <f t="shared" si="13"/>
        <v>1</v>
      </c>
      <c r="AM288" s="232">
        <f t="shared" si="14"/>
        <v>0</v>
      </c>
      <c r="AN288" s="232">
        <f ca="1">IF(SUMIF($Y$4:$AH$4,"&lt;=" &amp; $AJ$3,ENTRADAS!Y288:AH288)&gt;0,1,0)</f>
        <v>0</v>
      </c>
    </row>
    <row r="289" spans="1:40" ht="21">
      <c r="A289" s="228">
        <f ca="1">COUNT(INDEX($C:$AH,ROW(),1):INDEX($C:$AH,ROW(),$AI$3+1))</f>
        <v>1</v>
      </c>
      <c r="B289" s="230" t="str">
        <f>INDEX(Cadastro_Limpeza[[#All],[Colunas4]],MATCH(ROW()-5,Cadastro_Limpeza[[#All],[Colunas2]],0))</f>
        <v xml:space="preserve">Papel Interfolha </v>
      </c>
      <c r="C289" s="239"/>
      <c r="D289" s="239">
        <v>2</v>
      </c>
      <c r="E289" s="239"/>
      <c r="F289" s="239"/>
      <c r="G289" s="239"/>
      <c r="H289" s="239"/>
      <c r="I289" s="239"/>
      <c r="J289" s="239"/>
      <c r="K289" s="239"/>
      <c r="L289" s="239"/>
      <c r="M289" s="239"/>
      <c r="N289" s="239"/>
      <c r="O289" s="239"/>
      <c r="P289" s="239"/>
      <c r="Q289" s="239"/>
      <c r="R289" s="239"/>
      <c r="S289" s="239"/>
      <c r="T289" s="239"/>
      <c r="U289" s="239"/>
      <c r="V289" s="239"/>
      <c r="W289" s="239"/>
      <c r="X289" s="239"/>
      <c r="Y289" s="239"/>
      <c r="Z289" s="239"/>
      <c r="AA289" s="239"/>
      <c r="AB289" s="239"/>
      <c r="AC289" s="239"/>
      <c r="AD289" s="239"/>
      <c r="AE289" s="239"/>
      <c r="AF289" s="239"/>
      <c r="AG289" s="239"/>
      <c r="AH289" s="239"/>
      <c r="AI289" s="264">
        <f ca="1">IF(Configurações!$G$10="Ligado",SUMIFS(C289:AH289,$C$4:$AH$4,"&lt;="&amp;Configurações!$C$5,$C$4:$AH$4,"&lt;="&amp;$AI$3),"")</f>
        <v>2</v>
      </c>
      <c r="AJ289" s="229">
        <f ca="1">IF(Configurações!$G$20="Ligado",IF(AI289&lt;=0,"Vazio",IF(Configurações!$G$18="Semana",IF(Configurações!$G$19="Contar",ENTRADAS!AI289/Configurações!$C$18,AI289/SUM(AK289:AN289)),AI289/A289)),"")</f>
        <v>2</v>
      </c>
      <c r="AK289" s="232">
        <f t="shared" si="12"/>
        <v>1</v>
      </c>
      <c r="AL289" s="232">
        <f t="shared" si="13"/>
        <v>0</v>
      </c>
      <c r="AM289" s="232">
        <f t="shared" si="14"/>
        <v>0</v>
      </c>
      <c r="AN289" s="232">
        <f ca="1">IF(SUMIF($Y$4:$AH$4,"&lt;=" &amp; $AJ$3,ENTRADAS!Y289:AH289)&gt;0,1,0)</f>
        <v>0</v>
      </c>
    </row>
    <row r="290" spans="1:40" ht="21">
      <c r="A290" s="228">
        <f ca="1">COUNT(INDEX($C:$AH,ROW(),1):INDEX($C:$AH,ROW(),$AI$3+1))</f>
        <v>1</v>
      </c>
      <c r="B290" s="231" t="str">
        <f>INDEX(Cadastro_Limpeza[[#All],[Colunas4]],MATCH(ROW()-5,Cadastro_Limpeza[[#All],[Colunas2]],0))</f>
        <v>Papel Toalha bobinha (Lavabo)</v>
      </c>
      <c r="C290" s="238"/>
      <c r="D290" s="238">
        <v>2</v>
      </c>
      <c r="E290" s="238"/>
      <c r="F290" s="238"/>
      <c r="G290" s="238"/>
      <c r="H290" s="238"/>
      <c r="I290" s="238"/>
      <c r="J290" s="238"/>
      <c r="K290" s="238"/>
      <c r="L290" s="238"/>
      <c r="M290" s="238"/>
      <c r="N290" s="238"/>
      <c r="O290" s="238"/>
      <c r="P290" s="238"/>
      <c r="Q290" s="238"/>
      <c r="R290" s="238"/>
      <c r="S290" s="238"/>
      <c r="T290" s="238"/>
      <c r="U290" s="238"/>
      <c r="V290" s="238"/>
      <c r="W290" s="238"/>
      <c r="X290" s="238"/>
      <c r="Y290" s="238"/>
      <c r="Z290" s="238"/>
      <c r="AA290" s="238"/>
      <c r="AB290" s="238"/>
      <c r="AC290" s="238"/>
      <c r="AD290" s="238"/>
      <c r="AE290" s="238"/>
      <c r="AF290" s="238"/>
      <c r="AG290" s="238"/>
      <c r="AH290" s="238"/>
      <c r="AI290" s="264">
        <f ca="1">IF(Configurações!$G$10="Ligado",SUMIFS(C290:AH290,$C$4:$AH$4,"&lt;="&amp;Configurações!$C$5,$C$4:$AH$4,"&lt;="&amp;$AI$3),"")</f>
        <v>2</v>
      </c>
      <c r="AJ290" s="229">
        <f ca="1">IF(Configurações!$G$20="Ligado",IF(AI290&lt;=0,"Vazio",IF(Configurações!$G$18="Semana",IF(Configurações!$G$19="Contar",ENTRADAS!AI290/Configurações!$C$18,AI290/SUM(AK290:AN290)),AI290/A290)),"")</f>
        <v>2</v>
      </c>
      <c r="AK290" s="232">
        <f t="shared" si="12"/>
        <v>1</v>
      </c>
      <c r="AL290" s="232">
        <f t="shared" si="13"/>
        <v>0</v>
      </c>
      <c r="AM290" s="232">
        <f t="shared" si="14"/>
        <v>0</v>
      </c>
      <c r="AN290" s="232">
        <f ca="1">IF(SUMIF($Y$4:$AH$4,"&lt;=" &amp; $AJ$3,ENTRADAS!Y290:AH290)&gt;0,1,0)</f>
        <v>0</v>
      </c>
    </row>
    <row r="291" spans="1:40" ht="21">
      <c r="A291" s="228">
        <f ca="1">COUNT(INDEX($C:$AH,ROW(),1):INDEX($C:$AH,ROW(),$AI$3+1))</f>
        <v>2</v>
      </c>
      <c r="B291" s="230" t="str">
        <f>INDEX(Cadastro_Limpeza[[#All],[Colunas4]],MATCH(ROW()-5,Cadastro_Limpeza[[#All],[Colunas2]],0))</f>
        <v>Perfex</v>
      </c>
      <c r="C291" s="239"/>
      <c r="D291" s="239"/>
      <c r="E291" s="239">
        <v>2</v>
      </c>
      <c r="F291" s="239"/>
      <c r="G291" s="239"/>
      <c r="H291" s="239"/>
      <c r="I291" s="239"/>
      <c r="J291" s="239"/>
      <c r="K291" s="239"/>
      <c r="L291" s="239"/>
      <c r="M291" s="239"/>
      <c r="N291" s="239"/>
      <c r="O291" s="239"/>
      <c r="P291" s="239"/>
      <c r="Q291" s="239">
        <v>1</v>
      </c>
      <c r="R291" s="239"/>
      <c r="S291" s="239"/>
      <c r="T291" s="239"/>
      <c r="U291" s="239"/>
      <c r="V291" s="239"/>
      <c r="W291" s="239"/>
      <c r="X291" s="239"/>
      <c r="Y291" s="239"/>
      <c r="Z291" s="239"/>
      <c r="AA291" s="239"/>
      <c r="AB291" s="239"/>
      <c r="AC291" s="239"/>
      <c r="AD291" s="239"/>
      <c r="AE291" s="239"/>
      <c r="AF291" s="239"/>
      <c r="AG291" s="239"/>
      <c r="AH291" s="239"/>
      <c r="AI291" s="264">
        <f ca="1">IF(Configurações!$G$10="Ligado",SUMIFS(C291:AH291,$C$4:$AH$4,"&lt;="&amp;Configurações!$C$5,$C$4:$AH$4,"&lt;="&amp;$AI$3),"")</f>
        <v>3</v>
      </c>
      <c r="AJ291" s="229">
        <f ca="1">IF(Configurações!$G$20="Ligado",IF(AI291&lt;=0,"Vazio",IF(Configurações!$G$18="Semana",IF(Configurações!$G$19="Contar",ENTRADAS!AI291/Configurações!$C$18,AI291/SUM(AK291:AN291)),AI291/A291)),"")</f>
        <v>1.5</v>
      </c>
      <c r="AK291" s="232">
        <f t="shared" si="12"/>
        <v>1</v>
      </c>
      <c r="AL291" s="232">
        <f t="shared" si="13"/>
        <v>1</v>
      </c>
      <c r="AM291" s="232">
        <f t="shared" si="14"/>
        <v>0</v>
      </c>
      <c r="AN291" s="232">
        <f ca="1">IF(SUMIF($Y$4:$AH$4,"&lt;=" &amp; $AJ$3,ENTRADAS!Y291:AH291)&gt;0,1,0)</f>
        <v>0</v>
      </c>
    </row>
    <row r="292" spans="1:40" ht="21">
      <c r="A292" s="228">
        <f ca="1">COUNT(INDEX($C:$AH,ROW(),1):INDEX($C:$AH,ROW(),$AI$3+1))</f>
        <v>2</v>
      </c>
      <c r="B292" s="231" t="str">
        <f>INDEX(Cadastro_Limpeza[[#All],[Colunas4]],MATCH(ROW()-5,Cadastro_Limpeza[[#All],[Colunas2]],0))</f>
        <v>Pulverizador</v>
      </c>
      <c r="C292" s="238"/>
      <c r="D292" s="238">
        <v>4</v>
      </c>
      <c r="E292" s="238"/>
      <c r="F292" s="238"/>
      <c r="G292" s="238"/>
      <c r="H292" s="238"/>
      <c r="I292" s="238"/>
      <c r="J292" s="238"/>
      <c r="K292" s="238"/>
      <c r="L292" s="238"/>
      <c r="M292" s="238"/>
      <c r="N292" s="238"/>
      <c r="O292" s="238"/>
      <c r="P292" s="238"/>
      <c r="Q292" s="238">
        <v>6</v>
      </c>
      <c r="R292" s="238"/>
      <c r="S292" s="238"/>
      <c r="T292" s="238"/>
      <c r="U292" s="238"/>
      <c r="V292" s="238"/>
      <c r="W292" s="238"/>
      <c r="X292" s="238"/>
      <c r="Y292" s="238"/>
      <c r="Z292" s="238"/>
      <c r="AA292" s="238"/>
      <c r="AB292" s="238"/>
      <c r="AC292" s="238"/>
      <c r="AD292" s="238"/>
      <c r="AE292" s="238"/>
      <c r="AF292" s="238"/>
      <c r="AG292" s="238"/>
      <c r="AH292" s="238"/>
      <c r="AI292" s="264">
        <f ca="1">IF(Configurações!$G$10="Ligado",SUMIFS(C292:AH292,$C$4:$AH$4,"&lt;="&amp;Configurações!$C$5,$C$4:$AH$4,"&lt;="&amp;$AI$3),"")</f>
        <v>10</v>
      </c>
      <c r="AJ292" s="229">
        <f ca="1">IF(Configurações!$G$20="Ligado",IF(AI292&lt;=0,"Vazio",IF(Configurações!$G$18="Semana",IF(Configurações!$G$19="Contar",ENTRADAS!AI292/Configurações!$C$18,AI292/SUM(AK292:AN292)),AI292/A292)),"")</f>
        <v>5</v>
      </c>
      <c r="AK292" s="232">
        <f t="shared" si="12"/>
        <v>1</v>
      </c>
      <c r="AL292" s="232">
        <f t="shared" si="13"/>
        <v>1</v>
      </c>
      <c r="AM292" s="232">
        <f t="shared" si="14"/>
        <v>0</v>
      </c>
      <c r="AN292" s="232">
        <f ca="1">IF(SUMIF($Y$4:$AH$4,"&lt;=" &amp; $AJ$3,ENTRADAS!Y292:AH292)&gt;0,1,0)</f>
        <v>0</v>
      </c>
    </row>
    <row r="293" spans="1:40" ht="21">
      <c r="A293" s="228">
        <f ca="1">COUNT(INDEX($C:$AH,ROW(),1):INDEX($C:$AH,ROW(),$AI$3+1))</f>
        <v>0</v>
      </c>
      <c r="B293" s="230" t="str">
        <f>INDEX(Cadastro_Limpeza[[#All],[Colunas4]],MATCH(ROW()-5,Cadastro_Limpeza[[#All],[Colunas2]],0))</f>
        <v>Removedor</v>
      </c>
      <c r="C293" s="239"/>
      <c r="D293" s="239"/>
      <c r="E293" s="239"/>
      <c r="F293" s="239"/>
      <c r="G293" s="239"/>
      <c r="H293" s="239"/>
      <c r="I293" s="239"/>
      <c r="J293" s="239"/>
      <c r="K293" s="239"/>
      <c r="L293" s="239"/>
      <c r="M293" s="239"/>
      <c r="N293" s="239"/>
      <c r="O293" s="239"/>
      <c r="P293" s="239"/>
      <c r="Q293" s="239"/>
      <c r="R293" s="239"/>
      <c r="S293" s="239"/>
      <c r="T293" s="239"/>
      <c r="U293" s="239"/>
      <c r="V293" s="239"/>
      <c r="W293" s="239"/>
      <c r="X293" s="239"/>
      <c r="Y293" s="239"/>
      <c r="Z293" s="239"/>
      <c r="AA293" s="239"/>
      <c r="AB293" s="239"/>
      <c r="AC293" s="239"/>
      <c r="AD293" s="239"/>
      <c r="AE293" s="239"/>
      <c r="AF293" s="239"/>
      <c r="AG293" s="239"/>
      <c r="AH293" s="239"/>
      <c r="AI293" s="264">
        <f ca="1">IF(Configurações!$G$10="Ligado",SUMIFS(C293:AH293,$C$4:$AH$4,"&lt;="&amp;Configurações!$C$5,$C$4:$AH$4,"&lt;="&amp;$AI$3),"")</f>
        <v>0</v>
      </c>
      <c r="AJ293" s="229" t="str">
        <f ca="1">IF(Configurações!$G$20="Ligado",IF(AI293&lt;=0,"Vazio",IF(Configurações!$G$18="Semana",IF(Configurações!$G$19="Contar",ENTRADAS!AI293/Configurações!$C$18,AI293/SUM(AK293:AN293)),AI293/A293)),"")</f>
        <v>Vazio</v>
      </c>
      <c r="AK293" s="232">
        <f t="shared" si="12"/>
        <v>0</v>
      </c>
      <c r="AL293" s="232">
        <f t="shared" si="13"/>
        <v>0</v>
      </c>
      <c r="AM293" s="232">
        <f t="shared" si="14"/>
        <v>0</v>
      </c>
      <c r="AN293" s="232">
        <f ca="1">IF(SUMIF($Y$4:$AH$4,"&lt;=" &amp; $AJ$3,ENTRADAS!Y293:AH293)&gt;0,1,0)</f>
        <v>0</v>
      </c>
    </row>
    <row r="294" spans="1:40" ht="21">
      <c r="A294" s="228">
        <f ca="1">COUNT(INDEX($C:$AH,ROW(),1):INDEX($C:$AH,ROW(),$AI$3+1))</f>
        <v>1</v>
      </c>
      <c r="B294" s="231" t="str">
        <f>INDEX(Cadastro_Limpeza[[#All],[Colunas4]],MATCH(ROW()-5,Cadastro_Limpeza[[#All],[Colunas2]],0))</f>
        <v>Rodo Grande</v>
      </c>
      <c r="C294" s="238"/>
      <c r="D294" s="238">
        <v>3</v>
      </c>
      <c r="E294" s="238"/>
      <c r="F294" s="238"/>
      <c r="G294" s="238"/>
      <c r="H294" s="238"/>
      <c r="I294" s="238"/>
      <c r="J294" s="238"/>
      <c r="K294" s="238"/>
      <c r="L294" s="238"/>
      <c r="M294" s="238"/>
      <c r="N294" s="238"/>
      <c r="O294" s="238"/>
      <c r="P294" s="238"/>
      <c r="Q294" s="238"/>
      <c r="R294" s="238"/>
      <c r="S294" s="238"/>
      <c r="T294" s="238"/>
      <c r="U294" s="238"/>
      <c r="V294" s="238"/>
      <c r="W294" s="238"/>
      <c r="X294" s="238"/>
      <c r="Y294" s="238"/>
      <c r="Z294" s="238"/>
      <c r="AA294" s="238"/>
      <c r="AB294" s="238"/>
      <c r="AC294" s="238"/>
      <c r="AD294" s="238"/>
      <c r="AE294" s="238"/>
      <c r="AF294" s="238"/>
      <c r="AG294" s="238"/>
      <c r="AH294" s="238"/>
      <c r="AI294" s="264">
        <f ca="1">IF(Configurações!$G$10="Ligado",SUMIFS(C294:AH294,$C$4:$AH$4,"&lt;="&amp;Configurações!$C$5,$C$4:$AH$4,"&lt;="&amp;$AI$3),"")</f>
        <v>3</v>
      </c>
      <c r="AJ294" s="229">
        <f ca="1">IF(Configurações!$G$20="Ligado",IF(AI294&lt;=0,"Vazio",IF(Configurações!$G$18="Semana",IF(Configurações!$G$19="Contar",ENTRADAS!AI294/Configurações!$C$18,AI294/SUM(AK294:AN294)),AI294/A294)),"")</f>
        <v>3</v>
      </c>
      <c r="AK294" s="232">
        <f t="shared" si="12"/>
        <v>1</v>
      </c>
      <c r="AL294" s="232">
        <f t="shared" si="13"/>
        <v>0</v>
      </c>
      <c r="AM294" s="232">
        <f t="shared" si="14"/>
        <v>0</v>
      </c>
      <c r="AN294" s="232">
        <f ca="1">IF(SUMIF($Y$4:$AH$4,"&lt;=" &amp; $AJ$3,ENTRADAS!Y294:AH294)&gt;0,1,0)</f>
        <v>0</v>
      </c>
    </row>
    <row r="295" spans="1:40" ht="21">
      <c r="A295" s="228">
        <f ca="1">COUNT(INDEX($C:$AH,ROW(),1):INDEX($C:$AH,ROW(),$AI$3+1))</f>
        <v>0</v>
      </c>
      <c r="B295" s="230" t="str">
        <f>INDEX(Cadastro_Limpeza[[#All],[Colunas4]],MATCH(ROW()-5,Cadastro_Limpeza[[#All],[Colunas2]],0))</f>
        <v>Rodo Limpa Vidros</v>
      </c>
      <c r="C295" s="239"/>
      <c r="D295" s="239"/>
      <c r="E295" s="239"/>
      <c r="F295" s="239"/>
      <c r="G295" s="239"/>
      <c r="H295" s="239"/>
      <c r="I295" s="239"/>
      <c r="J295" s="239"/>
      <c r="K295" s="239"/>
      <c r="L295" s="239"/>
      <c r="M295" s="239"/>
      <c r="N295" s="239"/>
      <c r="O295" s="239"/>
      <c r="P295" s="239"/>
      <c r="Q295" s="239"/>
      <c r="R295" s="239"/>
      <c r="S295" s="239"/>
      <c r="T295" s="239"/>
      <c r="U295" s="239"/>
      <c r="V295" s="239"/>
      <c r="W295" s="239"/>
      <c r="X295" s="239"/>
      <c r="Y295" s="239"/>
      <c r="Z295" s="239"/>
      <c r="AA295" s="239"/>
      <c r="AB295" s="239"/>
      <c r="AC295" s="239"/>
      <c r="AD295" s="239"/>
      <c r="AE295" s="239"/>
      <c r="AF295" s="239"/>
      <c r="AG295" s="239"/>
      <c r="AH295" s="239"/>
      <c r="AI295" s="264">
        <f ca="1">IF(Configurações!$G$10="Ligado",SUMIFS(C295:AH295,$C$4:$AH$4,"&lt;="&amp;Configurações!$C$5,$C$4:$AH$4,"&lt;="&amp;$AI$3),"")</f>
        <v>0</v>
      </c>
      <c r="AJ295" s="229" t="str">
        <f ca="1">IF(Configurações!$G$20="Ligado",IF(AI295&lt;=0,"Vazio",IF(Configurações!$G$18="Semana",IF(Configurações!$G$19="Contar",ENTRADAS!AI295/Configurações!$C$18,AI295/SUM(AK295:AN295)),AI295/A295)),"")</f>
        <v>Vazio</v>
      </c>
      <c r="AK295" s="232">
        <f t="shared" si="12"/>
        <v>0</v>
      </c>
      <c r="AL295" s="232">
        <f t="shared" si="13"/>
        <v>0</v>
      </c>
      <c r="AM295" s="232">
        <f t="shared" si="14"/>
        <v>0</v>
      </c>
      <c r="AN295" s="232">
        <f ca="1">IF(SUMIF($Y$4:$AH$4,"&lt;=" &amp; $AJ$3,ENTRADAS!Y295:AH295)&gt;0,1,0)</f>
        <v>0</v>
      </c>
    </row>
    <row r="296" spans="1:40" ht="21">
      <c r="A296" s="228">
        <f ca="1">COUNT(INDEX($C:$AH,ROW(),1):INDEX($C:$AH,ROW(),$AI$3+1))</f>
        <v>0</v>
      </c>
      <c r="B296" s="231" t="str">
        <f>INDEX(Cadastro_Limpeza[[#All],[Colunas4]],MATCH(ROW()-5,Cadastro_Limpeza[[#All],[Colunas2]],0))</f>
        <v>Rodo Pequeno</v>
      </c>
      <c r="C296" s="238"/>
      <c r="D296" s="238"/>
      <c r="E296" s="238"/>
      <c r="F296" s="238"/>
      <c r="G296" s="238"/>
      <c r="H296" s="238"/>
      <c r="I296" s="238"/>
      <c r="J296" s="238"/>
      <c r="K296" s="238"/>
      <c r="L296" s="238"/>
      <c r="M296" s="238"/>
      <c r="N296" s="238"/>
      <c r="O296" s="238"/>
      <c r="P296" s="238"/>
      <c r="Q296" s="238"/>
      <c r="R296" s="238"/>
      <c r="S296" s="238"/>
      <c r="T296" s="238"/>
      <c r="U296" s="238"/>
      <c r="V296" s="238"/>
      <c r="W296" s="238"/>
      <c r="X296" s="238"/>
      <c r="Y296" s="238"/>
      <c r="Z296" s="238"/>
      <c r="AA296" s="238"/>
      <c r="AB296" s="238"/>
      <c r="AC296" s="238"/>
      <c r="AD296" s="238"/>
      <c r="AE296" s="238"/>
      <c r="AF296" s="238"/>
      <c r="AG296" s="238"/>
      <c r="AH296" s="238"/>
      <c r="AI296" s="264">
        <f ca="1">IF(Configurações!$G$10="Ligado",SUMIFS(C296:AH296,$C$4:$AH$4,"&lt;="&amp;Configurações!$C$5,$C$4:$AH$4,"&lt;="&amp;$AI$3),"")</f>
        <v>0</v>
      </c>
      <c r="AJ296" s="229" t="str">
        <f ca="1">IF(Configurações!$G$20="Ligado",IF(AI296&lt;=0,"Vazio",IF(Configurações!$G$18="Semana",IF(Configurações!$G$19="Contar",ENTRADAS!AI296/Configurações!$C$18,AI296/SUM(AK296:AN296)),AI296/A296)),"")</f>
        <v>Vazio</v>
      </c>
      <c r="AK296" s="232">
        <f t="shared" si="12"/>
        <v>0</v>
      </c>
      <c r="AL296" s="232">
        <f t="shared" si="13"/>
        <v>0</v>
      </c>
      <c r="AM296" s="232">
        <f t="shared" si="14"/>
        <v>0</v>
      </c>
      <c r="AN296" s="232">
        <f ca="1">IF(SUMIF($Y$4:$AH$4,"&lt;=" &amp; $AJ$3,ENTRADAS!Y296:AH296)&gt;0,1,0)</f>
        <v>0</v>
      </c>
    </row>
    <row r="297" spans="1:40" ht="21">
      <c r="A297" s="228">
        <f ca="1">COUNT(INDEX($C:$AH,ROW(),1):INDEX($C:$AH,ROW(),$AI$3+1))</f>
        <v>1</v>
      </c>
      <c r="B297" s="230" t="str">
        <f>INDEX(Cadastro_Limpeza[[#All],[Colunas4]],MATCH(ROW()-5,Cadastro_Limpeza[[#All],[Colunas2]],0))</f>
        <v>Sabão em pedra</v>
      </c>
      <c r="C297" s="239"/>
      <c r="D297" s="239">
        <v>10</v>
      </c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  <c r="P297" s="239"/>
      <c r="Q297" s="239"/>
      <c r="R297" s="239"/>
      <c r="S297" s="239"/>
      <c r="T297" s="239"/>
      <c r="U297" s="239"/>
      <c r="V297" s="239"/>
      <c r="W297" s="239"/>
      <c r="X297" s="239"/>
      <c r="Y297" s="239"/>
      <c r="Z297" s="239"/>
      <c r="AA297" s="239"/>
      <c r="AB297" s="239"/>
      <c r="AC297" s="239"/>
      <c r="AD297" s="239"/>
      <c r="AE297" s="239"/>
      <c r="AF297" s="239"/>
      <c r="AG297" s="239"/>
      <c r="AH297" s="239"/>
      <c r="AI297" s="264">
        <f ca="1">IF(Configurações!$G$10="Ligado",SUMIFS(C297:AH297,$C$4:$AH$4,"&lt;="&amp;Configurações!$C$5,$C$4:$AH$4,"&lt;="&amp;$AI$3),"")</f>
        <v>10</v>
      </c>
      <c r="AJ297" s="229">
        <f ca="1">IF(Configurações!$G$20="Ligado",IF(AI297&lt;=0,"Vazio",IF(Configurações!$G$18="Semana",IF(Configurações!$G$19="Contar",ENTRADAS!AI297/Configurações!$C$18,AI297/SUM(AK297:AN297)),AI297/A297)),"")</f>
        <v>10</v>
      </c>
      <c r="AK297" s="232">
        <f t="shared" si="12"/>
        <v>1</v>
      </c>
      <c r="AL297" s="232">
        <f t="shared" si="13"/>
        <v>0</v>
      </c>
      <c r="AM297" s="232">
        <f t="shared" si="14"/>
        <v>0</v>
      </c>
      <c r="AN297" s="232">
        <f ca="1">IF(SUMIF($Y$4:$AH$4,"&lt;=" &amp; $AJ$3,ENTRADAS!Y297:AH297)&gt;0,1,0)</f>
        <v>0</v>
      </c>
    </row>
    <row r="298" spans="1:40" ht="21">
      <c r="A298" s="228">
        <f ca="1">COUNT(INDEX($C:$AH,ROW(),1):INDEX($C:$AH,ROW(),$AI$3+1))</f>
        <v>2</v>
      </c>
      <c r="B298" s="231" t="str">
        <f>INDEX(Cadastro_Limpeza[[#All],[Colunas4]],MATCH(ROW()-5,Cadastro_Limpeza[[#All],[Colunas2]],0))</f>
        <v>Sabão em pó 5kg</v>
      </c>
      <c r="C298" s="238"/>
      <c r="D298" s="238">
        <v>20</v>
      </c>
      <c r="E298" s="238"/>
      <c r="F298" s="238"/>
      <c r="G298" s="238"/>
      <c r="H298" s="238"/>
      <c r="I298" s="238"/>
      <c r="J298" s="238"/>
      <c r="K298" s="238">
        <v>10</v>
      </c>
      <c r="L298" s="238"/>
      <c r="M298" s="238"/>
      <c r="N298" s="238"/>
      <c r="O298" s="238"/>
      <c r="P298" s="238"/>
      <c r="Q298" s="238"/>
      <c r="R298" s="238"/>
      <c r="S298" s="238"/>
      <c r="T298" s="238"/>
      <c r="U298" s="238"/>
      <c r="V298" s="238"/>
      <c r="W298" s="238"/>
      <c r="X298" s="238"/>
      <c r="Y298" s="238"/>
      <c r="Z298" s="238"/>
      <c r="AA298" s="238"/>
      <c r="AB298" s="238"/>
      <c r="AC298" s="238"/>
      <c r="AD298" s="238"/>
      <c r="AE298" s="238"/>
      <c r="AF298" s="238"/>
      <c r="AG298" s="238"/>
      <c r="AH298" s="238"/>
      <c r="AI298" s="264">
        <f ca="1">IF(Configurações!$G$10="Ligado",SUMIFS(C298:AH298,$C$4:$AH$4,"&lt;="&amp;Configurações!$C$5,$C$4:$AH$4,"&lt;="&amp;$AI$3),"")</f>
        <v>30</v>
      </c>
      <c r="AJ298" s="229">
        <f ca="1">IF(Configurações!$G$20="Ligado",IF(AI298&lt;=0,"Vazio",IF(Configurações!$G$18="Semana",IF(Configurações!$G$19="Contar",ENTRADAS!AI298/Configurações!$C$18,AI298/SUM(AK298:AN298)),AI298/A298)),"")</f>
        <v>15</v>
      </c>
      <c r="AK298" s="232">
        <f t="shared" si="12"/>
        <v>1</v>
      </c>
      <c r="AL298" s="232">
        <f t="shared" si="13"/>
        <v>1</v>
      </c>
      <c r="AM298" s="232">
        <f t="shared" si="14"/>
        <v>0</v>
      </c>
      <c r="AN298" s="232">
        <f ca="1">IF(SUMIF($Y$4:$AH$4,"&lt;=" &amp; $AJ$3,ENTRADAS!Y298:AH298)&gt;0,1,0)</f>
        <v>0</v>
      </c>
    </row>
    <row r="299" spans="1:40" ht="21">
      <c r="A299" s="228">
        <f ca="1">COUNT(INDEX($C:$AH,ROW(),1):INDEX($C:$AH,ROW(),$AI$3+1))</f>
        <v>0</v>
      </c>
      <c r="B299" s="230" t="str">
        <f>INDEX(Cadastro_Limpeza[[#All],[Colunas4]],MATCH(ROW()-5,Cadastro_Limpeza[[#All],[Colunas2]],0))</f>
        <v xml:space="preserve">Sabonete </v>
      </c>
      <c r="C299" s="239"/>
      <c r="D299" s="239"/>
      <c r="E299" s="239"/>
      <c r="F299" s="239"/>
      <c r="G299" s="239"/>
      <c r="H299" s="239"/>
      <c r="I299" s="239"/>
      <c r="J299" s="239"/>
      <c r="K299" s="239"/>
      <c r="L299" s="239"/>
      <c r="M299" s="239"/>
      <c r="N299" s="239"/>
      <c r="O299" s="239"/>
      <c r="P299" s="239"/>
      <c r="Q299" s="239"/>
      <c r="R299" s="239"/>
      <c r="S299" s="239"/>
      <c r="T299" s="239"/>
      <c r="U299" s="239"/>
      <c r="V299" s="239"/>
      <c r="W299" s="239"/>
      <c r="X299" s="239"/>
      <c r="Y299" s="239"/>
      <c r="Z299" s="239"/>
      <c r="AA299" s="239"/>
      <c r="AB299" s="239"/>
      <c r="AC299" s="239"/>
      <c r="AD299" s="239"/>
      <c r="AE299" s="239"/>
      <c r="AF299" s="239"/>
      <c r="AG299" s="239"/>
      <c r="AH299" s="239"/>
      <c r="AI299" s="264">
        <f ca="1">IF(Configurações!$G$10="Ligado",SUMIFS(C299:AH299,$C$4:$AH$4,"&lt;="&amp;Configurações!$C$5,$C$4:$AH$4,"&lt;="&amp;$AI$3),"")</f>
        <v>0</v>
      </c>
      <c r="AJ299" s="229" t="str">
        <f ca="1">IF(Configurações!$G$20="Ligado",IF(AI299&lt;=0,"Vazio",IF(Configurações!$G$18="Semana",IF(Configurações!$G$19="Contar",ENTRADAS!AI299/Configurações!$C$18,AI299/SUM(AK299:AN299)),AI299/A299)),"")</f>
        <v>Vazio</v>
      </c>
      <c r="AK299" s="232">
        <f t="shared" si="12"/>
        <v>0</v>
      </c>
      <c r="AL299" s="232">
        <f t="shared" si="13"/>
        <v>0</v>
      </c>
      <c r="AM299" s="232">
        <f t="shared" si="14"/>
        <v>0</v>
      </c>
      <c r="AN299" s="232">
        <f ca="1">IF(SUMIF($Y$4:$AH$4,"&lt;=" &amp; $AJ$3,ENTRADAS!Y299:AH299)&gt;0,1,0)</f>
        <v>0</v>
      </c>
    </row>
    <row r="300" spans="1:40" ht="21">
      <c r="A300" s="228">
        <f ca="1">COUNT(INDEX($C:$AH,ROW(),1):INDEX($C:$AH,ROW(),$AI$3+1))</f>
        <v>0</v>
      </c>
      <c r="B300" s="231" t="str">
        <f>INDEX(Cadastro_Limpeza[[#All],[Colunas4]],MATCH(ROW()-5,Cadastro_Limpeza[[#All],[Colunas2]],0))</f>
        <v>Saco 20x30 Tolha rosto</v>
      </c>
      <c r="C300" s="238"/>
      <c r="D300" s="238"/>
      <c r="E300" s="238"/>
      <c r="F300" s="238"/>
      <c r="G300" s="238"/>
      <c r="H300" s="238"/>
      <c r="I300" s="238"/>
      <c r="J300" s="238"/>
      <c r="K300" s="238"/>
      <c r="L300" s="238"/>
      <c r="M300" s="238"/>
      <c r="N300" s="238"/>
      <c r="O300" s="238"/>
      <c r="P300" s="238"/>
      <c r="Q300" s="238"/>
      <c r="R300" s="238"/>
      <c r="S300" s="238"/>
      <c r="T300" s="238"/>
      <c r="U300" s="238"/>
      <c r="V300" s="238"/>
      <c r="W300" s="238"/>
      <c r="X300" s="238"/>
      <c r="Y300" s="238"/>
      <c r="Z300" s="238"/>
      <c r="AA300" s="238"/>
      <c r="AB300" s="238"/>
      <c r="AC300" s="238"/>
      <c r="AD300" s="238"/>
      <c r="AE300" s="238"/>
      <c r="AF300" s="238"/>
      <c r="AG300" s="238"/>
      <c r="AH300" s="238"/>
      <c r="AI300" s="264">
        <f ca="1">IF(Configurações!$G$10="Ligado",SUMIFS(C300:AH300,$C$4:$AH$4,"&lt;="&amp;Configurações!$C$5,$C$4:$AH$4,"&lt;="&amp;$AI$3),"")</f>
        <v>0</v>
      </c>
      <c r="AJ300" s="229" t="str">
        <f ca="1">IF(Configurações!$G$20="Ligado",IF(AI300&lt;=0,"Vazio",IF(Configurações!$G$18="Semana",IF(Configurações!$G$19="Contar",ENTRADAS!AI300/Configurações!$C$18,AI300/SUM(AK300:AN300)),AI300/A300)),"")</f>
        <v>Vazio</v>
      </c>
      <c r="AK300" s="232">
        <f t="shared" si="12"/>
        <v>0</v>
      </c>
      <c r="AL300" s="232">
        <f t="shared" si="13"/>
        <v>0</v>
      </c>
      <c r="AM300" s="232">
        <f t="shared" si="14"/>
        <v>0</v>
      </c>
      <c r="AN300" s="232">
        <f ca="1">IF(SUMIF($Y$4:$AH$4,"&lt;=" &amp; $AJ$3,ENTRADAS!Y300:AH300)&gt;0,1,0)</f>
        <v>0</v>
      </c>
    </row>
    <row r="301" spans="1:40" ht="21">
      <c r="A301" s="228">
        <f ca="1">COUNT(INDEX($C:$AH,ROW(),1):INDEX($C:$AH,ROW(),$AI$3+1))</f>
        <v>0</v>
      </c>
      <c r="B301" s="230" t="str">
        <f>INDEX(Cadastro_Limpeza[[#All],[Colunas4]],MATCH(ROW()-5,Cadastro_Limpeza[[#All],[Colunas2]],0))</f>
        <v>Saco 60x80 cobertor</v>
      </c>
      <c r="C301" s="239"/>
      <c r="D301" s="239"/>
      <c r="E301" s="239"/>
      <c r="F301" s="239"/>
      <c r="G301" s="239"/>
      <c r="H301" s="239"/>
      <c r="I301" s="239"/>
      <c r="J301" s="239"/>
      <c r="K301" s="239"/>
      <c r="L301" s="239"/>
      <c r="M301" s="239"/>
      <c r="N301" s="239"/>
      <c r="O301" s="239"/>
      <c r="P301" s="239"/>
      <c r="Q301" s="239"/>
      <c r="R301" s="239"/>
      <c r="S301" s="239"/>
      <c r="T301" s="239"/>
      <c r="U301" s="239"/>
      <c r="V301" s="239"/>
      <c r="W301" s="239"/>
      <c r="X301" s="239"/>
      <c r="Y301" s="239"/>
      <c r="Z301" s="239"/>
      <c r="AA301" s="239"/>
      <c r="AB301" s="239"/>
      <c r="AC301" s="239"/>
      <c r="AD301" s="239"/>
      <c r="AE301" s="239"/>
      <c r="AF301" s="239"/>
      <c r="AG301" s="239"/>
      <c r="AH301" s="239"/>
      <c r="AI301" s="264">
        <f ca="1">IF(Configurações!$G$10="Ligado",SUMIFS(C301:AH301,$C$4:$AH$4,"&lt;="&amp;Configurações!$C$5,$C$4:$AH$4,"&lt;="&amp;$AI$3),"")</f>
        <v>0</v>
      </c>
      <c r="AJ301" s="229" t="str">
        <f ca="1">IF(Configurações!$G$20="Ligado",IF(AI301&lt;=0,"Vazio",IF(Configurações!$G$18="Semana",IF(Configurações!$G$19="Contar",ENTRADAS!AI301/Configurações!$C$18,AI301/SUM(AK301:AN301)),AI301/A301)),"")</f>
        <v>Vazio</v>
      </c>
      <c r="AK301" s="232">
        <f t="shared" si="12"/>
        <v>0</v>
      </c>
      <c r="AL301" s="232">
        <f t="shared" si="13"/>
        <v>0</v>
      </c>
      <c r="AM301" s="232">
        <f t="shared" si="14"/>
        <v>0</v>
      </c>
      <c r="AN301" s="232">
        <f ca="1">IF(SUMIF($Y$4:$AH$4,"&lt;=" &amp; $AJ$3,ENTRADAS!Y301:AH301)&gt;0,1,0)</f>
        <v>0</v>
      </c>
    </row>
    <row r="302" spans="1:40" ht="21">
      <c r="A302" s="228">
        <f ca="1">COUNT(INDEX($C:$AH,ROW(),1):INDEX($C:$AH,ROW(),$AI$3+1))</f>
        <v>1</v>
      </c>
      <c r="B302" s="231" t="str">
        <f>INDEX(Cadastro_Limpeza[[#All],[Colunas4]],MATCH(ROW()-5,Cadastro_Limpeza[[#All],[Colunas2]],0))</f>
        <v>Saco de lixo 15 lt</v>
      </c>
      <c r="C302" s="238"/>
      <c r="D302" s="238"/>
      <c r="E302" s="238"/>
      <c r="F302" s="238"/>
      <c r="G302" s="238"/>
      <c r="H302" s="238"/>
      <c r="I302" s="238"/>
      <c r="J302" s="238"/>
      <c r="K302" s="238"/>
      <c r="L302" s="238"/>
      <c r="M302" s="238"/>
      <c r="N302" s="238"/>
      <c r="O302" s="238"/>
      <c r="P302" s="238"/>
      <c r="Q302" s="238">
        <v>6</v>
      </c>
      <c r="R302" s="238"/>
      <c r="S302" s="238"/>
      <c r="T302" s="238"/>
      <c r="U302" s="238"/>
      <c r="V302" s="238"/>
      <c r="W302" s="238"/>
      <c r="X302" s="238"/>
      <c r="Y302" s="238"/>
      <c r="Z302" s="238"/>
      <c r="AA302" s="238"/>
      <c r="AB302" s="238"/>
      <c r="AC302" s="238"/>
      <c r="AD302" s="238"/>
      <c r="AE302" s="238"/>
      <c r="AF302" s="238"/>
      <c r="AG302" s="238"/>
      <c r="AH302" s="238"/>
      <c r="AI302" s="264">
        <f ca="1">IF(Configurações!$G$10="Ligado",SUMIFS(C302:AH302,$C$4:$AH$4,"&lt;="&amp;Configurações!$C$5,$C$4:$AH$4,"&lt;="&amp;$AI$3),"")</f>
        <v>6</v>
      </c>
      <c r="AJ302" s="229">
        <f ca="1">IF(Configurações!$G$20="Ligado",IF(AI302&lt;=0,"Vazio",IF(Configurações!$G$18="Semana",IF(Configurações!$G$19="Contar",ENTRADAS!AI302/Configurações!$C$18,AI302/SUM(AK302:AN302)),AI302/A302)),"")</f>
        <v>6</v>
      </c>
      <c r="AK302" s="232">
        <f t="shared" si="12"/>
        <v>0</v>
      </c>
      <c r="AL302" s="232">
        <f t="shared" si="13"/>
        <v>1</v>
      </c>
      <c r="AM302" s="232">
        <f t="shared" si="14"/>
        <v>0</v>
      </c>
      <c r="AN302" s="232">
        <f ca="1">IF(SUMIF($Y$4:$AH$4,"&lt;=" &amp; $AJ$3,ENTRADAS!Y302:AH302)&gt;0,1,0)</f>
        <v>0</v>
      </c>
    </row>
    <row r="303" spans="1:40" ht="21">
      <c r="A303" s="228">
        <f ca="1">COUNT(INDEX($C:$AH,ROW(),1):INDEX($C:$AH,ROW(),$AI$3+1))</f>
        <v>2</v>
      </c>
      <c r="B303" s="230" t="str">
        <f>INDEX(Cadastro_Limpeza[[#All],[Colunas4]],MATCH(ROW()-5,Cadastro_Limpeza[[#All],[Colunas2]],0))</f>
        <v xml:space="preserve">Saco lixo 100 Lt. </v>
      </c>
      <c r="C303" s="239"/>
      <c r="D303" s="239"/>
      <c r="E303" s="239">
        <v>4</v>
      </c>
      <c r="F303" s="239"/>
      <c r="G303" s="239"/>
      <c r="H303" s="239"/>
      <c r="I303" s="239"/>
      <c r="J303" s="239"/>
      <c r="K303" s="239"/>
      <c r="L303" s="239"/>
      <c r="M303" s="239"/>
      <c r="N303" s="239"/>
      <c r="O303" s="239"/>
      <c r="P303" s="239"/>
      <c r="Q303" s="239"/>
      <c r="R303" s="239"/>
      <c r="S303" s="239"/>
      <c r="T303" s="239"/>
      <c r="U303" s="239"/>
      <c r="V303" s="239"/>
      <c r="W303" s="239"/>
      <c r="X303" s="239"/>
      <c r="Y303" s="239">
        <v>2</v>
      </c>
      <c r="Z303" s="239"/>
      <c r="AA303" s="239"/>
      <c r="AB303" s="239"/>
      <c r="AC303" s="239"/>
      <c r="AD303" s="239"/>
      <c r="AE303" s="239"/>
      <c r="AF303" s="239"/>
      <c r="AG303" s="239"/>
      <c r="AH303" s="239"/>
      <c r="AI303" s="264">
        <f ca="1">IF(Configurações!$G$10="Ligado",SUMIFS(C303:AH303,$C$4:$AH$4,"&lt;="&amp;Configurações!$C$5,$C$4:$AH$4,"&lt;="&amp;$AI$3),"")</f>
        <v>6</v>
      </c>
      <c r="AJ303" s="229">
        <f ca="1">IF(Configurações!$G$20="Ligado",IF(AI303&lt;=0,"Vazio",IF(Configurações!$G$18="Semana",IF(Configurações!$G$19="Contar",ENTRADAS!AI303/Configurações!$C$18,AI303/SUM(AK303:AN303)),AI303/A303)),"")</f>
        <v>3</v>
      </c>
      <c r="AK303" s="232">
        <f t="shared" si="12"/>
        <v>1</v>
      </c>
      <c r="AL303" s="232">
        <f t="shared" si="13"/>
        <v>0</v>
      </c>
      <c r="AM303" s="232">
        <f t="shared" si="14"/>
        <v>0</v>
      </c>
      <c r="AN303" s="232">
        <f ca="1">IF(SUMIF($Y$4:$AH$4,"&lt;=" &amp; $AJ$3,ENTRADAS!Y303:AH303)&gt;0,1,0)</f>
        <v>1</v>
      </c>
    </row>
    <row r="304" spans="1:40" ht="21">
      <c r="A304" s="228">
        <f ca="1">COUNT(INDEX($C:$AH,ROW(),1):INDEX($C:$AH,ROW(),$AI$3+1))</f>
        <v>1</v>
      </c>
      <c r="B304" s="231" t="str">
        <f>INDEX(Cadastro_Limpeza[[#All],[Colunas4]],MATCH(ROW()-5,Cadastro_Limpeza[[#All],[Colunas2]],0))</f>
        <v>Saco lixo 200 lt</v>
      </c>
      <c r="C304" s="238"/>
      <c r="D304" s="238"/>
      <c r="E304" s="238">
        <v>4</v>
      </c>
      <c r="F304" s="238"/>
      <c r="G304" s="238"/>
      <c r="H304" s="238"/>
      <c r="I304" s="238"/>
      <c r="J304" s="238"/>
      <c r="K304" s="238"/>
      <c r="L304" s="238"/>
      <c r="M304" s="238"/>
      <c r="N304" s="238"/>
      <c r="O304" s="238"/>
      <c r="P304" s="238"/>
      <c r="Q304" s="238"/>
      <c r="R304" s="238"/>
      <c r="S304" s="238"/>
      <c r="T304" s="238"/>
      <c r="U304" s="238"/>
      <c r="V304" s="238"/>
      <c r="W304" s="238"/>
      <c r="X304" s="238"/>
      <c r="Y304" s="238"/>
      <c r="Z304" s="238"/>
      <c r="AA304" s="238"/>
      <c r="AB304" s="238"/>
      <c r="AC304" s="238"/>
      <c r="AD304" s="238"/>
      <c r="AE304" s="238"/>
      <c r="AF304" s="238"/>
      <c r="AG304" s="238"/>
      <c r="AH304" s="238"/>
      <c r="AI304" s="264">
        <f ca="1">IF(Configurações!$G$10="Ligado",SUMIFS(C304:AH304,$C$4:$AH$4,"&lt;="&amp;Configurações!$C$5,$C$4:$AH$4,"&lt;="&amp;$AI$3),"")</f>
        <v>4</v>
      </c>
      <c r="AJ304" s="229">
        <f ca="1">IF(Configurações!$G$20="Ligado",IF(AI304&lt;=0,"Vazio",IF(Configurações!$G$18="Semana",IF(Configurações!$G$19="Contar",ENTRADAS!AI304/Configurações!$C$18,AI304/SUM(AK304:AN304)),AI304/A304)),"")</f>
        <v>4</v>
      </c>
      <c r="AK304" s="232">
        <f t="shared" si="12"/>
        <v>1</v>
      </c>
      <c r="AL304" s="232">
        <f t="shared" si="13"/>
        <v>0</v>
      </c>
      <c r="AM304" s="232">
        <f t="shared" si="14"/>
        <v>0</v>
      </c>
      <c r="AN304" s="232">
        <f ca="1">IF(SUMIF($Y$4:$AH$4,"&lt;=" &amp; $AJ$3,ENTRADAS!Y304:AH304)&gt;0,1,0)</f>
        <v>0</v>
      </c>
    </row>
    <row r="305" spans="1:40" ht="21">
      <c r="A305" s="228">
        <f ca="1">COUNT(INDEX($C:$AH,ROW(),1):INDEX($C:$AH,ROW(),$AI$3+1))</f>
        <v>2</v>
      </c>
      <c r="B305" s="230" t="str">
        <f>INDEX(Cadastro_Limpeza[[#All],[Colunas4]],MATCH(ROW()-5,Cadastro_Limpeza[[#All],[Colunas2]],0))</f>
        <v>Saco lixo 50 Lt</v>
      </c>
      <c r="C305" s="239"/>
      <c r="D305" s="239"/>
      <c r="E305" s="239">
        <v>5</v>
      </c>
      <c r="F305" s="239"/>
      <c r="G305" s="239"/>
      <c r="H305" s="239"/>
      <c r="I305" s="239"/>
      <c r="J305" s="239"/>
      <c r="K305" s="239"/>
      <c r="L305" s="239"/>
      <c r="M305" s="239"/>
      <c r="N305" s="239"/>
      <c r="O305" s="239"/>
      <c r="P305" s="239"/>
      <c r="Q305" s="239">
        <v>5</v>
      </c>
      <c r="R305" s="239"/>
      <c r="S305" s="239"/>
      <c r="T305" s="239"/>
      <c r="U305" s="239"/>
      <c r="V305" s="239"/>
      <c r="W305" s="239"/>
      <c r="X305" s="239"/>
      <c r="Y305" s="239"/>
      <c r="Z305" s="239"/>
      <c r="AA305" s="239"/>
      <c r="AB305" s="239"/>
      <c r="AC305" s="239"/>
      <c r="AD305" s="239"/>
      <c r="AE305" s="239"/>
      <c r="AF305" s="239"/>
      <c r="AG305" s="239"/>
      <c r="AH305" s="239"/>
      <c r="AI305" s="264">
        <f ca="1">IF(Configurações!$G$10="Ligado",SUMIFS(C305:AH305,$C$4:$AH$4,"&lt;="&amp;Configurações!$C$5,$C$4:$AH$4,"&lt;="&amp;$AI$3),"")</f>
        <v>10</v>
      </c>
      <c r="AJ305" s="229">
        <f ca="1">IF(Configurações!$G$20="Ligado",IF(AI305&lt;=0,"Vazio",IF(Configurações!$G$18="Semana",IF(Configurações!$G$19="Contar",ENTRADAS!AI305/Configurações!$C$18,AI305/SUM(AK305:AN305)),AI305/A305)),"")</f>
        <v>5</v>
      </c>
      <c r="AK305" s="232">
        <f t="shared" si="12"/>
        <v>1</v>
      </c>
      <c r="AL305" s="232">
        <f t="shared" si="13"/>
        <v>1</v>
      </c>
      <c r="AM305" s="232">
        <f t="shared" si="14"/>
        <v>0</v>
      </c>
      <c r="AN305" s="232">
        <f ca="1">IF(SUMIF($Y$4:$AH$4,"&lt;=" &amp; $AJ$3,ENTRADAS!Y305:AH305)&gt;0,1,0)</f>
        <v>0</v>
      </c>
    </row>
    <row r="306" spans="1:40" ht="21">
      <c r="A306" s="228">
        <f ca="1">COUNT(INDEX($C:$AH,ROW(),1):INDEX($C:$AH,ROW(),$AI$3+1))</f>
        <v>0</v>
      </c>
      <c r="B306" s="231" t="str">
        <f>INDEX(Cadastro_Limpeza[[#All],[Colunas4]],MATCH(ROW()-5,Cadastro_Limpeza[[#All],[Colunas2]],0))</f>
        <v>Saco p/ embalar  30x40</v>
      </c>
      <c r="C306" s="238"/>
      <c r="D306" s="238"/>
      <c r="E306" s="238"/>
      <c r="F306" s="238"/>
      <c r="G306" s="238"/>
      <c r="H306" s="238"/>
      <c r="I306" s="238"/>
      <c r="J306" s="238"/>
      <c r="K306" s="238"/>
      <c r="L306" s="238"/>
      <c r="M306" s="238"/>
      <c r="N306" s="238"/>
      <c r="O306" s="238"/>
      <c r="P306" s="238"/>
      <c r="Q306" s="238"/>
      <c r="R306" s="238"/>
      <c r="S306" s="238"/>
      <c r="T306" s="238"/>
      <c r="U306" s="238"/>
      <c r="V306" s="238"/>
      <c r="W306" s="238"/>
      <c r="X306" s="238"/>
      <c r="Y306" s="238"/>
      <c r="Z306" s="238"/>
      <c r="AA306" s="238"/>
      <c r="AB306" s="238"/>
      <c r="AC306" s="238"/>
      <c r="AD306" s="238"/>
      <c r="AE306" s="238"/>
      <c r="AF306" s="238"/>
      <c r="AG306" s="238"/>
      <c r="AH306" s="238"/>
      <c r="AI306" s="264">
        <f ca="1">IF(Configurações!$G$10="Ligado",SUMIFS(C306:AH306,$C$4:$AH$4,"&lt;="&amp;Configurações!$C$5,$C$4:$AH$4,"&lt;="&amp;$AI$3),"")</f>
        <v>0</v>
      </c>
      <c r="AJ306" s="229" t="str">
        <f ca="1">IF(Configurações!$G$20="Ligado",IF(AI306&lt;=0,"Vazio",IF(Configurações!$G$18="Semana",IF(Configurações!$G$19="Contar",ENTRADAS!AI306/Configurações!$C$18,AI306/SUM(AK306:AN306)),AI306/A306)),"")</f>
        <v>Vazio</v>
      </c>
      <c r="AK306" s="232">
        <f t="shared" si="12"/>
        <v>0</v>
      </c>
      <c r="AL306" s="232">
        <f t="shared" si="13"/>
        <v>0</v>
      </c>
      <c r="AM306" s="232">
        <f t="shared" si="14"/>
        <v>0</v>
      </c>
      <c r="AN306" s="232">
        <f ca="1">IF(SUMIF($Y$4:$AH$4,"&lt;=" &amp; $AJ$3,ENTRADAS!Y306:AH306)&gt;0,1,0)</f>
        <v>0</v>
      </c>
    </row>
    <row r="307" spans="1:40" ht="21">
      <c r="A307" s="228">
        <f ca="1">COUNT(INDEX($C:$AH,ROW(),1):INDEX($C:$AH,ROW(),$AI$3+1))</f>
        <v>0</v>
      </c>
      <c r="B307" s="230" t="str">
        <f>INDEX(Cadastro_Limpeza[[#All],[Colunas4]],MATCH(ROW()-5,Cadastro_Limpeza[[#All],[Colunas2]],0))</f>
        <v>Saco p/ embalar  40x60</v>
      </c>
      <c r="C307" s="239"/>
      <c r="D307" s="239"/>
      <c r="E307" s="239"/>
      <c r="F307" s="239"/>
      <c r="G307" s="239"/>
      <c r="H307" s="239"/>
      <c r="I307" s="239"/>
      <c r="J307" s="239"/>
      <c r="K307" s="239"/>
      <c r="L307" s="239"/>
      <c r="M307" s="239"/>
      <c r="N307" s="239"/>
      <c r="O307" s="239"/>
      <c r="P307" s="239"/>
      <c r="Q307" s="239"/>
      <c r="R307" s="239"/>
      <c r="S307" s="239"/>
      <c r="T307" s="239"/>
      <c r="U307" s="239"/>
      <c r="V307" s="239"/>
      <c r="W307" s="239"/>
      <c r="X307" s="239"/>
      <c r="Y307" s="239"/>
      <c r="Z307" s="239"/>
      <c r="AA307" s="239"/>
      <c r="AB307" s="239"/>
      <c r="AC307" s="239"/>
      <c r="AD307" s="239"/>
      <c r="AE307" s="239"/>
      <c r="AF307" s="239"/>
      <c r="AG307" s="239"/>
      <c r="AH307" s="239"/>
      <c r="AI307" s="264">
        <f ca="1">IF(Configurações!$G$10="Ligado",SUMIFS(C307:AH307,$C$4:$AH$4,"&lt;="&amp;Configurações!$C$5,$C$4:$AH$4,"&lt;="&amp;$AI$3),"")</f>
        <v>0</v>
      </c>
      <c r="AJ307" s="229" t="str">
        <f ca="1">IF(Configurações!$G$20="Ligado",IF(AI307&lt;=0,"Vazio",IF(Configurações!$G$18="Semana",IF(Configurações!$G$19="Contar",ENTRADAS!AI307/Configurações!$C$18,AI307/SUM(AK307:AN307)),AI307/A307)),"")</f>
        <v>Vazio</v>
      </c>
      <c r="AK307" s="232">
        <f t="shared" si="12"/>
        <v>0</v>
      </c>
      <c r="AL307" s="232">
        <f t="shared" si="13"/>
        <v>0</v>
      </c>
      <c r="AM307" s="232">
        <f t="shared" si="14"/>
        <v>0</v>
      </c>
      <c r="AN307" s="232">
        <f ca="1">IF(SUMIF($Y$4:$AH$4,"&lt;=" &amp; $AJ$3,ENTRADAS!Y307:AH307)&gt;0,1,0)</f>
        <v>0</v>
      </c>
    </row>
    <row r="308" spans="1:40" ht="21">
      <c r="A308" s="228">
        <f ca="1">COUNT(INDEX($C:$AH,ROW(),1):INDEX($C:$AH,ROW(),$AI$3+1))</f>
        <v>0</v>
      </c>
      <c r="B308" s="231" t="str">
        <f>INDEX(Cadastro_Limpeza[[#All],[Colunas4]],MATCH(ROW()-5,Cadastro_Limpeza[[#All],[Colunas2]],0))</f>
        <v>Sapólio 300g</v>
      </c>
      <c r="C308" s="238"/>
      <c r="D308" s="238"/>
      <c r="E308" s="238"/>
      <c r="F308" s="238"/>
      <c r="G308" s="238"/>
      <c r="H308" s="238"/>
      <c r="I308" s="238"/>
      <c r="J308" s="238"/>
      <c r="K308" s="238"/>
      <c r="L308" s="238"/>
      <c r="M308" s="238"/>
      <c r="N308" s="238"/>
      <c r="O308" s="238"/>
      <c r="P308" s="238"/>
      <c r="Q308" s="238"/>
      <c r="R308" s="238"/>
      <c r="S308" s="238"/>
      <c r="T308" s="238"/>
      <c r="U308" s="238"/>
      <c r="V308" s="238"/>
      <c r="W308" s="238"/>
      <c r="X308" s="238"/>
      <c r="Y308" s="238"/>
      <c r="Z308" s="238"/>
      <c r="AA308" s="238"/>
      <c r="AB308" s="238"/>
      <c r="AC308" s="238"/>
      <c r="AD308" s="238"/>
      <c r="AE308" s="238"/>
      <c r="AF308" s="238"/>
      <c r="AG308" s="238"/>
      <c r="AH308" s="238"/>
      <c r="AI308" s="264">
        <f ca="1">IF(Configurações!$G$10="Ligado",SUMIFS(C308:AH308,$C$4:$AH$4,"&lt;="&amp;Configurações!$C$5,$C$4:$AH$4,"&lt;="&amp;$AI$3),"")</f>
        <v>0</v>
      </c>
      <c r="AJ308" s="229" t="str">
        <f ca="1">IF(Configurações!$G$20="Ligado",IF(AI308&lt;=0,"Vazio",IF(Configurações!$G$18="Semana",IF(Configurações!$G$19="Contar",ENTRADAS!AI308/Configurações!$C$18,AI308/SUM(AK308:AN308)),AI308/A308)),"")</f>
        <v>Vazio</v>
      </c>
      <c r="AK308" s="232">
        <f t="shared" si="12"/>
        <v>0</v>
      </c>
      <c r="AL308" s="232">
        <f t="shared" si="13"/>
        <v>0</v>
      </c>
      <c r="AM308" s="232">
        <f t="shared" si="14"/>
        <v>0</v>
      </c>
      <c r="AN308" s="232">
        <f ca="1">IF(SUMIF($Y$4:$AH$4,"&lt;=" &amp; $AJ$3,ENTRADAS!Y308:AH308)&gt;0,1,0)</f>
        <v>0</v>
      </c>
    </row>
    <row r="309" spans="1:40" ht="21">
      <c r="A309" s="228">
        <f ca="1">COUNT(INDEX($C:$AH,ROW(),1):INDEX($C:$AH,ROW(),$AI$3+1))</f>
        <v>0</v>
      </c>
      <c r="B309" s="230" t="str">
        <f>INDEX(Cadastro_Limpeza[[#All],[Colunas4]],MATCH(ROW()-5,Cadastro_Limpeza[[#All],[Colunas2]],0))</f>
        <v>Sóda Cáustica 1 kg</v>
      </c>
      <c r="C309" s="239"/>
      <c r="D309" s="239"/>
      <c r="E309" s="239"/>
      <c r="F309" s="239"/>
      <c r="G309" s="239"/>
      <c r="H309" s="239"/>
      <c r="I309" s="239"/>
      <c r="J309" s="239"/>
      <c r="K309" s="239"/>
      <c r="L309" s="239"/>
      <c r="M309" s="239"/>
      <c r="N309" s="239"/>
      <c r="O309" s="239"/>
      <c r="P309" s="239"/>
      <c r="Q309" s="239"/>
      <c r="R309" s="239"/>
      <c r="S309" s="239"/>
      <c r="T309" s="239"/>
      <c r="U309" s="239"/>
      <c r="V309" s="239"/>
      <c r="W309" s="239"/>
      <c r="X309" s="239"/>
      <c r="Y309" s="239"/>
      <c r="Z309" s="239"/>
      <c r="AA309" s="239"/>
      <c r="AB309" s="239"/>
      <c r="AC309" s="239"/>
      <c r="AD309" s="239"/>
      <c r="AE309" s="239"/>
      <c r="AF309" s="239"/>
      <c r="AG309" s="239"/>
      <c r="AH309" s="239"/>
      <c r="AI309" s="264">
        <f ca="1">IF(Configurações!$G$10="Ligado",SUMIFS(C309:AH309,$C$4:$AH$4,"&lt;="&amp;Configurações!$C$5,$C$4:$AH$4,"&lt;="&amp;$AI$3),"")</f>
        <v>0</v>
      </c>
      <c r="AJ309" s="229" t="str">
        <f ca="1">IF(Configurações!$G$20="Ligado",IF(AI309&lt;=0,"Vazio",IF(Configurações!$G$18="Semana",IF(Configurações!$G$19="Contar",ENTRADAS!AI309/Configurações!$C$18,AI309/SUM(AK309:AN309)),AI309/A309)),"")</f>
        <v>Vazio</v>
      </c>
      <c r="AK309" s="232">
        <f t="shared" ref="AK309:AK315" si="15">IF(SUM(C309:J309)&gt;0,1,0)</f>
        <v>0</v>
      </c>
      <c r="AL309" s="232">
        <f t="shared" ref="AL309:AL315" si="16">IF(SUM(K309:Q309)&gt;0,1,0)</f>
        <v>0</v>
      </c>
      <c r="AM309" s="232">
        <f t="shared" ref="AM309:AM315" si="17">IF(SUM(R309:X309)&gt;0,1,0)</f>
        <v>0</v>
      </c>
      <c r="AN309" s="232">
        <f ca="1">IF(SUMIF($Y$4:$AH$4,"&lt;=" &amp; $AJ$3,ENTRADAS!Y309:AH309)&gt;0,1,0)</f>
        <v>0</v>
      </c>
    </row>
    <row r="310" spans="1:40" ht="21">
      <c r="A310" s="228">
        <f ca="1">COUNT(INDEX($C:$AH,ROW(),1):INDEX($C:$AH,ROW(),$AI$3+1))</f>
        <v>0</v>
      </c>
      <c r="B310" s="231" t="str">
        <f>INDEX(Cadastro_Limpeza[[#All],[Colunas4]],MATCH(ROW()-5,Cadastro_Limpeza[[#All],[Colunas2]],0))</f>
        <v>Tapetinho de Banheiro</v>
      </c>
      <c r="C310" s="238"/>
      <c r="D310" s="238"/>
      <c r="E310" s="238"/>
      <c r="F310" s="238"/>
      <c r="G310" s="238"/>
      <c r="H310" s="238"/>
      <c r="I310" s="238"/>
      <c r="J310" s="238"/>
      <c r="K310" s="238"/>
      <c r="L310" s="238"/>
      <c r="M310" s="238"/>
      <c r="N310" s="238"/>
      <c r="O310" s="238"/>
      <c r="P310" s="238"/>
      <c r="Q310" s="238"/>
      <c r="R310" s="238"/>
      <c r="S310" s="238"/>
      <c r="T310" s="238"/>
      <c r="U310" s="238"/>
      <c r="V310" s="238"/>
      <c r="W310" s="238"/>
      <c r="X310" s="238"/>
      <c r="Y310" s="238"/>
      <c r="Z310" s="238"/>
      <c r="AA310" s="238"/>
      <c r="AB310" s="238"/>
      <c r="AC310" s="238"/>
      <c r="AD310" s="238"/>
      <c r="AE310" s="238"/>
      <c r="AF310" s="238"/>
      <c r="AG310" s="238"/>
      <c r="AH310" s="238"/>
      <c r="AI310" s="264">
        <f ca="1">IF(Configurações!$G$10="Ligado",SUMIFS(C310:AH310,$C$4:$AH$4,"&lt;="&amp;Configurações!$C$5,$C$4:$AH$4,"&lt;="&amp;$AI$3),"")</f>
        <v>0</v>
      </c>
      <c r="AJ310" s="229" t="str">
        <f ca="1">IF(Configurações!$G$20="Ligado",IF(AI310&lt;=0,"Vazio",IF(Configurações!$G$18="Semana",IF(Configurações!$G$19="Contar",ENTRADAS!AI310/Configurações!$C$18,AI310/SUM(AK310:AN310)),AI310/A310)),"")</f>
        <v>Vazio</v>
      </c>
      <c r="AK310" s="232">
        <f t="shared" si="15"/>
        <v>0</v>
      </c>
      <c r="AL310" s="232">
        <f t="shared" si="16"/>
        <v>0</v>
      </c>
      <c r="AM310" s="232">
        <f t="shared" si="17"/>
        <v>0</v>
      </c>
      <c r="AN310" s="232">
        <f ca="1">IF(SUMIF($Y$4:$AH$4,"&lt;=" &amp; $AJ$3,ENTRADAS!Y310:AH310)&gt;0,1,0)</f>
        <v>0</v>
      </c>
    </row>
    <row r="311" spans="1:40" ht="21">
      <c r="A311" s="228">
        <f ca="1">COUNT(INDEX($C:$AH,ROW(),1):INDEX($C:$AH,ROW(),$AI$3+1))</f>
        <v>0</v>
      </c>
      <c r="B311" s="230" t="str">
        <f>INDEX(Cadastro_Limpeza[[#All],[Colunas4]],MATCH(ROW()-5,Cadastro_Limpeza[[#All],[Colunas2]],0))</f>
        <v>Tira ferrugem</v>
      </c>
      <c r="C311" s="239"/>
      <c r="D311" s="239"/>
      <c r="E311" s="239"/>
      <c r="F311" s="239"/>
      <c r="G311" s="239"/>
      <c r="H311" s="239"/>
      <c r="I311" s="239"/>
      <c r="J311" s="239"/>
      <c r="K311" s="239"/>
      <c r="L311" s="239"/>
      <c r="M311" s="239"/>
      <c r="N311" s="239"/>
      <c r="O311" s="239"/>
      <c r="P311" s="239"/>
      <c r="Q311" s="239"/>
      <c r="R311" s="239"/>
      <c r="S311" s="239"/>
      <c r="T311" s="239"/>
      <c r="U311" s="239"/>
      <c r="V311" s="239"/>
      <c r="W311" s="239"/>
      <c r="X311" s="239"/>
      <c r="Y311" s="239"/>
      <c r="Z311" s="239"/>
      <c r="AA311" s="239"/>
      <c r="AB311" s="239"/>
      <c r="AC311" s="239"/>
      <c r="AD311" s="239"/>
      <c r="AE311" s="239"/>
      <c r="AF311" s="239"/>
      <c r="AG311" s="239"/>
      <c r="AH311" s="239"/>
      <c r="AI311" s="264">
        <f ca="1">IF(Configurações!$G$10="Ligado",SUMIFS(C311:AH311,$C$4:$AH$4,"&lt;="&amp;Configurações!$C$5,$C$4:$AH$4,"&lt;="&amp;$AI$3),"")</f>
        <v>0</v>
      </c>
      <c r="AJ311" s="229" t="str">
        <f ca="1">IF(Configurações!$G$20="Ligado",IF(AI311&lt;=0,"Vazio",IF(Configurações!$G$18="Semana",IF(Configurações!$G$19="Contar",ENTRADAS!AI311/Configurações!$C$18,AI311/SUM(AK311:AN311)),AI311/A311)),"")</f>
        <v>Vazio</v>
      </c>
      <c r="AK311" s="232">
        <f t="shared" si="15"/>
        <v>0</v>
      </c>
      <c r="AL311" s="232">
        <f t="shared" si="16"/>
        <v>0</v>
      </c>
      <c r="AM311" s="232">
        <f t="shared" si="17"/>
        <v>0</v>
      </c>
      <c r="AN311" s="232">
        <f ca="1">IF(SUMIF($Y$4:$AH$4,"&lt;=" &amp; $AJ$3,ENTRADAS!Y311:AH311)&gt;0,1,0)</f>
        <v>0</v>
      </c>
    </row>
    <row r="312" spans="1:40" ht="21">
      <c r="A312" s="228">
        <f ca="1">COUNT(INDEX($C:$AH,ROW(),1):INDEX($C:$AH,ROW(),$AI$3+1))</f>
        <v>0</v>
      </c>
      <c r="B312" s="231" t="str">
        <f>INDEX(Cadastro_Limpeza[[#All],[Colunas4]],MATCH(ROW()-5,Cadastro_Limpeza[[#All],[Colunas2]],0))</f>
        <v>Touca descártavel cx c/ 100</v>
      </c>
      <c r="C312" s="238"/>
      <c r="D312" s="238"/>
      <c r="E312" s="238"/>
      <c r="F312" s="238"/>
      <c r="G312" s="238"/>
      <c r="H312" s="238"/>
      <c r="I312" s="238"/>
      <c r="J312" s="238"/>
      <c r="K312" s="238"/>
      <c r="L312" s="238"/>
      <c r="M312" s="238"/>
      <c r="N312" s="238"/>
      <c r="O312" s="238"/>
      <c r="P312" s="238"/>
      <c r="Q312" s="238"/>
      <c r="R312" s="238"/>
      <c r="S312" s="238"/>
      <c r="T312" s="238"/>
      <c r="U312" s="238"/>
      <c r="V312" s="238"/>
      <c r="W312" s="238"/>
      <c r="X312" s="238"/>
      <c r="Y312" s="238"/>
      <c r="Z312" s="238"/>
      <c r="AA312" s="238"/>
      <c r="AB312" s="238"/>
      <c r="AC312" s="238"/>
      <c r="AD312" s="238"/>
      <c r="AE312" s="238"/>
      <c r="AF312" s="238"/>
      <c r="AG312" s="238"/>
      <c r="AH312" s="238"/>
      <c r="AI312" s="264">
        <f ca="1">IF(Configurações!$G$10="Ligado",SUMIFS(C312:AH312,$C$4:$AH$4,"&lt;="&amp;Configurações!$C$5,$C$4:$AH$4,"&lt;="&amp;$AI$3),"")</f>
        <v>0</v>
      </c>
      <c r="AJ312" s="229" t="str">
        <f ca="1">IF(Configurações!$G$20="Ligado",IF(AI312&lt;=0,"Vazio",IF(Configurações!$G$18="Semana",IF(Configurações!$G$19="Contar",ENTRADAS!AI312/Configurações!$C$18,AI312/SUM(AK312:AN312)),AI312/A312)),"")</f>
        <v>Vazio</v>
      </c>
      <c r="AK312" s="232">
        <f t="shared" si="15"/>
        <v>0</v>
      </c>
      <c r="AL312" s="232">
        <f t="shared" si="16"/>
        <v>0</v>
      </c>
      <c r="AM312" s="232">
        <f t="shared" si="17"/>
        <v>0</v>
      </c>
      <c r="AN312" s="232">
        <f ca="1">IF(SUMIF($Y$4:$AH$4,"&lt;=" &amp; $AJ$3,ENTRADAS!Y312:AH312)&gt;0,1,0)</f>
        <v>0</v>
      </c>
    </row>
    <row r="313" spans="1:40" ht="21">
      <c r="A313" s="228">
        <f ca="1">COUNT(INDEX($C:$AH,ROW(),1):INDEX($C:$AH,ROW(),$AI$3+1))</f>
        <v>0</v>
      </c>
      <c r="B313" s="230" t="str">
        <f>INDEX(Cadastro_Limpeza[[#All],[Colunas4]],MATCH(ROW()-5,Cadastro_Limpeza[[#All],[Colunas2]],0))</f>
        <v>Vaselina</v>
      </c>
      <c r="C313" s="239"/>
      <c r="D313" s="239"/>
      <c r="E313" s="239"/>
      <c r="F313" s="239"/>
      <c r="G313" s="239"/>
      <c r="H313" s="239"/>
      <c r="I313" s="239"/>
      <c r="J313" s="239"/>
      <c r="K313" s="239"/>
      <c r="L313" s="239"/>
      <c r="M313" s="239"/>
      <c r="N313" s="239"/>
      <c r="O313" s="239"/>
      <c r="P313" s="239"/>
      <c r="Q313" s="239"/>
      <c r="R313" s="239"/>
      <c r="S313" s="239"/>
      <c r="T313" s="239"/>
      <c r="U313" s="239"/>
      <c r="V313" s="239"/>
      <c r="W313" s="239"/>
      <c r="X313" s="239"/>
      <c r="Y313" s="239"/>
      <c r="Z313" s="239"/>
      <c r="AA313" s="239"/>
      <c r="AB313" s="239"/>
      <c r="AC313" s="239"/>
      <c r="AD313" s="239"/>
      <c r="AE313" s="239"/>
      <c r="AF313" s="239"/>
      <c r="AG313" s="239"/>
      <c r="AH313" s="239"/>
      <c r="AI313" s="264">
        <f ca="1">IF(Configurações!$G$10="Ligado",SUMIFS(C313:AH313,$C$4:$AH$4,"&lt;="&amp;Configurações!$C$5,$C$4:$AH$4,"&lt;="&amp;$AI$3),"")</f>
        <v>0</v>
      </c>
      <c r="AJ313" s="229" t="str">
        <f ca="1">IF(Configurações!$G$20="Ligado",IF(AI313&lt;=0,"Vazio",IF(Configurações!$G$18="Semana",IF(Configurações!$G$19="Contar",ENTRADAS!AI313/Configurações!$C$18,AI313/SUM(AK313:AN313)),AI313/A313)),"")</f>
        <v>Vazio</v>
      </c>
      <c r="AK313" s="232">
        <f t="shared" si="15"/>
        <v>0</v>
      </c>
      <c r="AL313" s="232">
        <f t="shared" si="16"/>
        <v>0</v>
      </c>
      <c r="AM313" s="232">
        <f t="shared" si="17"/>
        <v>0</v>
      </c>
      <c r="AN313" s="232">
        <f ca="1">IF(SUMIF($Y$4:$AH$4,"&lt;=" &amp; $AJ$3,ENTRADAS!Y313:AH313)&gt;0,1,0)</f>
        <v>0</v>
      </c>
    </row>
    <row r="314" spans="1:40" ht="21">
      <c r="A314" s="228">
        <f ca="1">COUNT(INDEX($C:$AH,ROW(),1):INDEX($C:$AH,ROW(),$AI$3+1))</f>
        <v>0</v>
      </c>
      <c r="B314" s="231" t="str">
        <f>INDEX(Cadastro_Limpeza[[#All],[Colunas4]],MATCH(ROW()-5,Cadastro_Limpeza[[#All],[Colunas2]],0))</f>
        <v>Vassoura de Pêlo</v>
      </c>
      <c r="C314" s="238"/>
      <c r="D314" s="238"/>
      <c r="E314" s="238"/>
      <c r="F314" s="238"/>
      <c r="G314" s="238"/>
      <c r="H314" s="238"/>
      <c r="I314" s="238"/>
      <c r="J314" s="238"/>
      <c r="K314" s="238"/>
      <c r="L314" s="238"/>
      <c r="M314" s="238"/>
      <c r="N314" s="238"/>
      <c r="O314" s="238"/>
      <c r="P314" s="238"/>
      <c r="Q314" s="238"/>
      <c r="R314" s="238"/>
      <c r="S314" s="238"/>
      <c r="T314" s="238"/>
      <c r="U314" s="238"/>
      <c r="V314" s="238"/>
      <c r="W314" s="238"/>
      <c r="X314" s="238"/>
      <c r="Y314" s="238"/>
      <c r="Z314" s="238"/>
      <c r="AA314" s="238"/>
      <c r="AB314" s="238"/>
      <c r="AC314" s="238"/>
      <c r="AD314" s="238"/>
      <c r="AE314" s="238"/>
      <c r="AF314" s="238"/>
      <c r="AG314" s="238"/>
      <c r="AH314" s="238"/>
      <c r="AI314" s="264">
        <f ca="1">IF(Configurações!$G$10="Ligado",SUMIFS(C314:AH314,$C$4:$AH$4,"&lt;="&amp;Configurações!$C$5,$C$4:$AH$4,"&lt;="&amp;$AI$3),"")</f>
        <v>0</v>
      </c>
      <c r="AJ314" s="229" t="str">
        <f ca="1">IF(Configurações!$G$20="Ligado",IF(AI314&lt;=0,"Vazio",IF(Configurações!$G$18="Semana",IF(Configurações!$G$19="Contar",ENTRADAS!AI314/Configurações!$C$18,AI314/SUM(AK314:AN314)),AI314/A314)),"")</f>
        <v>Vazio</v>
      </c>
      <c r="AK314" s="232">
        <f t="shared" si="15"/>
        <v>0</v>
      </c>
      <c r="AL314" s="232">
        <f t="shared" si="16"/>
        <v>0</v>
      </c>
      <c r="AM314" s="232">
        <f t="shared" si="17"/>
        <v>0</v>
      </c>
      <c r="AN314" s="232">
        <f ca="1">IF(SUMIF($Y$4:$AH$4,"&lt;=" &amp; $AJ$3,ENTRADAS!Y314:AH314)&gt;0,1,0)</f>
        <v>0</v>
      </c>
    </row>
    <row r="315" spans="1:40" ht="21">
      <c r="A315" s="236">
        <f ca="1">COUNT(INDEX($C:$AH,ROW(),1):INDEX($C:$AH,ROW(),$AI$3+1))</f>
        <v>1</v>
      </c>
      <c r="B315" s="233" t="str">
        <f>INDEX(Cadastro_Limpeza[[#All],[Colunas4]],MATCH(ROW()-5,Cadastro_Limpeza[[#All],[Colunas2]],0))</f>
        <v>Vassoura de Piaçava</v>
      </c>
      <c r="C315" s="240"/>
      <c r="D315" s="240">
        <v>10</v>
      </c>
      <c r="E315" s="240"/>
      <c r="F315" s="240"/>
      <c r="G315" s="240"/>
      <c r="H315" s="240"/>
      <c r="I315" s="240"/>
      <c r="J315" s="240"/>
      <c r="K315" s="240"/>
      <c r="L315" s="240"/>
      <c r="M315" s="240"/>
      <c r="N315" s="240"/>
      <c r="O315" s="240"/>
      <c r="P315" s="240"/>
      <c r="Q315" s="240"/>
      <c r="R315" s="240"/>
      <c r="S315" s="240"/>
      <c r="T315" s="240"/>
      <c r="U315" s="240"/>
      <c r="V315" s="240"/>
      <c r="W315" s="240"/>
      <c r="X315" s="240"/>
      <c r="Y315" s="240"/>
      <c r="Z315" s="240"/>
      <c r="AA315" s="240"/>
      <c r="AB315" s="240"/>
      <c r="AC315" s="240"/>
      <c r="AD315" s="240"/>
      <c r="AE315" s="240"/>
      <c r="AF315" s="240"/>
      <c r="AG315" s="240"/>
      <c r="AH315" s="240"/>
      <c r="AI315" s="265">
        <f ca="1">IF(Configurações!$G$10="Ligado",SUMIFS(C315:AH315,$C$4:$AH$4,"&lt;="&amp;Configurações!$C$5,$C$4:$AH$4,"&lt;="&amp;$AI$3),"")</f>
        <v>10</v>
      </c>
      <c r="AJ315" s="234">
        <f ca="1">IF(Configurações!$G$20="Ligado",IF(AI315&lt;=0,"Vazio",IF(Configurações!$G$18="Semana",IF(Configurações!$G$19="Contar",ENTRADAS!AI315/Configurações!$C$18,AI315/SUM(AK315:AN315)),AI315/A315)),"")</f>
        <v>10</v>
      </c>
      <c r="AK315" s="235">
        <f t="shared" si="15"/>
        <v>1</v>
      </c>
      <c r="AL315" s="235">
        <f t="shared" si="16"/>
        <v>0</v>
      </c>
      <c r="AM315" s="235">
        <f t="shared" si="17"/>
        <v>0</v>
      </c>
      <c r="AN315" s="235">
        <f ca="1">IF(SUMIF($Y$4:$AH$4,"&lt;=" &amp; $AJ$3,ENTRADAS!Y315:AH315)&gt;0,1,0)</f>
        <v>0</v>
      </c>
    </row>
    <row r="316" spans="1:40" ht="15.75" thickBot="1"/>
    <row r="317" spans="1:40" ht="24" thickBot="1">
      <c r="B317" s="448" t="s">
        <v>449</v>
      </c>
      <c r="C317" s="449"/>
      <c r="D317" s="449"/>
      <c r="E317" s="449"/>
      <c r="F317" s="449"/>
      <c r="G317" s="449"/>
      <c r="H317" s="449"/>
      <c r="I317" s="449"/>
      <c r="J317" s="449"/>
      <c r="K317" s="449"/>
      <c r="L317" s="449"/>
      <c r="M317" s="449"/>
      <c r="N317" s="449"/>
      <c r="O317" s="449"/>
      <c r="P317" s="449"/>
      <c r="Q317" s="449"/>
      <c r="R317" s="449"/>
      <c r="S317" s="449"/>
      <c r="T317" s="449"/>
      <c r="U317" s="449"/>
      <c r="V317" s="449"/>
      <c r="W317" s="449"/>
      <c r="X317" s="449"/>
      <c r="Y317" s="449"/>
      <c r="Z317" s="449"/>
      <c r="AA317" s="449"/>
      <c r="AB317" s="449"/>
      <c r="AC317" s="449"/>
      <c r="AD317" s="449"/>
      <c r="AE317" s="449"/>
      <c r="AF317" s="449"/>
      <c r="AG317" s="449"/>
      <c r="AH317" s="449"/>
      <c r="AI317" s="449"/>
      <c r="AJ317" s="450"/>
    </row>
    <row r="318" spans="1:40" ht="21">
      <c r="A318" s="236">
        <f ca="1">COUNT(INDEX($C:$AH,ROW(),1):INDEX($C:$AH,ROW(),$AI$3+1))</f>
        <v>0</v>
      </c>
      <c r="B318" s="254" t="str">
        <f>INDEX(Cadastro_Piscina[[#All],[Colunas4]],MATCH(ROW()-5,Cadastro_Piscina[[#All],[Colunas2]],0))</f>
        <v xml:space="preserve">Algicida </v>
      </c>
      <c r="C318" s="259"/>
      <c r="D318" s="259"/>
      <c r="E318" s="259"/>
      <c r="F318" s="259"/>
      <c r="G318" s="259"/>
      <c r="H318" s="259"/>
      <c r="I318" s="259"/>
      <c r="J318" s="259"/>
      <c r="K318" s="259"/>
      <c r="L318" s="259"/>
      <c r="M318" s="259"/>
      <c r="N318" s="259"/>
      <c r="O318" s="259"/>
      <c r="P318" s="259"/>
      <c r="Q318" s="259"/>
      <c r="R318" s="259"/>
      <c r="S318" s="259"/>
      <c r="T318" s="259"/>
      <c r="U318" s="259"/>
      <c r="V318" s="259"/>
      <c r="W318" s="259"/>
      <c r="X318" s="259"/>
      <c r="Y318" s="259"/>
      <c r="Z318" s="259"/>
      <c r="AA318" s="259"/>
      <c r="AB318" s="259"/>
      <c r="AC318" s="259"/>
      <c r="AD318" s="259"/>
      <c r="AE318" s="259"/>
      <c r="AF318" s="259"/>
      <c r="AG318" s="259"/>
      <c r="AH318" s="259"/>
      <c r="AI318" s="256">
        <f ca="1">IF(Configurações!$G$10="Ligado",SUMIFS(C318:AH318,$C$4:$AH$4,"&lt;="&amp;Configurações!$C$5,$C$4:$AH$4,"&lt;="&amp;$AI$3),"")</f>
        <v>0</v>
      </c>
      <c r="AJ318" s="234" t="str">
        <f ca="1">IF(Configurações!$G$20="Ligado",IF(AI318&lt;=0,"Vazio",IF(Configurações!$G$18="Semana",IF(Configurações!$G$19="Contar",ENTRADAS!AI318/Configurações!$C$18,AI318/SUM(AK318:AN318)),AI318/A318)),"")</f>
        <v>Vazio</v>
      </c>
      <c r="AK318" s="235">
        <f t="shared" ref="AK318:AK329" si="18">IF(SUM(C318:J318)&gt;0,1,0)</f>
        <v>0</v>
      </c>
      <c r="AL318" s="235">
        <f t="shared" ref="AL318:AL329" si="19">IF(SUM(K318:Q318)&gt;0,1,0)</f>
        <v>0</v>
      </c>
      <c r="AM318" s="235">
        <f t="shared" ref="AM318:AM329" si="20">IF(SUM(R318:X318)&gt;0,1,0)</f>
        <v>0</v>
      </c>
      <c r="AN318" s="235">
        <f ca="1">IF(SUMIF($Y$4:$AH$4,"&lt;=" &amp; $AJ$3,ENTRADAS!Y318:AH318)&gt;0,1,0)</f>
        <v>0</v>
      </c>
    </row>
    <row r="319" spans="1:40" ht="21">
      <c r="A319" s="236">
        <f ca="1">COUNT(INDEX($C:$AH,ROW(),1):INDEX($C:$AH,ROW(),$AI$3+1))</f>
        <v>0</v>
      </c>
      <c r="B319" s="255" t="str">
        <f>INDEX(Cadastro_Piscina[[#All],[Colunas4]],MATCH(ROW()-5,Cadastro_Piscina[[#All],[Colunas2]],0))</f>
        <v>Água sanitária</v>
      </c>
      <c r="C319" s="263"/>
      <c r="D319" s="263"/>
      <c r="E319" s="263"/>
      <c r="F319" s="263"/>
      <c r="G319" s="263"/>
      <c r="H319" s="263"/>
      <c r="I319" s="263"/>
      <c r="J319" s="263"/>
      <c r="K319" s="263"/>
      <c r="L319" s="263"/>
      <c r="M319" s="263"/>
      <c r="N319" s="263"/>
      <c r="O319" s="263"/>
      <c r="P319" s="263"/>
      <c r="Q319" s="263"/>
      <c r="R319" s="263"/>
      <c r="S319" s="263"/>
      <c r="T319" s="263"/>
      <c r="U319" s="263"/>
      <c r="V319" s="263"/>
      <c r="W319" s="263"/>
      <c r="X319" s="263"/>
      <c r="Y319" s="263"/>
      <c r="Z319" s="263"/>
      <c r="AA319" s="263"/>
      <c r="AB319" s="263"/>
      <c r="AC319" s="263"/>
      <c r="AD319" s="263"/>
      <c r="AE319" s="263"/>
      <c r="AF319" s="263"/>
      <c r="AG319" s="263"/>
      <c r="AH319" s="263"/>
      <c r="AI319" s="256">
        <f ca="1">IF(Configurações!$G$10="Ligado",SUMIFS(C319:AH319,$C$4:$AH$4,"&lt;="&amp;Configurações!$C$5,$C$4:$AH$4,"&lt;="&amp;$AI$3),"")</f>
        <v>0</v>
      </c>
      <c r="AJ319" s="234" t="str">
        <f ca="1">IF(Configurações!$G$20="Ligado",IF(AI319&lt;=0,"Vazio",IF(Configurações!$G$18="Semana",IF(Configurações!$G$19="Contar",ENTRADAS!AI319/Configurações!$C$18,AI319/SUM(AK319:AN319)),AI319/A319)),"")</f>
        <v>Vazio</v>
      </c>
      <c r="AK319" s="235">
        <f t="shared" si="18"/>
        <v>0</v>
      </c>
      <c r="AL319" s="235">
        <f t="shared" si="19"/>
        <v>0</v>
      </c>
      <c r="AM319" s="235">
        <f t="shared" si="20"/>
        <v>0</v>
      </c>
      <c r="AN319" s="235">
        <f ca="1">IF(SUMIF($Y$4:$AH$4,"&lt;=" &amp; $AJ$3,ENTRADAS!Y319:AH319)&gt;0,1,0)</f>
        <v>0</v>
      </c>
    </row>
    <row r="320" spans="1:40" ht="21">
      <c r="A320" s="236">
        <f ca="1">COUNT(INDEX($C:$AH,ROW(),1):INDEX($C:$AH,ROW(),$AI$3+1))</f>
        <v>0</v>
      </c>
      <c r="B320" s="254" t="str">
        <f>INDEX(Cadastro_Piscina[[#All],[Colunas4]],MATCH(ROW()-5,Cadastro_Piscina[[#All],[Colunas2]],0))</f>
        <v xml:space="preserve">Barrilha </v>
      </c>
      <c r="C320" s="259"/>
      <c r="D320" s="259"/>
      <c r="E320" s="259"/>
      <c r="F320" s="259"/>
      <c r="G320" s="259"/>
      <c r="H320" s="259"/>
      <c r="I320" s="259"/>
      <c r="J320" s="259"/>
      <c r="K320" s="259"/>
      <c r="L320" s="259"/>
      <c r="M320" s="259"/>
      <c r="N320" s="259"/>
      <c r="O320" s="259"/>
      <c r="P320" s="259"/>
      <c r="Q320" s="259"/>
      <c r="R320" s="259"/>
      <c r="S320" s="259"/>
      <c r="T320" s="259"/>
      <c r="U320" s="259"/>
      <c r="V320" s="259"/>
      <c r="W320" s="259"/>
      <c r="X320" s="259"/>
      <c r="Y320" s="259"/>
      <c r="Z320" s="259"/>
      <c r="AA320" s="259"/>
      <c r="AB320" s="259"/>
      <c r="AC320" s="259"/>
      <c r="AD320" s="259"/>
      <c r="AE320" s="259"/>
      <c r="AF320" s="259"/>
      <c r="AG320" s="259"/>
      <c r="AH320" s="259"/>
      <c r="AI320" s="257">
        <f ca="1">IF(Configurações!$G$10="Ligado",SUMIFS(C320:AH320,$C$4:$AH$4,"&lt;="&amp;Configurações!$C$5,$C$4:$AH$4,"&lt;="&amp;$AI$3),"")</f>
        <v>0</v>
      </c>
      <c r="AJ320" s="234" t="str">
        <f ca="1">IF(Configurações!$G$20="Ligado",IF(AI320&lt;=0,"Vazio",IF(Configurações!$G$18="Semana",IF(Configurações!$G$19="Contar",ENTRADAS!AI320/Configurações!$C$18,AI320/SUM(AK320:AN320)),AI320/A320)),"")</f>
        <v>Vazio</v>
      </c>
      <c r="AK320" s="235">
        <f t="shared" si="18"/>
        <v>0</v>
      </c>
      <c r="AL320" s="235">
        <f t="shared" si="19"/>
        <v>0</v>
      </c>
      <c r="AM320" s="235">
        <f t="shared" si="20"/>
        <v>0</v>
      </c>
      <c r="AN320" s="235">
        <f ca="1">IF(SUMIF($Y$4:$AH$4,"&lt;=" &amp; $AJ$3,ENTRADAS!Y320:AH320)&gt;0,1,0)</f>
        <v>0</v>
      </c>
    </row>
    <row r="321" spans="1:41" ht="21">
      <c r="A321" s="236">
        <f ca="1">COUNT(INDEX($C:$AH,ROW(),1):INDEX($C:$AH,ROW(),$AI$3+1))</f>
        <v>0</v>
      </c>
      <c r="B321" s="255" t="str">
        <f>INDEX(Cadastro_Piscina[[#All],[Colunas4]],MATCH(ROW()-5,Cadastro_Piscina[[#All],[Colunas2]],0))</f>
        <v xml:space="preserve">Clarificante </v>
      </c>
      <c r="C321" s="263"/>
      <c r="D321" s="263"/>
      <c r="E321" s="263"/>
      <c r="F321" s="263"/>
      <c r="G321" s="263"/>
      <c r="H321" s="263"/>
      <c r="I321" s="263"/>
      <c r="J321" s="263"/>
      <c r="K321" s="263"/>
      <c r="L321" s="263"/>
      <c r="M321" s="263"/>
      <c r="N321" s="263"/>
      <c r="O321" s="263"/>
      <c r="P321" s="263"/>
      <c r="Q321" s="263"/>
      <c r="R321" s="263"/>
      <c r="S321" s="263"/>
      <c r="T321" s="263"/>
      <c r="U321" s="263"/>
      <c r="V321" s="263"/>
      <c r="W321" s="263"/>
      <c r="X321" s="263"/>
      <c r="Y321" s="263"/>
      <c r="Z321" s="263"/>
      <c r="AA321" s="263"/>
      <c r="AB321" s="263"/>
      <c r="AC321" s="263"/>
      <c r="AD321" s="263"/>
      <c r="AE321" s="263"/>
      <c r="AF321" s="263"/>
      <c r="AG321" s="263"/>
      <c r="AH321" s="263"/>
      <c r="AI321" s="256">
        <f ca="1">IF(Configurações!$G$10="Ligado",SUMIFS(C321:AH321,$C$4:$AH$4,"&lt;="&amp;Configurações!$C$5,$C$4:$AH$4,"&lt;="&amp;$AI$3),"")</f>
        <v>0</v>
      </c>
      <c r="AJ321" s="234" t="str">
        <f ca="1">IF(Configurações!$G$20="Ligado",IF(AI321&lt;=0,"Vazio",IF(Configurações!$G$18="Semana",IF(Configurações!$G$19="Contar",ENTRADAS!AI321/Configurações!$C$18,AI321/SUM(AK321:AN321)),AI321/A321)),"")</f>
        <v>Vazio</v>
      </c>
      <c r="AK321" s="235">
        <f>IF(SUM(C321:J321)&gt;0,1,0)</f>
        <v>0</v>
      </c>
      <c r="AL321" s="235">
        <f>IF(SUM(K321:Q321)&gt;0,1,0)</f>
        <v>0</v>
      </c>
      <c r="AM321" s="235">
        <f>IF(SUM(R321:X321)&gt;0,1,0)</f>
        <v>0</v>
      </c>
      <c r="AN321" s="235">
        <f ca="1">IF(SUMIF($Y$4:$AH$4,"&lt;=" &amp; $AJ$3,ENTRADAS!Y321:AH321)&gt;0,1,0)</f>
        <v>0</v>
      </c>
    </row>
    <row r="322" spans="1:41" ht="21">
      <c r="A322" s="236">
        <f ca="1">COUNT(INDEX($C:$AH,ROW(),1):INDEX($C:$AH,ROW(),$AI$3+1))</f>
        <v>0</v>
      </c>
      <c r="B322" s="254" t="str">
        <f>INDEX(Cadastro_Piscina[[#All],[Colunas4]],MATCH(ROW()-5,Cadastro_Piscina[[#All],[Colunas2]],0))</f>
        <v xml:space="preserve">Cloro estabilizado granulado </v>
      </c>
      <c r="C322" s="259"/>
      <c r="D322" s="259"/>
      <c r="E322" s="259"/>
      <c r="F322" s="259"/>
      <c r="G322" s="259"/>
      <c r="H322" s="259"/>
      <c r="I322" s="259"/>
      <c r="J322" s="259"/>
      <c r="K322" s="259"/>
      <c r="L322" s="259"/>
      <c r="M322" s="259"/>
      <c r="N322" s="259"/>
      <c r="O322" s="259"/>
      <c r="P322" s="259"/>
      <c r="Q322" s="259"/>
      <c r="R322" s="259"/>
      <c r="S322" s="259"/>
      <c r="T322" s="259"/>
      <c r="U322" s="259"/>
      <c r="V322" s="259"/>
      <c r="W322" s="259"/>
      <c r="X322" s="259"/>
      <c r="Y322" s="259"/>
      <c r="Z322" s="259"/>
      <c r="AA322" s="259"/>
      <c r="AB322" s="259"/>
      <c r="AC322" s="259"/>
      <c r="AD322" s="259"/>
      <c r="AE322" s="259"/>
      <c r="AF322" s="259"/>
      <c r="AG322" s="259"/>
      <c r="AH322" s="259"/>
      <c r="AI322" s="257">
        <f ca="1">IF(Configurações!$G$10="Ligado",SUMIFS(C322:AH322,$C$4:$AH$4,"&lt;="&amp;Configurações!$C$5,$C$4:$AH$4,"&lt;="&amp;$AI$3),"")</f>
        <v>0</v>
      </c>
      <c r="AJ322" s="234" t="str">
        <f ca="1">IF(Configurações!$G$20="Ligado",IF(AI322&lt;=0,"Vazio",IF(Configurações!$G$18="Semana",IF(Configurações!$G$19="Contar",ENTRADAS!AI322/Configurações!$C$18,AI322/SUM(AK322:AN322)),AI322/A322)),"")</f>
        <v>Vazio</v>
      </c>
      <c r="AK322" s="235">
        <f t="shared" si="18"/>
        <v>0</v>
      </c>
      <c r="AL322" s="235">
        <f t="shared" si="19"/>
        <v>0</v>
      </c>
      <c r="AM322" s="235">
        <f t="shared" si="20"/>
        <v>0</v>
      </c>
      <c r="AN322" s="235">
        <f ca="1">IF(SUMIF($Y$4:$AH$4,"&lt;=" &amp; $AJ$3,ENTRADAS!Y322:AH322)&gt;0,1,0)</f>
        <v>0</v>
      </c>
    </row>
    <row r="323" spans="1:41" ht="21">
      <c r="A323" s="236">
        <f ca="1">COUNT(INDEX($C:$AH,ROW(),1):INDEX($C:$AH,ROW(),$AI$3+1))</f>
        <v>0</v>
      </c>
      <c r="B323" s="255" t="str">
        <f>INDEX(Cadastro_Piscina[[#All],[Colunas4]],MATCH(ROW()-5,Cadastro_Piscina[[#All],[Colunas2]],0))</f>
        <v>Esponja dupla face unid</v>
      </c>
      <c r="C323" s="263"/>
      <c r="D323" s="263"/>
      <c r="E323" s="263"/>
      <c r="F323" s="263"/>
      <c r="G323" s="263"/>
      <c r="H323" s="263"/>
      <c r="I323" s="263"/>
      <c r="J323" s="263"/>
      <c r="K323" s="263"/>
      <c r="L323" s="263"/>
      <c r="M323" s="263"/>
      <c r="N323" s="263"/>
      <c r="O323" s="263"/>
      <c r="P323" s="263"/>
      <c r="Q323" s="263"/>
      <c r="R323" s="263"/>
      <c r="S323" s="263"/>
      <c r="T323" s="263"/>
      <c r="U323" s="263"/>
      <c r="V323" s="263"/>
      <c r="W323" s="263"/>
      <c r="X323" s="263"/>
      <c r="Y323" s="263"/>
      <c r="Z323" s="263"/>
      <c r="AA323" s="263"/>
      <c r="AB323" s="263"/>
      <c r="AC323" s="263"/>
      <c r="AD323" s="263"/>
      <c r="AE323" s="263"/>
      <c r="AF323" s="263"/>
      <c r="AG323" s="263"/>
      <c r="AH323" s="263"/>
      <c r="AI323" s="257">
        <f ca="1">IF(Configurações!$G$10="Ligado",SUMIFS(C323:AH323,$C$4:$AH$4,"&lt;="&amp;Configurações!$C$5,$C$4:$AH$4,"&lt;="&amp;$AI$3),"")</f>
        <v>0</v>
      </c>
      <c r="AJ323" s="234" t="str">
        <f ca="1">IF(Configurações!$G$20="Ligado",IF(AI323&lt;=0,"Vazio",IF(Configurações!$G$18="Semana",IF(Configurações!$G$19="Contar",ENTRADAS!AI323/Configurações!$C$18,AI323/SUM(AK323:AN323)),AI323/A323)),"")</f>
        <v>Vazio</v>
      </c>
      <c r="AK323" s="235">
        <f t="shared" si="18"/>
        <v>0</v>
      </c>
      <c r="AL323" s="235">
        <f t="shared" si="19"/>
        <v>0</v>
      </c>
      <c r="AM323" s="235">
        <f t="shared" si="20"/>
        <v>0</v>
      </c>
      <c r="AN323" s="235">
        <f ca="1">IF(SUMIF($Y$4:$AH$4,"&lt;=" &amp; $AJ$3,ENTRADAS!Y323:AH323)&gt;0,1,0)</f>
        <v>0</v>
      </c>
    </row>
    <row r="324" spans="1:41" ht="21">
      <c r="A324" s="236">
        <f ca="1">COUNT(INDEX($C:$AH,ROW(),1):INDEX($C:$AH,ROW(),$AI$3+1))</f>
        <v>0</v>
      </c>
      <c r="B324" s="254" t="str">
        <f>INDEX(Cadastro_Piscina[[#All],[Colunas4]],MATCH(ROW()-5,Cadastro_Piscina[[#All],[Colunas2]],0))</f>
        <v xml:space="preserve">Limpa borda </v>
      </c>
      <c r="C324" s="259"/>
      <c r="D324" s="259"/>
      <c r="E324" s="259"/>
      <c r="F324" s="259"/>
      <c r="G324" s="259"/>
      <c r="H324" s="259"/>
      <c r="I324" s="259"/>
      <c r="J324" s="259"/>
      <c r="K324" s="259"/>
      <c r="L324" s="259"/>
      <c r="M324" s="259"/>
      <c r="N324" s="259"/>
      <c r="O324" s="259"/>
      <c r="P324" s="259"/>
      <c r="Q324" s="259"/>
      <c r="R324" s="259"/>
      <c r="S324" s="259"/>
      <c r="T324" s="259"/>
      <c r="U324" s="259"/>
      <c r="V324" s="259"/>
      <c r="W324" s="259"/>
      <c r="X324" s="259"/>
      <c r="Y324" s="259"/>
      <c r="Z324" s="259"/>
      <c r="AA324" s="259"/>
      <c r="AB324" s="259"/>
      <c r="AC324" s="259"/>
      <c r="AD324" s="259"/>
      <c r="AE324" s="259"/>
      <c r="AF324" s="259"/>
      <c r="AG324" s="259"/>
      <c r="AH324" s="259"/>
      <c r="AI324" s="257">
        <f ca="1">IF(Configurações!$G$10="Ligado",SUMIFS(C324:AH324,$C$4:$AH$4,"&lt;="&amp;Configurações!$C$5,$C$4:$AH$4,"&lt;="&amp;$AI$3),"")</f>
        <v>0</v>
      </c>
      <c r="AJ324" s="234" t="str">
        <f ca="1">IF(Configurações!$G$20="Ligado",IF(AI324&lt;=0,"Vazio",IF(Configurações!$G$18="Semana",IF(Configurações!$G$19="Contar",ENTRADAS!AI324/Configurações!$C$18,AI324/SUM(AK324:AN324)),AI324/A324)),"")</f>
        <v>Vazio</v>
      </c>
      <c r="AK324" s="235">
        <f t="shared" si="18"/>
        <v>0</v>
      </c>
      <c r="AL324" s="235">
        <f t="shared" si="19"/>
        <v>0</v>
      </c>
      <c r="AM324" s="235">
        <f t="shared" si="20"/>
        <v>0</v>
      </c>
      <c r="AN324" s="235">
        <f ca="1">IF(SUMIF($Y$4:$AH$4,"&lt;=" &amp; $AJ$3,ENTRADAS!Y324:AH324)&gt;0,1,0)</f>
        <v>0</v>
      </c>
    </row>
    <row r="325" spans="1:41" ht="21">
      <c r="A325" s="236">
        <f ca="1">COUNT(INDEX($C:$AH,ROW(),1):INDEX($C:$AH,ROW(),$AI$3+1))</f>
        <v>0</v>
      </c>
      <c r="B325" s="255" t="str">
        <f>INDEX(Cadastro_Piscina[[#All],[Colunas4]],MATCH(ROW()-5,Cadastro_Piscina[[#All],[Colunas2]],0))</f>
        <v>Luva par</v>
      </c>
      <c r="C325" s="263"/>
      <c r="D325" s="263"/>
      <c r="E325" s="263"/>
      <c r="F325" s="263"/>
      <c r="G325" s="263"/>
      <c r="H325" s="263"/>
      <c r="I325" s="263"/>
      <c r="J325" s="263"/>
      <c r="K325" s="263"/>
      <c r="L325" s="263"/>
      <c r="M325" s="263"/>
      <c r="N325" s="263"/>
      <c r="O325" s="263"/>
      <c r="P325" s="263"/>
      <c r="Q325" s="263"/>
      <c r="R325" s="263"/>
      <c r="S325" s="263"/>
      <c r="T325" s="263"/>
      <c r="U325" s="263"/>
      <c r="V325" s="263"/>
      <c r="W325" s="263"/>
      <c r="X325" s="263"/>
      <c r="Y325" s="263"/>
      <c r="Z325" s="263"/>
      <c r="AA325" s="263"/>
      <c r="AB325" s="263"/>
      <c r="AC325" s="263"/>
      <c r="AD325" s="263"/>
      <c r="AE325" s="263"/>
      <c r="AF325" s="263"/>
      <c r="AG325" s="263"/>
      <c r="AH325" s="263"/>
      <c r="AI325" s="257">
        <f ca="1">IF(Configurações!$G$10="Ligado",SUMIFS(C325:AH325,$C$4:$AH$4,"&lt;="&amp;Configurações!$C$5,$C$4:$AH$4,"&lt;="&amp;$AI$3),"")</f>
        <v>0</v>
      </c>
      <c r="AJ325" s="234" t="str">
        <f ca="1">IF(Configurações!$G$20="Ligado",IF(AI325&lt;=0,"Vazio",IF(Configurações!$G$18="Semana",IF(Configurações!$G$19="Contar",ENTRADAS!AI325/Configurações!$C$18,AI325/SUM(AK325:AN325)),AI325/A325)),"")</f>
        <v>Vazio</v>
      </c>
      <c r="AK325" s="235">
        <f t="shared" si="18"/>
        <v>0</v>
      </c>
      <c r="AL325" s="235">
        <f t="shared" si="19"/>
        <v>0</v>
      </c>
      <c r="AM325" s="235">
        <f t="shared" si="20"/>
        <v>0</v>
      </c>
      <c r="AN325" s="235">
        <f ca="1">IF(SUMIF($Y$4:$AH$4,"&lt;=" &amp; $AJ$3,ENTRADAS!Y325:AH325)&gt;0,1,0)</f>
        <v>0</v>
      </c>
    </row>
    <row r="326" spans="1:41" ht="21">
      <c r="A326" s="236">
        <f ca="1">COUNT(INDEX($C:$AH,ROW(),1):INDEX($C:$AH,ROW(),$AI$3+1))</f>
        <v>0</v>
      </c>
      <c r="B326" s="254" t="str">
        <f>INDEX(Cadastro_Piscina[[#All],[Colunas4]],MATCH(ROW()-5,Cadastro_Piscina[[#All],[Colunas2]],0))</f>
        <v xml:space="preserve">Mascara de proteção </v>
      </c>
      <c r="C326" s="259"/>
      <c r="D326" s="259"/>
      <c r="E326" s="259"/>
      <c r="F326" s="259"/>
      <c r="G326" s="259"/>
      <c r="H326" s="259"/>
      <c r="I326" s="259"/>
      <c r="J326" s="259"/>
      <c r="K326" s="259"/>
      <c r="L326" s="259"/>
      <c r="M326" s="259"/>
      <c r="N326" s="259"/>
      <c r="O326" s="259"/>
      <c r="P326" s="259"/>
      <c r="Q326" s="259"/>
      <c r="R326" s="259"/>
      <c r="S326" s="259"/>
      <c r="T326" s="259"/>
      <c r="U326" s="259"/>
      <c r="V326" s="259"/>
      <c r="W326" s="259"/>
      <c r="X326" s="259"/>
      <c r="Y326" s="259"/>
      <c r="Z326" s="259"/>
      <c r="AA326" s="259"/>
      <c r="AB326" s="259"/>
      <c r="AC326" s="259"/>
      <c r="AD326" s="259"/>
      <c r="AE326" s="259"/>
      <c r="AF326" s="259"/>
      <c r="AG326" s="259"/>
      <c r="AH326" s="259"/>
      <c r="AI326" s="257">
        <f ca="1">IF(Configurações!$G$10="Ligado",SUMIFS(C326:AH326,$C$4:$AH$4,"&lt;="&amp;Configurações!$C$5,$C$4:$AH$4,"&lt;="&amp;$AI$3),"")</f>
        <v>0</v>
      </c>
      <c r="AJ326" s="234" t="str">
        <f ca="1">IF(Configurações!$G$20="Ligado",IF(AI326&lt;=0,"Vazio",IF(Configurações!$G$18="Semana",IF(Configurações!$G$19="Contar",ENTRADAS!AI326/Configurações!$C$18,AI326/SUM(AK326:AN326)),AI326/A326)),"")</f>
        <v>Vazio</v>
      </c>
      <c r="AK326" s="235">
        <f t="shared" si="18"/>
        <v>0</v>
      </c>
      <c r="AL326" s="235">
        <f t="shared" si="19"/>
        <v>0</v>
      </c>
      <c r="AM326" s="235">
        <f t="shared" si="20"/>
        <v>0</v>
      </c>
      <c r="AN326" s="235">
        <f ca="1">IF(SUMIF($Y$4:$AH$4,"&lt;=" &amp; $AJ$3,ENTRADAS!Y326:AH326)&gt;0,1,0)</f>
        <v>0</v>
      </c>
    </row>
    <row r="327" spans="1:41" ht="21">
      <c r="A327" s="236">
        <f ca="1">COUNT(INDEX($C:$AH,ROW(),1):INDEX($C:$AH,ROW(),$AI$3+1))</f>
        <v>0</v>
      </c>
      <c r="B327" s="255" t="str">
        <f>INDEX(Cadastro_Piscina[[#All],[Colunas4]],MATCH(ROW()-5,Cadastro_Piscina[[#All],[Colunas2]],0))</f>
        <v>Pastilha de cloro unid (cx c/ 72)</v>
      </c>
      <c r="C327" s="263"/>
      <c r="D327" s="263"/>
      <c r="E327" s="263"/>
      <c r="F327" s="263"/>
      <c r="G327" s="263"/>
      <c r="H327" s="263"/>
      <c r="I327" s="263"/>
      <c r="J327" s="263"/>
      <c r="K327" s="263"/>
      <c r="L327" s="263"/>
      <c r="M327" s="263"/>
      <c r="N327" s="263"/>
      <c r="O327" s="263"/>
      <c r="P327" s="263"/>
      <c r="Q327" s="263"/>
      <c r="R327" s="263"/>
      <c r="S327" s="263"/>
      <c r="T327" s="263"/>
      <c r="U327" s="263"/>
      <c r="V327" s="263"/>
      <c r="W327" s="263"/>
      <c r="X327" s="263"/>
      <c r="Y327" s="263"/>
      <c r="Z327" s="263"/>
      <c r="AA327" s="263"/>
      <c r="AB327" s="263"/>
      <c r="AC327" s="263"/>
      <c r="AD327" s="263"/>
      <c r="AE327" s="263"/>
      <c r="AF327" s="263"/>
      <c r="AG327" s="263"/>
      <c r="AH327" s="263"/>
      <c r="AI327" s="257">
        <f ca="1">IF(Configurações!$G$10="Ligado",SUMIFS(C327:AH327,$C$4:$AH$4,"&lt;="&amp;Configurações!$C$5,$C$4:$AH$4,"&lt;="&amp;$AI$3),"")</f>
        <v>0</v>
      </c>
      <c r="AJ327" s="234" t="str">
        <f ca="1">IF(Configurações!$G$20="Ligado",IF(AI327&lt;=0,"Vazio",IF(Configurações!$G$18="Semana",IF(Configurações!$G$19="Contar",ENTRADAS!AI327/Configurações!$C$18,AI327/SUM(AK327:AN327)),AI327/A327)),"")</f>
        <v>Vazio</v>
      </c>
      <c r="AK327" s="235">
        <f t="shared" si="18"/>
        <v>0</v>
      </c>
      <c r="AL327" s="235">
        <f t="shared" si="19"/>
        <v>0</v>
      </c>
      <c r="AM327" s="235">
        <f t="shared" si="20"/>
        <v>0</v>
      </c>
      <c r="AN327" s="235">
        <f ca="1">IF(SUMIF($Y$4:$AH$4,"&lt;=" &amp; $AJ$3,ENTRADAS!Y327:AH327)&gt;0,1,0)</f>
        <v>0</v>
      </c>
    </row>
    <row r="328" spans="1:41" ht="21">
      <c r="A328" s="236">
        <f ca="1">COUNT(INDEX($C:$AH,ROW(),1):INDEX($C:$AH,ROW(),$AI$3+1))</f>
        <v>0</v>
      </c>
      <c r="B328" s="254" t="str">
        <f>INDEX(Cadastro_Piscina[[#All],[Colunas4]],MATCH(ROW()-5,Cadastro_Piscina[[#All],[Colunas2]],0))</f>
        <v xml:space="preserve">Reagente cloro Institucional </v>
      </c>
      <c r="C328" s="259"/>
      <c r="D328" s="259"/>
      <c r="E328" s="259"/>
      <c r="F328" s="259"/>
      <c r="G328" s="259"/>
      <c r="H328" s="259"/>
      <c r="I328" s="259"/>
      <c r="J328" s="259"/>
      <c r="K328" s="259"/>
      <c r="L328" s="259"/>
      <c r="M328" s="259"/>
      <c r="N328" s="259"/>
      <c r="O328" s="259"/>
      <c r="P328" s="259"/>
      <c r="Q328" s="259"/>
      <c r="R328" s="259"/>
      <c r="S328" s="259"/>
      <c r="T328" s="259"/>
      <c r="U328" s="259"/>
      <c r="V328" s="259"/>
      <c r="W328" s="259"/>
      <c r="X328" s="259"/>
      <c r="Y328" s="259"/>
      <c r="Z328" s="259"/>
      <c r="AA328" s="259"/>
      <c r="AB328" s="259"/>
      <c r="AC328" s="259"/>
      <c r="AD328" s="259"/>
      <c r="AE328" s="259"/>
      <c r="AF328" s="259"/>
      <c r="AG328" s="259"/>
      <c r="AH328" s="259"/>
      <c r="AI328" s="257">
        <f ca="1">IF(Configurações!$G$10="Ligado",SUMIFS(C328:AH328,$C$4:$AH$4,"&lt;="&amp;Configurações!$C$5,$C$4:$AH$4,"&lt;="&amp;$AI$3),"")</f>
        <v>0</v>
      </c>
      <c r="AJ328" s="234" t="str">
        <f ca="1">IF(Configurações!$G$20="Ligado",IF(AI328&lt;=0,"Vazio",IF(Configurações!$G$18="Semana",IF(Configurações!$G$19="Contar",ENTRADAS!AI328/Configurações!$C$18,AI328/SUM(AK328:AN328)),AI328/A328)),"")</f>
        <v>Vazio</v>
      </c>
      <c r="AK328" s="235">
        <f t="shared" si="18"/>
        <v>0</v>
      </c>
      <c r="AL328" s="235">
        <f t="shared" si="19"/>
        <v>0</v>
      </c>
      <c r="AM328" s="235">
        <f t="shared" si="20"/>
        <v>0</v>
      </c>
      <c r="AN328" s="235">
        <f ca="1">IF(SUMIF($Y$4:$AH$4,"&lt;=" &amp; $AJ$3,ENTRADAS!Y328:AH328)&gt;0,1,0)</f>
        <v>0</v>
      </c>
    </row>
    <row r="329" spans="1:41" ht="21">
      <c r="A329" s="236">
        <f ca="1">COUNT(INDEX($C:$AH,ROW(),1):INDEX($C:$AH,ROW(),$AI$3+1))</f>
        <v>0</v>
      </c>
      <c r="B329" s="255" t="str">
        <f>INDEX(Cadastro_Piscina[[#All],[Colunas4]],MATCH(ROW()-5,Cadastro_Piscina[[#All],[Colunas2]],0))</f>
        <v xml:space="preserve">Reagente ph Institucional </v>
      </c>
      <c r="C329" s="263"/>
      <c r="D329" s="263"/>
      <c r="E329" s="263"/>
      <c r="F329" s="263"/>
      <c r="G329" s="263"/>
      <c r="H329" s="263"/>
      <c r="I329" s="263"/>
      <c r="J329" s="263"/>
      <c r="K329" s="263"/>
      <c r="L329" s="263"/>
      <c r="M329" s="263"/>
      <c r="N329" s="263"/>
      <c r="O329" s="263"/>
      <c r="P329" s="263"/>
      <c r="Q329" s="263"/>
      <c r="R329" s="263"/>
      <c r="S329" s="263"/>
      <c r="T329" s="263"/>
      <c r="U329" s="263"/>
      <c r="V329" s="263"/>
      <c r="W329" s="263"/>
      <c r="X329" s="263"/>
      <c r="Y329" s="263"/>
      <c r="Z329" s="263"/>
      <c r="AA329" s="263"/>
      <c r="AB329" s="263"/>
      <c r="AC329" s="263"/>
      <c r="AD329" s="263"/>
      <c r="AE329" s="263"/>
      <c r="AF329" s="263"/>
      <c r="AG329" s="263"/>
      <c r="AH329" s="263"/>
      <c r="AI329" s="256">
        <f ca="1">IF(Configurações!$G$10="Ligado",SUMIFS(C329:AH329,$C$4:$AH$4,"&lt;="&amp;Configurações!$C$5,$C$4:$AH$4,"&lt;="&amp;$AI$3),"")</f>
        <v>0</v>
      </c>
      <c r="AJ329" s="234" t="str">
        <f ca="1">IF(Configurações!$G$20="Ligado",IF(AI329&lt;=0,"Vazio",IF(Configurações!$G$18="Semana",IF(Configurações!$G$19="Contar",ENTRADAS!AI329/Configurações!$C$18,AI329/SUM(AK329:AN329)),AI329/A329)),"")</f>
        <v>Vazio</v>
      </c>
      <c r="AK329" s="235">
        <f t="shared" si="18"/>
        <v>0</v>
      </c>
      <c r="AL329" s="235">
        <f t="shared" si="19"/>
        <v>0</v>
      </c>
      <c r="AM329" s="235">
        <f t="shared" si="20"/>
        <v>0</v>
      </c>
      <c r="AN329" s="235">
        <f ca="1">IF(SUMIF($Y$4:$AH$4,"&lt;=" &amp; $AJ$3,ENTRADAS!Y329:AH329)&gt;0,1,0)</f>
        <v>0</v>
      </c>
    </row>
    <row r="330" spans="1:41" ht="15.75" thickBot="1">
      <c r="AK330" s="53"/>
      <c r="AL330" s="53"/>
      <c r="AM330" s="53"/>
      <c r="AN330" s="53"/>
    </row>
    <row r="331" spans="1:41" ht="24" thickBot="1">
      <c r="A331" s="22"/>
      <c r="B331" s="472" t="s">
        <v>448</v>
      </c>
      <c r="C331" s="473"/>
      <c r="D331" s="473"/>
      <c r="E331" s="473"/>
      <c r="F331" s="473"/>
      <c r="G331" s="473"/>
      <c r="H331" s="473"/>
      <c r="I331" s="473"/>
      <c r="J331" s="473"/>
      <c r="K331" s="473"/>
      <c r="L331" s="473"/>
      <c r="M331" s="473"/>
      <c r="N331" s="473"/>
      <c r="O331" s="473"/>
      <c r="P331" s="473"/>
      <c r="Q331" s="473"/>
      <c r="R331" s="473"/>
      <c r="S331" s="473"/>
      <c r="T331" s="473"/>
      <c r="U331" s="473"/>
      <c r="V331" s="473"/>
      <c r="W331" s="473"/>
      <c r="X331" s="473"/>
      <c r="Y331" s="473"/>
      <c r="Z331" s="473"/>
      <c r="AA331" s="473"/>
      <c r="AB331" s="473"/>
      <c r="AC331" s="473"/>
      <c r="AD331" s="473"/>
      <c r="AE331" s="473"/>
      <c r="AF331" s="473"/>
      <c r="AG331" s="473"/>
      <c r="AH331" s="473"/>
      <c r="AI331" s="473"/>
      <c r="AJ331" s="474"/>
      <c r="AK331" s="23"/>
      <c r="AL331" s="23"/>
      <c r="AM331" s="23"/>
      <c r="AN331" s="23"/>
      <c r="AO331" s="22"/>
    </row>
    <row r="332" spans="1:41" ht="21">
      <c r="A332" s="293">
        <f ca="1">COUNT(INDEX($C:$AH,ROW(),1):INDEX($C:$AH,ROW(),$AI$3+1))</f>
        <v>0</v>
      </c>
      <c r="B332" s="294" t="str">
        <f>INDEX(Cadastro_covid[[#All],[Colunas4]],MATCH(ROW()-5,Cadastro_covid[[#All],[Colunas2]],0))</f>
        <v>Adesivo de destanciamento de chão</v>
      </c>
      <c r="C332" s="281"/>
      <c r="D332" s="282"/>
      <c r="E332" s="282"/>
      <c r="F332" s="282"/>
      <c r="G332" s="282"/>
      <c r="H332" s="282"/>
      <c r="I332" s="282"/>
      <c r="J332" s="282"/>
      <c r="K332" s="282"/>
      <c r="L332" s="282"/>
      <c r="M332" s="282"/>
      <c r="N332" s="282"/>
      <c r="O332" s="282"/>
      <c r="P332" s="282"/>
      <c r="Q332" s="282"/>
      <c r="R332" s="282"/>
      <c r="S332" s="282"/>
      <c r="T332" s="282"/>
      <c r="U332" s="282"/>
      <c r="V332" s="282"/>
      <c r="W332" s="282"/>
      <c r="X332" s="282"/>
      <c r="Y332" s="282"/>
      <c r="Z332" s="282"/>
      <c r="AA332" s="282"/>
      <c r="AB332" s="282"/>
      <c r="AC332" s="282"/>
      <c r="AD332" s="282"/>
      <c r="AE332" s="282"/>
      <c r="AF332" s="282"/>
      <c r="AG332" s="282"/>
      <c r="AH332" s="283"/>
      <c r="AI332" s="295">
        <f ca="1">IF(Configurações!$G$10="Ligado",SUMIFS(C332:AH332,$C$4:$AH$4,"&lt;="&amp;Configurações!$C$5,$C$4:$AH$4,"&lt;="&amp;$AI$3),"")</f>
        <v>0</v>
      </c>
      <c r="AJ332" s="296" t="str">
        <f ca="1">IF(Configurações!$G$20="Ligado",IF(AI332&lt;=0,"Vazio",IF(Configurações!$G$18="Semana",IF(Configurações!$G$19="Contar",ENTRADAS!AI332/Configurações!$C$18,AI332/SUM(AK332:AN332)),AI332/A332)),"")</f>
        <v>Vazio</v>
      </c>
      <c r="AK332" s="297">
        <f>IF(SUM(C332:J332)&gt;0,1,0)</f>
        <v>0</v>
      </c>
      <c r="AL332" s="298">
        <f>IF(SUM(K332:Q332)&gt;0,1,0)</f>
        <v>0</v>
      </c>
      <c r="AM332" s="298">
        <f>IF(SUM(R332:X332)&gt;0,1,0)</f>
        <v>0</v>
      </c>
      <c r="AN332" s="298">
        <f ca="1">IF(SUMIF($Y$4:$AH$4,"&lt;=" &amp; $AJ$3,ENTRADAS!Y332:AH332)&gt;0,1,0)</f>
        <v>0</v>
      </c>
      <c r="AO332" s="22"/>
    </row>
    <row r="333" spans="1:41" ht="21">
      <c r="A333" s="293">
        <f ca="1">COUNT(INDEX($C:$AH,ROW(),1):INDEX($C:$AH,ROW(),$AI$3+1))</f>
        <v>0</v>
      </c>
      <c r="B333" s="299" t="str">
        <f>INDEX(Cadastro_covid[[#All],[Colunas4]],MATCH(ROW()-5,Cadastro_covid[[#All],[Colunas2]],0))</f>
        <v>Alcool gel antisseptico</v>
      </c>
      <c r="C333" s="284"/>
      <c r="D333" s="285"/>
      <c r="E333" s="285"/>
      <c r="F333" s="285"/>
      <c r="G333" s="285"/>
      <c r="H333" s="285"/>
      <c r="I333" s="285"/>
      <c r="J333" s="285"/>
      <c r="K333" s="285"/>
      <c r="L333" s="285"/>
      <c r="M333" s="285"/>
      <c r="N333" s="285"/>
      <c r="O333" s="285"/>
      <c r="P333" s="285"/>
      <c r="Q333" s="285"/>
      <c r="R333" s="285"/>
      <c r="S333" s="285"/>
      <c r="T333" s="285"/>
      <c r="U333" s="285"/>
      <c r="V333" s="285"/>
      <c r="W333" s="285"/>
      <c r="X333" s="285"/>
      <c r="Y333" s="285"/>
      <c r="Z333" s="285"/>
      <c r="AA333" s="285"/>
      <c r="AB333" s="285"/>
      <c r="AC333" s="285"/>
      <c r="AD333" s="285"/>
      <c r="AE333" s="285"/>
      <c r="AF333" s="285"/>
      <c r="AG333" s="285"/>
      <c r="AH333" s="286"/>
      <c r="AI333" s="300">
        <f ca="1">IF(Configurações!$G$10="Ligado",SUMIFS(C333:AH333,$C$4:$AH$4,"&lt;="&amp;Configurações!$C$5,$C$4:$AH$4,"&lt;="&amp;$AI$3),"")</f>
        <v>0</v>
      </c>
      <c r="AJ333" s="301" t="str">
        <f ca="1">IF(Configurações!$G$20="Ligado",IF(AI333&lt;=0,"Vazio",IF(Configurações!$G$18="Semana",IF(Configurações!$G$19="Contar",ENTRADAS!AI333/Configurações!$C$18,AI333/SUM(AK333:AN333)),AI333/A333)),"")</f>
        <v>Vazio</v>
      </c>
      <c r="AK333" s="297">
        <f t="shared" ref="AK333:AK347" si="21">IF(SUM(C333:J333)&gt;0,1,0)</f>
        <v>0</v>
      </c>
      <c r="AL333" s="298">
        <f t="shared" ref="AL333:AL347" si="22">IF(SUM(K333:Q333)&gt;0,1,0)</f>
        <v>0</v>
      </c>
      <c r="AM333" s="298">
        <f t="shared" ref="AM333:AM347" si="23">IF(SUM(R333:X333)&gt;0,1,0)</f>
        <v>0</v>
      </c>
      <c r="AN333" s="298">
        <f ca="1">IF(SUMIF($Y$4:$AH$4,"&lt;=" &amp; $AJ$3,ENTRADAS!Y333:AH333)&gt;0,1,0)</f>
        <v>0</v>
      </c>
      <c r="AO333" s="22"/>
    </row>
    <row r="334" spans="1:41" ht="21">
      <c r="A334" s="293">
        <f ca="1">COUNT(INDEX($C:$AH,ROW(),1):INDEX($C:$AH,ROW(),$AI$3+1))</f>
        <v>0</v>
      </c>
      <c r="B334" s="302" t="str">
        <f>INDEX(Cadastro_covid[[#All],[Colunas4]],MATCH(ROW()-5,Cadastro_covid[[#All],[Colunas2]],0))</f>
        <v xml:space="preserve">Placa use mascaras  </v>
      </c>
      <c r="C334" s="287"/>
      <c r="D334" s="288"/>
      <c r="E334" s="288"/>
      <c r="F334" s="288"/>
      <c r="G334" s="288"/>
      <c r="H334" s="288"/>
      <c r="I334" s="288"/>
      <c r="J334" s="288"/>
      <c r="K334" s="288"/>
      <c r="L334" s="288"/>
      <c r="M334" s="288"/>
      <c r="N334" s="288"/>
      <c r="O334" s="288"/>
      <c r="P334" s="288"/>
      <c r="Q334" s="288"/>
      <c r="R334" s="288"/>
      <c r="S334" s="288"/>
      <c r="T334" s="288"/>
      <c r="U334" s="288"/>
      <c r="V334" s="288"/>
      <c r="W334" s="288"/>
      <c r="X334" s="288"/>
      <c r="Y334" s="288"/>
      <c r="Z334" s="288"/>
      <c r="AA334" s="288"/>
      <c r="AB334" s="288"/>
      <c r="AC334" s="288"/>
      <c r="AD334" s="288"/>
      <c r="AE334" s="288"/>
      <c r="AF334" s="288"/>
      <c r="AG334" s="288"/>
      <c r="AH334" s="289"/>
      <c r="AI334" s="300">
        <f ca="1">IF(Configurações!$G$10="Ligado",SUMIFS(C334:AH334,$C$4:$AH$4,"&lt;="&amp;Configurações!$C$5,$C$4:$AH$4,"&lt;="&amp;$AI$3),"")</f>
        <v>0</v>
      </c>
      <c r="AJ334" s="301" t="str">
        <f ca="1">IF(Configurações!$G$20="Ligado",IF(AI334&lt;=0,"Vazio",IF(Configurações!$G$18="Semana",IF(Configurações!$G$19="Contar",ENTRADAS!AI334/Configurações!$C$18,AI334/SUM(AK334:AN334)),AI334/A334)),"")</f>
        <v>Vazio</v>
      </c>
      <c r="AK334" s="297">
        <f t="shared" si="21"/>
        <v>0</v>
      </c>
      <c r="AL334" s="298">
        <f t="shared" si="22"/>
        <v>0</v>
      </c>
      <c r="AM334" s="298">
        <f t="shared" si="23"/>
        <v>0</v>
      </c>
      <c r="AN334" s="298">
        <f ca="1">IF(SUMIF($Y$4:$AH$4,"&lt;=" &amp; $AJ$3,ENTRADAS!Y334:AH334)&gt;0,1,0)</f>
        <v>0</v>
      </c>
      <c r="AO334" s="22"/>
    </row>
    <row r="335" spans="1:41" ht="21">
      <c r="A335" s="293">
        <f ca="1">COUNT(INDEX($C:$AH,ROW(),1):INDEX($C:$AH,ROW(),$AI$3+1))</f>
        <v>0</v>
      </c>
      <c r="B335" s="299" t="str">
        <f>INDEX(Cadastro_covid[[#All],[Colunas4]],MATCH(ROW()-5,Cadastro_covid[[#All],[Colunas2]],0))</f>
        <v>Papel higienico</v>
      </c>
      <c r="C335" s="284"/>
      <c r="D335" s="285"/>
      <c r="E335" s="285"/>
      <c r="F335" s="285"/>
      <c r="G335" s="285"/>
      <c r="H335" s="285"/>
      <c r="I335" s="285"/>
      <c r="J335" s="285"/>
      <c r="K335" s="285"/>
      <c r="L335" s="285"/>
      <c r="M335" s="285"/>
      <c r="N335" s="285"/>
      <c r="O335" s="285"/>
      <c r="P335" s="285"/>
      <c r="Q335" s="285"/>
      <c r="R335" s="285"/>
      <c r="S335" s="285"/>
      <c r="T335" s="285"/>
      <c r="U335" s="285"/>
      <c r="V335" s="285"/>
      <c r="W335" s="285"/>
      <c r="X335" s="285"/>
      <c r="Y335" s="285"/>
      <c r="Z335" s="285"/>
      <c r="AA335" s="285"/>
      <c r="AB335" s="285"/>
      <c r="AC335" s="285"/>
      <c r="AD335" s="285"/>
      <c r="AE335" s="285"/>
      <c r="AF335" s="285"/>
      <c r="AG335" s="285"/>
      <c r="AH335" s="286"/>
      <c r="AI335" s="300">
        <f ca="1">IF(Configurações!$G$10="Ligado",SUMIFS(C335:AH335,$C$4:$AH$4,"&lt;="&amp;Configurações!$C$5,$C$4:$AH$4,"&lt;="&amp;$AI$3),"")</f>
        <v>0</v>
      </c>
      <c r="AJ335" s="301" t="str">
        <f ca="1">IF(Configurações!$G$20="Ligado",IF(AI335&lt;=0,"Vazio",IF(Configurações!$G$18="Semana",IF(Configurações!$G$19="Contar",ENTRADAS!AI335/Configurações!$C$18,AI335/SUM(AK335:AN335)),AI335/A335)),"")</f>
        <v>Vazio</v>
      </c>
      <c r="AK335" s="297">
        <f t="shared" si="21"/>
        <v>0</v>
      </c>
      <c r="AL335" s="298">
        <f t="shared" si="22"/>
        <v>0</v>
      </c>
      <c r="AM335" s="298">
        <f t="shared" si="23"/>
        <v>0</v>
      </c>
      <c r="AN335" s="298">
        <f ca="1">IF(SUMIF($Y$4:$AH$4,"&lt;=" &amp; $AJ$3,ENTRADAS!Y335:AH335)&gt;0,1,0)</f>
        <v>0</v>
      </c>
      <c r="AO335" s="22"/>
    </row>
    <row r="336" spans="1:41" ht="21">
      <c r="A336" s="293">
        <f ca="1">COUNT(INDEX($C:$AH,ROW(),1):INDEX($C:$AH,ROW(),$AI$3+1))</f>
        <v>0</v>
      </c>
      <c r="B336" s="302" t="str">
        <f>INDEX(Cadastro_covid[[#All],[Colunas4]],MATCH(ROW()-5,Cadastro_covid[[#All],[Colunas2]],0))</f>
        <v xml:space="preserve">Dispenser p/hig rolão </v>
      </c>
      <c r="C336" s="287"/>
      <c r="D336" s="288"/>
      <c r="E336" s="288"/>
      <c r="F336" s="288"/>
      <c r="G336" s="288"/>
      <c r="H336" s="288"/>
      <c r="I336" s="288"/>
      <c r="J336" s="288"/>
      <c r="K336" s="288"/>
      <c r="L336" s="288"/>
      <c r="M336" s="288"/>
      <c r="N336" s="288"/>
      <c r="O336" s="288"/>
      <c r="P336" s="288"/>
      <c r="Q336" s="288"/>
      <c r="R336" s="288"/>
      <c r="S336" s="288"/>
      <c r="T336" s="288"/>
      <c r="U336" s="288"/>
      <c r="V336" s="288"/>
      <c r="W336" s="288"/>
      <c r="X336" s="288"/>
      <c r="Y336" s="288"/>
      <c r="Z336" s="288"/>
      <c r="AA336" s="288"/>
      <c r="AB336" s="288"/>
      <c r="AC336" s="288"/>
      <c r="AD336" s="288"/>
      <c r="AE336" s="288"/>
      <c r="AF336" s="288"/>
      <c r="AG336" s="288"/>
      <c r="AH336" s="289"/>
      <c r="AI336" s="300">
        <f ca="1">IF(Configurações!$G$10="Ligado",SUMIFS(C336:AH336,$C$4:$AH$4,"&lt;="&amp;Configurações!$C$5,$C$4:$AH$4,"&lt;="&amp;$AI$3),"")</f>
        <v>0</v>
      </c>
      <c r="AJ336" s="301" t="str">
        <f ca="1">IF(Configurações!$G$20="Ligado",IF(AI336&lt;=0,"Vazio",IF(Configurações!$G$18="Semana",IF(Configurações!$G$19="Contar",ENTRADAS!AI336/Configurações!$C$18,AI336/SUM(AK336:AN336)),AI336/A336)),"")</f>
        <v>Vazio</v>
      </c>
      <c r="AK336" s="297">
        <f t="shared" si="21"/>
        <v>0</v>
      </c>
      <c r="AL336" s="298">
        <f t="shared" si="22"/>
        <v>0</v>
      </c>
      <c r="AM336" s="298">
        <f t="shared" si="23"/>
        <v>0</v>
      </c>
      <c r="AN336" s="298">
        <f ca="1">IF(SUMIF($Y$4:$AH$4,"&lt;=" &amp; $AJ$3,ENTRADAS!Y336:AH336)&gt;0,1,0)</f>
        <v>0</v>
      </c>
      <c r="AO336" s="22"/>
    </row>
    <row r="337" spans="1:41" ht="21">
      <c r="A337" s="293">
        <f ca="1">COUNT(INDEX($C:$AH,ROW(),1):INDEX($C:$AH,ROW(),$AI$3+1))</f>
        <v>0</v>
      </c>
      <c r="B337" s="299" t="str">
        <f>INDEX(Cadastro_covid[[#All],[Colunas4]],MATCH(ROW()-5,Cadastro_covid[[#All],[Colunas2]],0))</f>
        <v xml:space="preserve">Luva vinil </v>
      </c>
      <c r="C337" s="284"/>
      <c r="D337" s="285"/>
      <c r="E337" s="285"/>
      <c r="F337" s="285"/>
      <c r="G337" s="285"/>
      <c r="H337" s="285"/>
      <c r="I337" s="285"/>
      <c r="J337" s="285"/>
      <c r="K337" s="285"/>
      <c r="L337" s="285"/>
      <c r="M337" s="285"/>
      <c r="N337" s="285"/>
      <c r="O337" s="285"/>
      <c r="P337" s="285"/>
      <c r="Q337" s="285"/>
      <c r="R337" s="285"/>
      <c r="S337" s="285"/>
      <c r="T337" s="285"/>
      <c r="U337" s="285"/>
      <c r="V337" s="285"/>
      <c r="W337" s="285"/>
      <c r="X337" s="285"/>
      <c r="Y337" s="285"/>
      <c r="Z337" s="285"/>
      <c r="AA337" s="285"/>
      <c r="AB337" s="285"/>
      <c r="AC337" s="285"/>
      <c r="AD337" s="285"/>
      <c r="AE337" s="285"/>
      <c r="AF337" s="285"/>
      <c r="AG337" s="285"/>
      <c r="AH337" s="286"/>
      <c r="AI337" s="300">
        <f ca="1">IF(Configurações!$G$10="Ligado",SUMIFS(C337:AH337,$C$4:$AH$4,"&lt;="&amp;Configurações!$C$5,$C$4:$AH$4,"&lt;="&amp;$AI$3),"")</f>
        <v>0</v>
      </c>
      <c r="AJ337" s="301" t="str">
        <f ca="1">IF(Configurações!$G$20="Ligado",IF(AI337&lt;=0,"Vazio",IF(Configurações!$G$18="Semana",IF(Configurações!$G$19="Contar",ENTRADAS!AI337/Configurações!$C$18,AI337/SUM(AK337:AN337)),AI337/A337)),"")</f>
        <v>Vazio</v>
      </c>
      <c r="AK337" s="297">
        <f t="shared" si="21"/>
        <v>0</v>
      </c>
      <c r="AL337" s="298">
        <f t="shared" si="22"/>
        <v>0</v>
      </c>
      <c r="AM337" s="298">
        <f t="shared" si="23"/>
        <v>0</v>
      </c>
      <c r="AN337" s="298">
        <f ca="1">IF(SUMIF($Y$4:$AH$4,"&lt;=" &amp; $AJ$3,ENTRADAS!Y337:AH337)&gt;0,1,0)</f>
        <v>0</v>
      </c>
      <c r="AO337" s="22"/>
    </row>
    <row r="338" spans="1:41" ht="21">
      <c r="A338" s="293">
        <f ca="1">COUNT(INDEX($C:$AH,ROW(),1):INDEX($C:$AH,ROW(),$AI$3+1))</f>
        <v>0</v>
      </c>
      <c r="B338" s="302" t="str">
        <f>INDEX(Cadastro_covid[[#All],[Colunas4]],MATCH(ROW()-5,Cadastro_covid[[#All],[Colunas2]],0))</f>
        <v xml:space="preserve">Jaleco modelo cirurgico </v>
      </c>
      <c r="C338" s="287"/>
      <c r="D338" s="288"/>
      <c r="E338" s="288"/>
      <c r="F338" s="288"/>
      <c r="G338" s="288"/>
      <c r="H338" s="288"/>
      <c r="I338" s="288"/>
      <c r="J338" s="288"/>
      <c r="K338" s="288"/>
      <c r="L338" s="288"/>
      <c r="M338" s="288"/>
      <c r="N338" s="288"/>
      <c r="O338" s="288"/>
      <c r="P338" s="288"/>
      <c r="Q338" s="288"/>
      <c r="R338" s="288"/>
      <c r="S338" s="288"/>
      <c r="T338" s="288"/>
      <c r="U338" s="288"/>
      <c r="V338" s="288"/>
      <c r="W338" s="288"/>
      <c r="X338" s="288"/>
      <c r="Y338" s="288"/>
      <c r="Z338" s="288"/>
      <c r="AA338" s="288"/>
      <c r="AB338" s="288"/>
      <c r="AC338" s="288"/>
      <c r="AD338" s="288"/>
      <c r="AE338" s="288"/>
      <c r="AF338" s="288"/>
      <c r="AG338" s="288"/>
      <c r="AH338" s="289"/>
      <c r="AI338" s="300">
        <f ca="1">IF(Configurações!$G$10="Ligado",SUMIFS(C338:AH338,$C$4:$AH$4,"&lt;="&amp;Configurações!$C$5,$C$4:$AH$4,"&lt;="&amp;$AI$3),"")</f>
        <v>0</v>
      </c>
      <c r="AJ338" s="301" t="str">
        <f ca="1">IF(Configurações!$G$20="Ligado",IF(AI338&lt;=0,"Vazio",IF(Configurações!$G$18="Semana",IF(Configurações!$G$19="Contar",ENTRADAS!AI338/Configurações!$C$18,AI338/SUM(AK338:AN338)),AI338/A338)),"")</f>
        <v>Vazio</v>
      </c>
      <c r="AK338" s="297">
        <f t="shared" si="21"/>
        <v>0</v>
      </c>
      <c r="AL338" s="298">
        <f t="shared" si="22"/>
        <v>0</v>
      </c>
      <c r="AM338" s="298">
        <f t="shared" si="23"/>
        <v>0</v>
      </c>
      <c r="AN338" s="298">
        <f ca="1">IF(SUMIF($Y$4:$AH$4,"&lt;=" &amp; $AJ$3,ENTRADAS!Y338:AH338)&gt;0,1,0)</f>
        <v>0</v>
      </c>
      <c r="AO338" s="22"/>
    </row>
    <row r="339" spans="1:41" ht="21">
      <c r="A339" s="293">
        <f ca="1">COUNT(INDEX($C:$AH,ROW(),1):INDEX($C:$AH,ROW(),$AI$3+1))</f>
        <v>0</v>
      </c>
      <c r="B339" s="299" t="str">
        <f>INDEX(Cadastro_covid[[#All],[Colunas4]],MATCH(ROW()-5,Cadastro_covid[[#All],[Colunas2]],0))</f>
        <v xml:space="preserve">Touca tnt </v>
      </c>
      <c r="C339" s="284"/>
      <c r="D339" s="285"/>
      <c r="E339" s="285"/>
      <c r="F339" s="285"/>
      <c r="G339" s="285"/>
      <c r="H339" s="285"/>
      <c r="I339" s="285"/>
      <c r="J339" s="285"/>
      <c r="K339" s="285"/>
      <c r="L339" s="285"/>
      <c r="M339" s="285"/>
      <c r="N339" s="285"/>
      <c r="O339" s="285"/>
      <c r="P339" s="285"/>
      <c r="Q339" s="285"/>
      <c r="R339" s="285"/>
      <c r="S339" s="285"/>
      <c r="T339" s="285"/>
      <c r="U339" s="285"/>
      <c r="V339" s="285"/>
      <c r="W339" s="285"/>
      <c r="X339" s="285"/>
      <c r="Y339" s="285"/>
      <c r="Z339" s="285"/>
      <c r="AA339" s="285"/>
      <c r="AB339" s="285"/>
      <c r="AC339" s="285"/>
      <c r="AD339" s="285"/>
      <c r="AE339" s="285"/>
      <c r="AF339" s="285"/>
      <c r="AG339" s="285"/>
      <c r="AH339" s="286"/>
      <c r="AI339" s="300">
        <f ca="1">IF(Configurações!$G$10="Ligado",SUMIFS(C339:AH339,$C$4:$AH$4,"&lt;="&amp;Configurações!$C$5,$C$4:$AH$4,"&lt;="&amp;$AI$3),"")</f>
        <v>0</v>
      </c>
      <c r="AJ339" s="301" t="str">
        <f ca="1">IF(Configurações!$G$20="Ligado",IF(AI339&lt;=0,"Vazio",IF(Configurações!$G$18="Semana",IF(Configurações!$G$19="Contar",ENTRADAS!AI339/Configurações!$C$18,AI339/SUM(AK339:AN339)),AI339/A339)),"")</f>
        <v>Vazio</v>
      </c>
      <c r="AK339" s="297">
        <f t="shared" si="21"/>
        <v>0</v>
      </c>
      <c r="AL339" s="298">
        <f t="shared" si="22"/>
        <v>0</v>
      </c>
      <c r="AM339" s="298">
        <f t="shared" si="23"/>
        <v>0</v>
      </c>
      <c r="AN339" s="298">
        <f ca="1">IF(SUMIF($Y$4:$AH$4,"&lt;=" &amp; $AJ$3,ENTRADAS!Y339:AH339)&gt;0,1,0)</f>
        <v>0</v>
      </c>
      <c r="AO339" s="22"/>
    </row>
    <row r="340" spans="1:41" ht="21">
      <c r="A340" s="293">
        <f ca="1">COUNT(INDEX($C:$AH,ROW(),1):INDEX($C:$AH,ROW(),$AI$3+1))</f>
        <v>0</v>
      </c>
      <c r="B340" s="302" t="str">
        <f>INDEX(Cadastro_covid[[#All],[Colunas4]],MATCH(ROW()-5,Cadastro_covid[[#All],[Colunas2]],0))</f>
        <v xml:space="preserve">Dispenser para alcool gel </v>
      </c>
      <c r="C340" s="287"/>
      <c r="D340" s="288"/>
      <c r="E340" s="288"/>
      <c r="F340" s="288"/>
      <c r="G340" s="288"/>
      <c r="H340" s="288"/>
      <c r="I340" s="288"/>
      <c r="J340" s="288"/>
      <c r="K340" s="288"/>
      <c r="L340" s="288"/>
      <c r="M340" s="288"/>
      <c r="N340" s="288"/>
      <c r="O340" s="288"/>
      <c r="P340" s="288"/>
      <c r="Q340" s="288"/>
      <c r="R340" s="288"/>
      <c r="S340" s="288"/>
      <c r="T340" s="288"/>
      <c r="U340" s="288"/>
      <c r="V340" s="288"/>
      <c r="W340" s="288"/>
      <c r="X340" s="288"/>
      <c r="Y340" s="288"/>
      <c r="Z340" s="288"/>
      <c r="AA340" s="288"/>
      <c r="AB340" s="288"/>
      <c r="AC340" s="288"/>
      <c r="AD340" s="288"/>
      <c r="AE340" s="288"/>
      <c r="AF340" s="288"/>
      <c r="AG340" s="288"/>
      <c r="AH340" s="289"/>
      <c r="AI340" s="300">
        <f ca="1">IF(Configurações!$G$10="Ligado",SUMIFS(C340:AH340,$C$4:$AH$4,"&lt;="&amp;Configurações!$C$5,$C$4:$AH$4,"&lt;="&amp;$AI$3),"")</f>
        <v>0</v>
      </c>
      <c r="AJ340" s="301" t="str">
        <f ca="1">IF(Configurações!$G$20="Ligado",IF(AI340&lt;=0,"Vazio",IF(Configurações!$G$18="Semana",IF(Configurações!$G$19="Contar",ENTRADAS!AI340/Configurações!$C$18,AI340/SUM(AK340:AN340)),AI340/A340)),"")</f>
        <v>Vazio</v>
      </c>
      <c r="AK340" s="297">
        <f t="shared" si="21"/>
        <v>0</v>
      </c>
      <c r="AL340" s="298">
        <f t="shared" si="22"/>
        <v>0</v>
      </c>
      <c r="AM340" s="298">
        <f t="shared" si="23"/>
        <v>0</v>
      </c>
      <c r="AN340" s="298">
        <f ca="1">IF(SUMIF($Y$4:$AH$4,"&lt;=" &amp; $AJ$3,ENTRADAS!Y340:AH340)&gt;0,1,0)</f>
        <v>0</v>
      </c>
      <c r="AO340" s="22"/>
    </row>
    <row r="341" spans="1:41" ht="21">
      <c r="A341" s="293">
        <f ca="1">COUNT(INDEX($C:$AH,ROW(),1):INDEX($C:$AH,ROW(),$AI$3+1))</f>
        <v>0</v>
      </c>
      <c r="B341" s="299" t="str">
        <f>INDEX(Cadastro_covid[[#All],[Colunas4]],MATCH(ROW()-5,Cadastro_covid[[#All],[Colunas2]],0))</f>
        <v xml:space="preserve">Saco p talher </v>
      </c>
      <c r="C341" s="284"/>
      <c r="D341" s="285"/>
      <c r="E341" s="285"/>
      <c r="F341" s="285"/>
      <c r="G341" s="285"/>
      <c r="H341" s="285"/>
      <c r="I341" s="285"/>
      <c r="J341" s="285"/>
      <c r="K341" s="285"/>
      <c r="L341" s="285"/>
      <c r="M341" s="285"/>
      <c r="N341" s="285"/>
      <c r="O341" s="285"/>
      <c r="P341" s="285"/>
      <c r="Q341" s="285"/>
      <c r="R341" s="285"/>
      <c r="S341" s="285"/>
      <c r="T341" s="285"/>
      <c r="U341" s="285"/>
      <c r="V341" s="285"/>
      <c r="W341" s="285"/>
      <c r="X341" s="285"/>
      <c r="Y341" s="285"/>
      <c r="Z341" s="285"/>
      <c r="AA341" s="285"/>
      <c r="AB341" s="285"/>
      <c r="AC341" s="285"/>
      <c r="AD341" s="285"/>
      <c r="AE341" s="285"/>
      <c r="AF341" s="285"/>
      <c r="AG341" s="285"/>
      <c r="AH341" s="286"/>
      <c r="AI341" s="300">
        <f ca="1">IF(Configurações!$G$10="Ligado",SUMIFS(C341:AH341,$C$4:$AH$4,"&lt;="&amp;Configurações!$C$5,$C$4:$AH$4,"&lt;="&amp;$AI$3),"")</f>
        <v>0</v>
      </c>
      <c r="AJ341" s="301" t="str">
        <f ca="1">IF(Configurações!$G$20="Ligado",IF(AI341&lt;=0,"Vazio",IF(Configurações!$G$18="Semana",IF(Configurações!$G$19="Contar",ENTRADAS!AI341/Configurações!$C$18,AI341/SUM(AK341:AN341)),AI341/A341)),"")</f>
        <v>Vazio</v>
      </c>
      <c r="AK341" s="297">
        <f t="shared" si="21"/>
        <v>0</v>
      </c>
      <c r="AL341" s="298">
        <f t="shared" si="22"/>
        <v>0</v>
      </c>
      <c r="AM341" s="298">
        <f t="shared" si="23"/>
        <v>0</v>
      </c>
      <c r="AN341" s="298">
        <f ca="1">IF(SUMIF($Y$4:$AH$4,"&lt;=" &amp; $AJ$3,ENTRADAS!Y341:AH341)&gt;0,1,0)</f>
        <v>0</v>
      </c>
      <c r="AO341" s="22"/>
    </row>
    <row r="342" spans="1:41" ht="21">
      <c r="A342" s="293">
        <f ca="1">COUNT(INDEX($C:$AH,ROW(),1):INDEX($C:$AH,ROW(),$AI$3+1))</f>
        <v>0</v>
      </c>
      <c r="B342" s="302" t="str">
        <f>INDEX(Cadastro_covid[[#All],[Colunas4]],MATCH(ROW()-5,Cadastro_covid[[#All],[Colunas2]],0))</f>
        <v>Luva plastica</v>
      </c>
      <c r="C342" s="287"/>
      <c r="D342" s="288"/>
      <c r="E342" s="288"/>
      <c r="F342" s="288"/>
      <c r="G342" s="288"/>
      <c r="H342" s="288"/>
      <c r="I342" s="288"/>
      <c r="J342" s="288"/>
      <c r="K342" s="288"/>
      <c r="L342" s="288"/>
      <c r="M342" s="288"/>
      <c r="N342" s="288"/>
      <c r="O342" s="288"/>
      <c r="P342" s="288"/>
      <c r="Q342" s="288"/>
      <c r="R342" s="288"/>
      <c r="S342" s="288"/>
      <c r="T342" s="288"/>
      <c r="U342" s="288"/>
      <c r="V342" s="288"/>
      <c r="W342" s="288"/>
      <c r="X342" s="288"/>
      <c r="Y342" s="288"/>
      <c r="Z342" s="288"/>
      <c r="AA342" s="288"/>
      <c r="AB342" s="288"/>
      <c r="AC342" s="288"/>
      <c r="AD342" s="288"/>
      <c r="AE342" s="288"/>
      <c r="AF342" s="288"/>
      <c r="AG342" s="288"/>
      <c r="AH342" s="289"/>
      <c r="AI342" s="300">
        <f ca="1">IF(Configurações!$G$10="Ligado",SUMIFS(C342:AH342,$C$4:$AH$4,"&lt;="&amp;Configurações!$C$5,$C$4:$AH$4,"&lt;="&amp;$AI$3),"")</f>
        <v>0</v>
      </c>
      <c r="AJ342" s="301" t="str">
        <f ca="1">IF(Configurações!$G$20="Ligado",IF(AI342&lt;=0,"Vazio",IF(Configurações!$G$18="Semana",IF(Configurações!$G$19="Contar",ENTRADAS!AI342/Configurações!$C$18,AI342/SUM(AK342:AN342)),AI342/A342)),"")</f>
        <v>Vazio</v>
      </c>
      <c r="AK342" s="297">
        <f t="shared" si="21"/>
        <v>0</v>
      </c>
      <c r="AL342" s="298">
        <f t="shared" si="22"/>
        <v>0</v>
      </c>
      <c r="AM342" s="298">
        <f t="shared" si="23"/>
        <v>0</v>
      </c>
      <c r="AN342" s="298">
        <f ca="1">IF(SUMIF($Y$4:$AH$4,"&lt;=" &amp; $AJ$3,ENTRADAS!Y342:AH342)&gt;0,1,0)</f>
        <v>0</v>
      </c>
      <c r="AO342" s="22"/>
    </row>
    <row r="343" spans="1:41" ht="21">
      <c r="A343" s="293">
        <f ca="1">COUNT(INDEX($C:$AH,ROW(),1):INDEX($C:$AH,ROW(),$AI$3+1))</f>
        <v>0</v>
      </c>
      <c r="B343" s="299" t="str">
        <f>INDEX(Cadastro_covid[[#All],[Colunas4]],MATCH(ROW()-5,Cadastro_covid[[#All],[Colunas2]],0))</f>
        <v xml:space="preserve">Alcool gel  </v>
      </c>
      <c r="C343" s="284"/>
      <c r="D343" s="285"/>
      <c r="E343" s="285"/>
      <c r="F343" s="285"/>
      <c r="G343" s="285"/>
      <c r="H343" s="285"/>
      <c r="I343" s="285"/>
      <c r="J343" s="285"/>
      <c r="K343" s="285"/>
      <c r="L343" s="285"/>
      <c r="M343" s="285"/>
      <c r="N343" s="285"/>
      <c r="O343" s="285"/>
      <c r="P343" s="285"/>
      <c r="Q343" s="285"/>
      <c r="R343" s="285"/>
      <c r="S343" s="285"/>
      <c r="T343" s="285"/>
      <c r="U343" s="285"/>
      <c r="V343" s="285"/>
      <c r="W343" s="285"/>
      <c r="X343" s="285"/>
      <c r="Y343" s="285"/>
      <c r="Z343" s="285"/>
      <c r="AA343" s="285"/>
      <c r="AB343" s="285"/>
      <c r="AC343" s="285"/>
      <c r="AD343" s="285"/>
      <c r="AE343" s="285"/>
      <c r="AF343" s="285"/>
      <c r="AG343" s="285"/>
      <c r="AH343" s="286"/>
      <c r="AI343" s="300">
        <f ca="1">IF(Configurações!$G$10="Ligado",SUMIFS(C343:AH343,$C$4:$AH$4,"&lt;="&amp;Configurações!$C$5,$C$4:$AH$4,"&lt;="&amp;$AI$3),"")</f>
        <v>0</v>
      </c>
      <c r="AJ343" s="301" t="str">
        <f ca="1">IF(Configurações!$G$20="Ligado",IF(AI343&lt;=0,"Vazio",IF(Configurações!$G$18="Semana",IF(Configurações!$G$19="Contar",ENTRADAS!AI343/Configurações!$C$18,AI343/SUM(AK343:AN343)),AI343/A343)),"")</f>
        <v>Vazio</v>
      </c>
      <c r="AK343" s="297">
        <f t="shared" si="21"/>
        <v>0</v>
      </c>
      <c r="AL343" s="298">
        <f t="shared" si="22"/>
        <v>0</v>
      </c>
      <c r="AM343" s="298">
        <f t="shared" si="23"/>
        <v>0</v>
      </c>
      <c r="AN343" s="298">
        <f ca="1">IF(SUMIF($Y$4:$AH$4,"&lt;=" &amp; $AJ$3,ENTRADAS!Y343:AH343)&gt;0,1,0)</f>
        <v>0</v>
      </c>
      <c r="AO343" s="22"/>
    </row>
    <row r="344" spans="1:41" ht="21">
      <c r="A344" s="293">
        <f ca="1">COUNT(INDEX($C:$AH,ROW(),1):INDEX($C:$AH,ROW(),$AI$3+1))</f>
        <v>0</v>
      </c>
      <c r="B344" s="302" t="str">
        <f>INDEX(Cadastro_covid[[#All],[Colunas4]],MATCH(ROW()-5,Cadastro_covid[[#All],[Colunas2]],0))</f>
        <v>Viseira plastica</v>
      </c>
      <c r="C344" s="287"/>
      <c r="D344" s="288"/>
      <c r="E344" s="288"/>
      <c r="F344" s="288"/>
      <c r="G344" s="288"/>
      <c r="H344" s="288"/>
      <c r="I344" s="288"/>
      <c r="J344" s="288"/>
      <c r="K344" s="288"/>
      <c r="L344" s="288"/>
      <c r="M344" s="288"/>
      <c r="N344" s="288"/>
      <c r="O344" s="288"/>
      <c r="P344" s="288"/>
      <c r="Q344" s="288"/>
      <c r="R344" s="288"/>
      <c r="S344" s="288"/>
      <c r="T344" s="288"/>
      <c r="U344" s="288"/>
      <c r="V344" s="288"/>
      <c r="W344" s="288"/>
      <c r="X344" s="288"/>
      <c r="Y344" s="288"/>
      <c r="Z344" s="288"/>
      <c r="AA344" s="288"/>
      <c r="AB344" s="288"/>
      <c r="AC344" s="288"/>
      <c r="AD344" s="288"/>
      <c r="AE344" s="288"/>
      <c r="AF344" s="288"/>
      <c r="AG344" s="288"/>
      <c r="AH344" s="289"/>
      <c r="AI344" s="300">
        <f ca="1">IF(Configurações!$G$10="Ligado",SUMIFS(C344:AH344,$C$4:$AH$4,"&lt;="&amp;Configurações!$C$5,$C$4:$AH$4,"&lt;="&amp;$AI$3),"")</f>
        <v>0</v>
      </c>
      <c r="AJ344" s="301" t="str">
        <f ca="1">IF(Configurações!$G$20="Ligado",IF(AI344&lt;=0,"Vazio",IF(Configurações!$G$18="Semana",IF(Configurações!$G$19="Contar",ENTRADAS!AI344/Configurações!$C$18,AI344/SUM(AK344:AN344)),AI344/A344)),"")</f>
        <v>Vazio</v>
      </c>
      <c r="AK344" s="297">
        <f t="shared" si="21"/>
        <v>0</v>
      </c>
      <c r="AL344" s="298">
        <f t="shared" si="22"/>
        <v>0</v>
      </c>
      <c r="AM344" s="298">
        <f t="shared" si="23"/>
        <v>0</v>
      </c>
      <c r="AN344" s="298">
        <f ca="1">IF(SUMIF($Y$4:$AH$4,"&lt;=" &amp; $AJ$3,ENTRADAS!Y344:AH344)&gt;0,1,0)</f>
        <v>0</v>
      </c>
      <c r="AO344" s="22"/>
    </row>
    <row r="345" spans="1:41" ht="21">
      <c r="A345" s="293">
        <f ca="1">COUNT(INDEX($C:$AH,ROW(),1):INDEX($C:$AH,ROW(),$AI$3+1))</f>
        <v>0</v>
      </c>
      <c r="B345" s="299" t="str">
        <f>INDEX(Cadastro_covid[[#All],[Colunas4]],MATCH(ROW()-5,Cadastro_covid[[#All],[Colunas2]],0))</f>
        <v>Rodo magico</v>
      </c>
      <c r="C345" s="284"/>
      <c r="D345" s="285"/>
      <c r="E345" s="285"/>
      <c r="F345" s="285"/>
      <c r="G345" s="285"/>
      <c r="H345" s="285"/>
      <c r="I345" s="285"/>
      <c r="J345" s="285"/>
      <c r="K345" s="285"/>
      <c r="L345" s="285"/>
      <c r="M345" s="285"/>
      <c r="N345" s="285"/>
      <c r="O345" s="285"/>
      <c r="P345" s="285"/>
      <c r="Q345" s="285"/>
      <c r="R345" s="285"/>
      <c r="S345" s="285"/>
      <c r="T345" s="285"/>
      <c r="U345" s="285"/>
      <c r="V345" s="285"/>
      <c r="W345" s="285"/>
      <c r="X345" s="285"/>
      <c r="Y345" s="285"/>
      <c r="Z345" s="285"/>
      <c r="AA345" s="285"/>
      <c r="AB345" s="285"/>
      <c r="AC345" s="285"/>
      <c r="AD345" s="285"/>
      <c r="AE345" s="285"/>
      <c r="AF345" s="285"/>
      <c r="AG345" s="285"/>
      <c r="AH345" s="286"/>
      <c r="AI345" s="300">
        <f ca="1">IF(Configurações!$G$10="Ligado",SUMIFS(C345:AH345,$C$4:$AH$4,"&lt;="&amp;Configurações!$C$5,$C$4:$AH$4,"&lt;="&amp;$AI$3),"")</f>
        <v>0</v>
      </c>
      <c r="AJ345" s="301" t="str">
        <f ca="1">IF(Configurações!$G$20="Ligado",IF(AI345&lt;=0,"Vazio",IF(Configurações!$G$18="Semana",IF(Configurações!$G$19="Contar",ENTRADAS!AI345/Configurações!$C$18,AI345/SUM(AK345:AN345)),AI345/A345)),"")</f>
        <v>Vazio</v>
      </c>
      <c r="AK345" s="297">
        <f t="shared" si="21"/>
        <v>0</v>
      </c>
      <c r="AL345" s="298">
        <f t="shared" si="22"/>
        <v>0</v>
      </c>
      <c r="AM345" s="298">
        <f t="shared" si="23"/>
        <v>0</v>
      </c>
      <c r="AN345" s="298">
        <f ca="1">IF(SUMIF($Y$4:$AH$4,"&lt;=" &amp; $AJ$3,ENTRADAS!Y345:AH345)&gt;0,1,0)</f>
        <v>0</v>
      </c>
      <c r="AO345" s="22"/>
    </row>
    <row r="346" spans="1:41" ht="21">
      <c r="A346" s="293">
        <f ca="1">COUNT(INDEX($C:$AH,ROW(),1):INDEX($C:$AH,ROW(),$AI$3+1))</f>
        <v>0</v>
      </c>
      <c r="B346" s="302" t="str">
        <f>INDEX(Cadastro_covid[[#All],[Colunas4]],MATCH(ROW()-5,Cadastro_covid[[#All],[Colunas2]],0))</f>
        <v>Tatepe sanitizante pediluvio 60/40</v>
      </c>
      <c r="C346" s="287"/>
      <c r="D346" s="288"/>
      <c r="E346" s="288"/>
      <c r="F346" s="288"/>
      <c r="G346" s="288"/>
      <c r="H346" s="288"/>
      <c r="I346" s="288"/>
      <c r="J346" s="288"/>
      <c r="K346" s="288"/>
      <c r="L346" s="288"/>
      <c r="M346" s="288"/>
      <c r="N346" s="288"/>
      <c r="O346" s="288"/>
      <c r="P346" s="288"/>
      <c r="Q346" s="288"/>
      <c r="R346" s="288"/>
      <c r="S346" s="288"/>
      <c r="T346" s="288"/>
      <c r="U346" s="288"/>
      <c r="V346" s="288"/>
      <c r="W346" s="288"/>
      <c r="X346" s="288"/>
      <c r="Y346" s="288"/>
      <c r="Z346" s="288"/>
      <c r="AA346" s="288"/>
      <c r="AB346" s="288"/>
      <c r="AC346" s="288"/>
      <c r="AD346" s="288"/>
      <c r="AE346" s="288"/>
      <c r="AF346" s="288"/>
      <c r="AG346" s="288"/>
      <c r="AH346" s="289"/>
      <c r="AI346" s="300">
        <f ca="1">IF(Configurações!$G$10="Ligado",SUMIFS(C346:AH346,$C$4:$AH$4,"&lt;="&amp;Configurações!$C$5,$C$4:$AH$4,"&lt;="&amp;$AI$3),"")</f>
        <v>0</v>
      </c>
      <c r="AJ346" s="301" t="str">
        <f ca="1">IF(Configurações!$G$20="Ligado",IF(AI346&lt;=0,"Vazio",IF(Configurações!$G$18="Semana",IF(Configurações!$G$19="Contar",ENTRADAS!AI346/Configurações!$C$18,AI346/SUM(AK346:AN346)),AI346/A346)),"")</f>
        <v>Vazio</v>
      </c>
      <c r="AK346" s="297">
        <f t="shared" si="21"/>
        <v>0</v>
      </c>
      <c r="AL346" s="298">
        <f t="shared" si="22"/>
        <v>0</v>
      </c>
      <c r="AM346" s="298">
        <f t="shared" si="23"/>
        <v>0</v>
      </c>
      <c r="AN346" s="298">
        <f ca="1">IF(SUMIF($Y$4:$AH$4,"&lt;=" &amp; $AJ$3,ENTRADAS!Y346:AH346)&gt;0,1,0)</f>
        <v>0</v>
      </c>
      <c r="AO346" s="22"/>
    </row>
    <row r="347" spans="1:41" ht="21.75" thickBot="1">
      <c r="A347" s="293">
        <f ca="1">COUNT(INDEX($C:$AH,ROW(),1):INDEX($C:$AH,ROW(),$AI$3+1))</f>
        <v>0</v>
      </c>
      <c r="B347" s="303" t="str">
        <f>INDEX(Cadastro_covid[[#All],[Colunas4]],MATCH(ROW()-5,Cadastro_covid[[#All],[Colunas2]],0))</f>
        <v>Dispenser plastico p/guard interfolhado</v>
      </c>
      <c r="C347" s="290"/>
      <c r="D347" s="291"/>
      <c r="E347" s="291"/>
      <c r="F347" s="291"/>
      <c r="G347" s="291"/>
      <c r="H347" s="291"/>
      <c r="I347" s="291"/>
      <c r="J347" s="291"/>
      <c r="K347" s="291"/>
      <c r="L347" s="291"/>
      <c r="M347" s="291"/>
      <c r="N347" s="291"/>
      <c r="O347" s="291"/>
      <c r="P347" s="291"/>
      <c r="Q347" s="291"/>
      <c r="R347" s="291"/>
      <c r="S347" s="291"/>
      <c r="T347" s="291"/>
      <c r="U347" s="291"/>
      <c r="V347" s="291"/>
      <c r="W347" s="291"/>
      <c r="X347" s="291"/>
      <c r="Y347" s="291"/>
      <c r="Z347" s="291"/>
      <c r="AA347" s="291"/>
      <c r="AB347" s="291"/>
      <c r="AC347" s="291"/>
      <c r="AD347" s="291"/>
      <c r="AE347" s="291"/>
      <c r="AF347" s="291"/>
      <c r="AG347" s="291"/>
      <c r="AH347" s="292"/>
      <c r="AI347" s="300">
        <f ca="1">IF(Configurações!$G$10="Ligado",SUMIFS(C347:AH347,$C$4:$AH$4,"&lt;="&amp;Configurações!$C$5,$C$4:$AH$4,"&lt;="&amp;$AI$3),"")</f>
        <v>0</v>
      </c>
      <c r="AJ347" s="304" t="str">
        <f ca="1">IF(Configurações!$G$20="Ligado",IF(AI347&lt;=0,"Vazio",IF(Configurações!$G$18="Semana",IF(Configurações!$G$19="Contar",ENTRADAS!AI347/Configurações!$C$18,AI347/SUM(AK347:AN347)),AI347/A347)),"")</f>
        <v>Vazio</v>
      </c>
      <c r="AK347" s="297">
        <f t="shared" si="21"/>
        <v>0</v>
      </c>
      <c r="AL347" s="298">
        <f t="shared" si="22"/>
        <v>0</v>
      </c>
      <c r="AM347" s="298">
        <f t="shared" si="23"/>
        <v>0</v>
      </c>
      <c r="AN347" s="298">
        <f ca="1">IF(SUMIF($Y$4:$AH$4,"&lt;=" &amp; $AJ$3,ENTRADAS!Y347:AH347)&gt;0,1,0)</f>
        <v>0</v>
      </c>
      <c r="AO347" s="22"/>
    </row>
  </sheetData>
  <sheetProtection password="C6E3" sheet="1" objects="1" scenarios="1" selectLockedCells="1"/>
  <mergeCells count="9">
    <mergeCell ref="A4:A5"/>
    <mergeCell ref="B5:AJ5"/>
    <mergeCell ref="B139:AJ139"/>
    <mergeCell ref="B170:AJ170"/>
    <mergeCell ref="B331:AJ331"/>
    <mergeCell ref="B317:AJ317"/>
    <mergeCell ref="B243:AJ243"/>
    <mergeCell ref="B175:AJ175"/>
    <mergeCell ref="B182:AJ182"/>
  </mergeCells>
  <conditionalFormatting sqref="AI181:AI182 AI174:AI175">
    <cfRule type="cellIs" dxfId="1034" priority="134" operator="lessThan">
      <formula>0</formula>
    </cfRule>
  </conditionalFormatting>
  <conditionalFormatting sqref="D4:J4">
    <cfRule type="cellIs" dxfId="1033" priority="133" operator="equal">
      <formula>$B$3</formula>
    </cfRule>
  </conditionalFormatting>
  <conditionalFormatting sqref="K4:Q4">
    <cfRule type="cellIs" dxfId="1032" priority="132" operator="equal">
      <formula>$B$3+(7*1)</formula>
    </cfRule>
  </conditionalFormatting>
  <conditionalFormatting sqref="R4:X4">
    <cfRule type="cellIs" dxfId="1031" priority="131" operator="equal">
      <formula>$B$3+(7*2)</formula>
    </cfRule>
  </conditionalFormatting>
  <conditionalFormatting sqref="Y4:AE4">
    <cfRule type="cellIs" dxfId="1030" priority="130" operator="equal">
      <formula>$B$3+(7*3)</formula>
    </cfRule>
  </conditionalFormatting>
  <conditionalFormatting sqref="D4:AH4">
    <cfRule type="cellIs" dxfId="1029" priority="121" operator="equal">
      <formula>$AI$3</formula>
    </cfRule>
  </conditionalFormatting>
  <conditionalFormatting sqref="B171:B172">
    <cfRule type="expression" dxfId="1028" priority="99">
      <formula>CELL("lin")=ROW()</formula>
    </cfRule>
  </conditionalFormatting>
  <conditionalFormatting sqref="AJ3">
    <cfRule type="cellIs" dxfId="1027" priority="149" operator="equal">
      <formula>$B$7</formula>
    </cfRule>
  </conditionalFormatting>
  <conditionalFormatting sqref="B6:B137 B140:B168 B171:B173 B176:B180 B183:B241 B244:B315 B318:B329">
    <cfRule type="expression" dxfId="1026" priority="29">
      <formula>CELL("lin")=ROW()</formula>
    </cfRule>
  </conditionalFormatting>
  <conditionalFormatting sqref="AI243">
    <cfRule type="cellIs" dxfId="1025" priority="14" operator="lessThan">
      <formula>0</formula>
    </cfRule>
  </conditionalFormatting>
  <conditionalFormatting sqref="A6:A137 A140:A168 A171:A173 A176:A180 A183:A241 A244:A315 A318:A329">
    <cfRule type="cellIs" dxfId="1024" priority="13" operator="greaterThan">
      <formula>$B$3*70/100</formula>
    </cfRule>
    <cfRule type="cellIs" dxfId="1023" priority="12" operator="lessThan">
      <formula>$B$3*10/100</formula>
    </cfRule>
    <cfRule type="cellIs" dxfId="1022" priority="11" operator="between">
      <formula>$B$3*50/100</formula>
      <formula>$B$3*70/100</formula>
    </cfRule>
    <cfRule type="cellIs" dxfId="1021" priority="10" operator="between">
      <formula>$B$3*10/100</formula>
      <formula>$B$3*50/100</formula>
    </cfRule>
  </conditionalFormatting>
  <conditionalFormatting sqref="B332:B347">
    <cfRule type="expression" dxfId="1020" priority="9">
      <formula>CELL("lin")=ROW()</formula>
    </cfRule>
  </conditionalFormatting>
  <conditionalFormatting sqref="A332">
    <cfRule type="cellIs" dxfId="1019" priority="5" operator="between">
      <formula>$B$3*10/100</formula>
      <formula>$B$3*50/100</formula>
    </cfRule>
    <cfRule type="cellIs" dxfId="1018" priority="6" operator="between">
      <formula>$B$3*50/100</formula>
      <formula>$B$3*70/100</formula>
    </cfRule>
    <cfRule type="cellIs" dxfId="1017" priority="7" operator="lessThan">
      <formula>$B$3*10/100</formula>
    </cfRule>
    <cfRule type="cellIs" dxfId="1016" priority="8" operator="greaterThan">
      <formula>$B$3*70/100</formula>
    </cfRule>
  </conditionalFormatting>
  <conditionalFormatting sqref="A333:A347">
    <cfRule type="cellIs" dxfId="1015" priority="1" operator="between">
      <formula>$B$3*10/100</formula>
      <formula>$B$3*50/100</formula>
    </cfRule>
    <cfRule type="cellIs" dxfId="1014" priority="2" operator="between">
      <formula>$B$3*50/100</formula>
      <formula>$B$3*70/100</formula>
    </cfRule>
    <cfRule type="cellIs" dxfId="1013" priority="3" operator="lessThan">
      <formula>$B$3*10/100</formula>
    </cfRule>
    <cfRule type="cellIs" dxfId="1012" priority="4" operator="greaterThan">
      <formula>$B$3*70/100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/>
  <dimension ref="B1:IM242"/>
  <sheetViews>
    <sheetView showGridLines="0" workbookViewId="0">
      <pane ySplit="1" topLeftCell="A176" activePane="bottomLeft" state="frozen"/>
      <selection activeCell="O64" sqref="O64"/>
      <selection pane="bottomLeft" activeCell="G1" sqref="G1"/>
    </sheetView>
  </sheetViews>
  <sheetFormatPr defaultRowHeight="14.25"/>
  <cols>
    <col min="1" max="1" width="9.140625" style="1"/>
    <col min="2" max="2" width="52.28515625" style="1" customWidth="1"/>
    <col min="3" max="3" width="13.5703125" style="1" customWidth="1"/>
    <col min="4" max="4" width="13.5703125" style="150" customWidth="1"/>
    <col min="5" max="6" width="9.140625" style="1"/>
    <col min="7" max="7" width="4.42578125" style="1" bestFit="1" customWidth="1"/>
    <col min="8" max="8" width="2.85546875" style="1" bestFit="1" customWidth="1"/>
    <col min="9" max="10" width="9.140625" style="1"/>
    <col min="11" max="11" width="3.28515625" style="1" bestFit="1" customWidth="1"/>
    <col min="12" max="12" width="4.85546875" style="1" bestFit="1" customWidth="1"/>
    <col min="13" max="16384" width="9.140625" style="1"/>
  </cols>
  <sheetData>
    <row r="1" spans="2:12" ht="21" thickBot="1">
      <c r="B1" s="3" t="s">
        <v>2</v>
      </c>
      <c r="C1" s="10" t="s">
        <v>119</v>
      </c>
      <c r="D1" s="57" t="s">
        <v>111</v>
      </c>
      <c r="E1" s="477" t="s">
        <v>199</v>
      </c>
      <c r="F1" s="478"/>
      <c r="G1" s="157">
        <v>15</v>
      </c>
      <c r="H1" s="156" t="s">
        <v>201</v>
      </c>
      <c r="I1" s="475" t="s">
        <v>198</v>
      </c>
      <c r="J1" s="476"/>
      <c r="K1" s="158">
        <v>7</v>
      </c>
      <c r="L1" s="58" t="s">
        <v>200</v>
      </c>
    </row>
    <row r="2" spans="2:12" ht="18" customHeight="1">
      <c r="B2" s="480" t="s">
        <v>0</v>
      </c>
      <c r="C2" s="481"/>
      <c r="D2" s="482"/>
    </row>
    <row r="3" spans="2:12">
      <c r="B3" s="483" t="s">
        <v>1</v>
      </c>
      <c r="C3" s="484"/>
      <c r="D3" s="485"/>
    </row>
    <row r="4" spans="2:12" ht="15" thickBot="1">
      <c r="B4" s="486" t="s">
        <v>54</v>
      </c>
      <c r="C4" s="487"/>
      <c r="D4" s="488"/>
    </row>
    <row r="5" spans="2:12" ht="30.75" thickBot="1">
      <c r="B5" s="489" t="s">
        <v>197</v>
      </c>
      <c r="C5" s="489"/>
      <c r="D5" s="489"/>
    </row>
    <row r="6" spans="2:12" ht="24" thickBot="1">
      <c r="B6" s="458" t="s">
        <v>55</v>
      </c>
      <c r="C6" s="459"/>
      <c r="D6" s="460"/>
      <c r="G6" s="2"/>
    </row>
    <row r="7" spans="2:12" ht="18.75">
      <c r="B7" s="94" t="str">
        <f>INDEX(Cadastro_Mantimentos[[#All],[Colunas4]],MATCH(ROW()-6,Cadastro_Mantimentos[[#All],[Colunas2]],0))</f>
        <v>Abacaxi Em Calda</v>
      </c>
      <c r="C7" s="120">
        <f ca="1">IF(BAIXAS!AJ6="Vazio","Info",ROUNDUP(BAIXAS!AI6/DAY(Configurações!$C$5)*'Estoque Mínimo'!$K$1*(1+('Estoque Mínimo'!$G$1/100)),0))</f>
        <v>2</v>
      </c>
      <c r="D7" s="92" t="str">
        <f>IF(ESTOQUE!E6="","",ESTOQUE!E6)</f>
        <v>UND</v>
      </c>
    </row>
    <row r="8" spans="2:12" ht="18.75">
      <c r="B8" s="94" t="str">
        <f>INDEX(Cadastro_Mantimentos[[#All],[Colunas4]],MATCH(ROW()-6,Cadastro_Mantimentos[[#All],[Colunas2]],0))</f>
        <v>Açafrão</v>
      </c>
      <c r="C8" s="120" t="str">
        <f ca="1">IF(BAIXAS!AJ7="Vazio","Info",ROUNDUP(BAIXAS!AI7/DAY(Configurações!$C$5)*'Estoque Mínimo'!$K$1*(1+('Estoque Mínimo'!$G$1/100)),0))</f>
        <v>Info</v>
      </c>
      <c r="D8" s="92" t="str">
        <f>IF(ESTOQUE!E7="","",ESTOQUE!E7)</f>
        <v>KG</v>
      </c>
    </row>
    <row r="9" spans="2:12" ht="18.75">
      <c r="B9" s="94" t="str">
        <f>INDEX(Cadastro_Mantimentos[[#All],[Colunas4]],MATCH(ROW()-6,Cadastro_Mantimentos[[#All],[Colunas2]],0))</f>
        <v>Achocolatado</v>
      </c>
      <c r="C9" s="120">
        <f ca="1">IF(BAIXAS!AJ8="Vazio","Info",ROUNDUP(BAIXAS!AI8/DAY(Configurações!$C$5)*'Estoque Mínimo'!$K$1*(1+('Estoque Mínimo'!$G$1/100)),0))</f>
        <v>1</v>
      </c>
      <c r="D9" s="92" t="str">
        <f>IF(ESTOQUE!E8="","",ESTOQUE!E8)</f>
        <v>KG</v>
      </c>
    </row>
    <row r="10" spans="2:12" ht="18.75">
      <c r="B10" s="94" t="str">
        <f>INDEX(Cadastro_Mantimentos[[#All],[Colunas4]],MATCH(ROW()-6,Cadastro_Mantimentos[[#All],[Colunas2]],0))</f>
        <v>Açúcar</v>
      </c>
      <c r="C10" s="120">
        <f ca="1">IF(BAIXAS!AJ9="Vazio","Info",ROUNDUP(BAIXAS!AI9/DAY(Configurações!$C$5)*'Estoque Mínimo'!$K$1*(1+('Estoque Mínimo'!$G$1/100)),0))</f>
        <v>9</v>
      </c>
      <c r="D10" s="92" t="str">
        <f>IF(ESTOQUE!E9="","",ESTOQUE!E9)</f>
        <v>KG</v>
      </c>
    </row>
    <row r="11" spans="2:12" ht="18.75">
      <c r="B11" s="94" t="str">
        <f>INDEX(Cadastro_Mantimentos[[#All],[Colunas4]],MATCH(ROW()-6,Cadastro_Mantimentos[[#All],[Colunas2]],0))</f>
        <v>Acucar Sache</v>
      </c>
      <c r="C11" s="120">
        <f ca="1">IF(BAIXAS!AJ10="Vazio","Info",ROUNDUP(BAIXAS!AI10/DAY(Configurações!$C$5)*'Estoque Mínimo'!$K$1*(1+('Estoque Mínimo'!$G$1/100)),0))</f>
        <v>1</v>
      </c>
      <c r="D11" s="92" t="str">
        <f>IF(ESTOQUE!E10="","",ESTOQUE!E10)</f>
        <v>CX</v>
      </c>
    </row>
    <row r="12" spans="2:12" ht="18.75">
      <c r="B12" s="94" t="str">
        <f>INDEX(Cadastro_Mantimentos[[#All],[Colunas4]],MATCH(ROW()-6,Cadastro_Mantimentos[[#All],[Colunas2]],0))</f>
        <v>Adoçante</v>
      </c>
      <c r="C12" s="120" t="str">
        <f ca="1">IF(BAIXAS!AJ11="Vazio","Info",ROUNDUP(BAIXAS!AI11/DAY(Configurações!$C$5)*'Estoque Mínimo'!$K$1*(1+('Estoque Mínimo'!$G$1/100)),0))</f>
        <v>Info</v>
      </c>
      <c r="D12" s="92" t="str">
        <f>IF(ESTOQUE!E11="","",ESTOQUE!E11)</f>
        <v>UND</v>
      </c>
    </row>
    <row r="13" spans="2:12" ht="18.75">
      <c r="B13" s="94" t="str">
        <f>INDEX(Cadastro_Mantimentos[[#All],[Colunas4]],MATCH(ROW()-6,Cadastro_Mantimentos[[#All],[Colunas2]],0))</f>
        <v>Alho</v>
      </c>
      <c r="C13" s="120">
        <f ca="1">IF(BAIXAS!AJ12="Vazio","Info",ROUNDUP(BAIXAS!AI12/DAY(Configurações!$C$5)*'Estoque Mínimo'!$K$1*(1+('Estoque Mínimo'!$G$1/100)),0))</f>
        <v>5</v>
      </c>
      <c r="D13" s="92" t="str">
        <f>IF(ESTOQUE!E12="","",ESTOQUE!E12)</f>
        <v>UND</v>
      </c>
    </row>
    <row r="14" spans="2:12" ht="18.75">
      <c r="B14" s="94" t="str">
        <f>INDEX(Cadastro_Mantimentos[[#All],[Colunas4]],MATCH(ROW()-6,Cadastro_Mantimentos[[#All],[Colunas2]],0))</f>
        <v>Amaciante</v>
      </c>
      <c r="C14" s="120">
        <f ca="1">IF(BAIXAS!AJ13="Vazio","Info",ROUNDUP(BAIXAS!AI13/DAY(Configurações!$C$5)*'Estoque Mínimo'!$K$1*(1+('Estoque Mínimo'!$G$1/100)),0))</f>
        <v>1</v>
      </c>
      <c r="D14" s="92" t="str">
        <f>IF(ESTOQUE!E13="","",ESTOQUE!E13)</f>
        <v>KG</v>
      </c>
    </row>
    <row r="15" spans="2:12" ht="18.75">
      <c r="B15" s="94" t="str">
        <f>INDEX(Cadastro_Mantimentos[[#All],[Colunas4]],MATCH(ROW()-6,Cadastro_Mantimentos[[#All],[Colunas2]],0))</f>
        <v>Ameixa</v>
      </c>
      <c r="C15" s="120">
        <f ca="1">IF(BAIXAS!AJ14="Vazio","Info",ROUNDUP(BAIXAS!AI14/DAY(Configurações!$C$5)*'Estoque Mínimo'!$K$1*(1+('Estoque Mínimo'!$G$1/100)),0))</f>
        <v>1</v>
      </c>
      <c r="D15" s="92" t="str">
        <f>IF(ESTOQUE!E14="","",ESTOQUE!E14)</f>
        <v>KG</v>
      </c>
    </row>
    <row r="16" spans="2:12" ht="18.75">
      <c r="B16" s="94" t="str">
        <f>INDEX(Cadastro_Mantimentos[[#All],[Colunas4]],MATCH(ROW()-6,Cadastro_Mantimentos[[#All],[Colunas2]],0))</f>
        <v>Amendoa sem casca</v>
      </c>
      <c r="C16" s="120" t="str">
        <f ca="1">IF(BAIXAS!AJ15="Vazio","Info",ROUNDUP(BAIXAS!AI15/DAY(Configurações!$C$5)*'Estoque Mínimo'!$K$1*(1+('Estoque Mínimo'!$G$1/100)),0))</f>
        <v>Info</v>
      </c>
      <c r="D16" s="92" t="str">
        <f>IF(ESTOQUE!E15="","",ESTOQUE!E15)</f>
        <v>KG</v>
      </c>
    </row>
    <row r="17" spans="2:4" ht="18.75">
      <c r="B17" s="94" t="str">
        <f>INDEX(Cadastro_Mantimentos[[#All],[Colunas4]],MATCH(ROW()-6,Cadastro_Mantimentos[[#All],[Colunas2]],0))</f>
        <v>Amendoin</v>
      </c>
      <c r="C17" s="120" t="str">
        <f ca="1">IF(BAIXAS!AJ16="Vazio","Info",ROUNDUP(BAIXAS!AI16/DAY(Configurações!$C$5)*'Estoque Mínimo'!$K$1*(1+('Estoque Mínimo'!$G$1/100)),0))</f>
        <v>Info</v>
      </c>
      <c r="D17" s="92" t="str">
        <f>IF(ESTOQUE!E16="","",ESTOQUE!E16)</f>
        <v>KG</v>
      </c>
    </row>
    <row r="18" spans="2:4" ht="18.75">
      <c r="B18" s="94" t="str">
        <f>INDEX(Cadastro_Mantimentos[[#All],[Colunas4]],MATCH(ROW()-6,Cadastro_Mantimentos[[#All],[Colunas2]],0))</f>
        <v>Amido De Milho</v>
      </c>
      <c r="C18" s="120">
        <f ca="1">IF(BAIXAS!AJ17="Vazio","Info",ROUNDUP(BAIXAS!AI17/DAY(Configurações!$C$5)*'Estoque Mínimo'!$K$1*(1+('Estoque Mínimo'!$G$1/100)),0))</f>
        <v>3</v>
      </c>
      <c r="D18" s="92" t="str">
        <f>IF(ESTOQUE!E17="","",ESTOQUE!E17)</f>
        <v>KG</v>
      </c>
    </row>
    <row r="19" spans="2:4" ht="18.75">
      <c r="B19" s="94" t="str">
        <f>INDEX(Cadastro_Mantimentos[[#All],[Colunas4]],MATCH(ROW()-6,Cadastro_Mantimentos[[#All],[Colunas2]],0))</f>
        <v>Arroz</v>
      </c>
      <c r="C19" s="120">
        <f ca="1">IF(BAIXAS!AJ18="Vazio","Info",ROUNDUP(BAIXAS!AI18/DAY(Configurações!$C$5)*'Estoque Mínimo'!$K$1*(1+('Estoque Mínimo'!$G$1/100)),0))</f>
        <v>34</v>
      </c>
      <c r="D19" s="92" t="str">
        <f>IF(ESTOQUE!E18="","",ESTOQUE!E18)</f>
        <v>KG</v>
      </c>
    </row>
    <row r="20" spans="2:4" ht="18.75">
      <c r="B20" s="94" t="str">
        <f>INDEX(Cadastro_Mantimentos[[#All],[Colunas4]],MATCH(ROW()-6,Cadastro_Mantimentos[[#All],[Colunas2]],0))</f>
        <v>Atum</v>
      </c>
      <c r="C20" s="120">
        <f ca="1">IF(BAIXAS!AJ19="Vazio","Info",ROUNDUP(BAIXAS!AI19/DAY(Configurações!$C$5)*'Estoque Mínimo'!$K$1*(1+('Estoque Mínimo'!$G$1/100)),0))</f>
        <v>1</v>
      </c>
      <c r="D20" s="92" t="str">
        <f>IF(ESTOQUE!E19="","",ESTOQUE!E19)</f>
        <v>KG</v>
      </c>
    </row>
    <row r="21" spans="2:4" ht="18.75">
      <c r="B21" s="94" t="str">
        <f>INDEX(Cadastro_Mantimentos[[#All],[Colunas4]],MATCH(ROW()-6,Cadastro_Mantimentos[[#All],[Colunas2]],0))</f>
        <v>Azeite</v>
      </c>
      <c r="C21" s="120">
        <f ca="1">IF(BAIXAS!AJ20="Vazio","Info",ROUNDUP(BAIXAS!AI20/DAY(Configurações!$C$5)*'Estoque Mínimo'!$K$1*(1+('Estoque Mínimo'!$G$1/100)),0))</f>
        <v>1</v>
      </c>
      <c r="D21" s="92" t="str">
        <f>IF(ESTOQUE!E20="","",ESTOQUE!E20)</f>
        <v>L</v>
      </c>
    </row>
    <row r="22" spans="2:4" ht="18.75">
      <c r="B22" s="94" t="str">
        <f>INDEX(Cadastro_Mantimentos[[#All],[Colunas4]],MATCH(ROW()-6,Cadastro_Mantimentos[[#All],[Colunas2]],0))</f>
        <v>Azeitona Verde Fatiada</v>
      </c>
      <c r="C22" s="120">
        <f ca="1">IF(BAIXAS!AJ21="Vazio","Info",ROUNDUP(BAIXAS!AI21/DAY(Configurações!$C$5)*'Estoque Mínimo'!$K$1*(1+('Estoque Mínimo'!$G$1/100)),0))</f>
        <v>3</v>
      </c>
      <c r="D22" s="92" t="str">
        <f>IF(ESTOQUE!E21="","",ESTOQUE!E21)</f>
        <v>KG</v>
      </c>
    </row>
    <row r="23" spans="2:4" ht="18.75">
      <c r="B23" s="94" t="str">
        <f>INDEX(Cadastro_Mantimentos[[#All],[Colunas4]],MATCH(ROW()-6,Cadastro_Mantimentos[[#All],[Colunas2]],0))</f>
        <v>Batata Chips</v>
      </c>
      <c r="C23" s="120">
        <f ca="1">IF(BAIXAS!AJ22="Vazio","Info",ROUNDUP(BAIXAS!AI22/DAY(Configurações!$C$5)*'Estoque Mínimo'!$K$1*(1+('Estoque Mínimo'!$G$1/100)),0))</f>
        <v>1</v>
      </c>
      <c r="D23" s="92" t="str">
        <f>IF(ESTOQUE!E22="","",ESTOQUE!E22)</f>
        <v>KG</v>
      </c>
    </row>
    <row r="24" spans="2:4" ht="18.75">
      <c r="B24" s="94" t="str">
        <f>INDEX(Cadastro_Mantimentos[[#All],[Colunas4]],MATCH(ROW()-6,Cadastro_Mantimentos[[#All],[Colunas2]],0))</f>
        <v>Batata Palha</v>
      </c>
      <c r="C24" s="120">
        <f ca="1">IF(BAIXAS!AJ23="Vazio","Info",ROUNDUP(BAIXAS!AI23/DAY(Configurações!$C$5)*'Estoque Mínimo'!$K$1*(1+('Estoque Mínimo'!$G$1/100)),0))</f>
        <v>1</v>
      </c>
      <c r="D24" s="92" t="str">
        <f>IF(ESTOQUE!E23="","",ESTOQUE!E23)</f>
        <v>KG</v>
      </c>
    </row>
    <row r="25" spans="2:4" ht="18.75">
      <c r="B25" s="94" t="str">
        <f>INDEX(Cadastro_Mantimentos[[#All],[Colunas4]],MATCH(ROW()-6,Cadastro_Mantimentos[[#All],[Colunas2]],0))</f>
        <v>Batata Palito</v>
      </c>
      <c r="C25" s="120">
        <f ca="1">IF(BAIXAS!AJ24="Vazio","Info",ROUNDUP(BAIXAS!AI24/DAY(Configurações!$C$5)*'Estoque Mínimo'!$K$1*(1+('Estoque Mínimo'!$G$1/100)),0))</f>
        <v>10</v>
      </c>
      <c r="D25" s="92" t="str">
        <f>IF(ESTOQUE!E24="","",ESTOQUE!E24)</f>
        <v>KG</v>
      </c>
    </row>
    <row r="26" spans="2:4" ht="18.75">
      <c r="B26" s="94" t="str">
        <f>INDEX(Cadastro_Mantimentos[[#All],[Colunas4]],MATCH(ROW()-6,Cadastro_Mantimentos[[#All],[Colunas2]],0))</f>
        <v>Bolacha Champagne</v>
      </c>
      <c r="C26" s="120">
        <f ca="1">IF(BAIXAS!AJ25="Vazio","Info",ROUNDUP(BAIXAS!AI25/DAY(Configurações!$C$5)*'Estoque Mínimo'!$K$1*(1+('Estoque Mínimo'!$G$1/100)),0))</f>
        <v>9</v>
      </c>
      <c r="D26" s="92" t="str">
        <f>IF(ESTOQUE!E25="","",ESTOQUE!E25)</f>
        <v>UND</v>
      </c>
    </row>
    <row r="27" spans="2:4" ht="18.75">
      <c r="B27" s="94" t="str">
        <f>INDEX(Cadastro_Mantimentos[[#All],[Colunas4]],MATCH(ROW()-6,Cadastro_Mantimentos[[#All],[Colunas2]],0))</f>
        <v>Bolacha Salgada</v>
      </c>
      <c r="C27" s="120">
        <f ca="1">IF(BAIXAS!AJ26="Vazio","Info",ROUNDUP(BAIXAS!AI26/DAY(Configurações!$C$5)*'Estoque Mínimo'!$K$1*(1+('Estoque Mínimo'!$G$1/100)),0))</f>
        <v>1</v>
      </c>
      <c r="D27" s="92" t="str">
        <f>IF(ESTOQUE!E26="","",ESTOQUE!E26)</f>
        <v>UND</v>
      </c>
    </row>
    <row r="28" spans="2:4" ht="18.75">
      <c r="B28" s="94" t="str">
        <f>INDEX(Cadastro_Mantimentos[[#All],[Colunas4]],MATCH(ROW()-6,Cadastro_Mantimentos[[#All],[Colunas2]],0))</f>
        <v>Café</v>
      </c>
      <c r="C28" s="120">
        <f ca="1">IF(BAIXAS!AJ27="Vazio","Info",ROUNDUP(BAIXAS!AI27/DAY(Configurações!$C$5)*'Estoque Mínimo'!$K$1*(1+('Estoque Mínimo'!$G$1/100)),0))</f>
        <v>5</v>
      </c>
      <c r="D28" s="92" t="str">
        <f>IF(ESTOQUE!E27="","",ESTOQUE!E27)</f>
        <v>KG</v>
      </c>
    </row>
    <row r="29" spans="2:4" ht="18.75">
      <c r="B29" s="94" t="str">
        <f>INDEX(Cadastro_Mantimentos[[#All],[Colunas4]],MATCH(ROW()-6,Cadastro_Mantimentos[[#All],[Colunas2]],0))</f>
        <v>Caldo De Carne</v>
      </c>
      <c r="C29" s="120">
        <f ca="1">IF(BAIXAS!AJ28="Vazio","Info",ROUNDUP(BAIXAS!AI28/DAY(Configurações!$C$5)*'Estoque Mínimo'!$K$1*(1+('Estoque Mínimo'!$G$1/100)),0))</f>
        <v>2</v>
      </c>
      <c r="D29" s="92" t="str">
        <f>IF(ESTOQUE!E28="","",ESTOQUE!E28)</f>
        <v>KG</v>
      </c>
    </row>
    <row r="30" spans="2:4" ht="18.75">
      <c r="B30" s="94" t="str">
        <f>INDEX(Cadastro_Mantimentos[[#All],[Colunas4]],MATCH(ROW()-6,Cadastro_Mantimentos[[#All],[Colunas2]],0))</f>
        <v>Caldo De Legumes</v>
      </c>
      <c r="C30" s="120">
        <f ca="1">IF(BAIXAS!AJ29="Vazio","Info",ROUNDUP(BAIXAS!AI29/DAY(Configurações!$C$5)*'Estoque Mínimo'!$K$1*(1+('Estoque Mínimo'!$G$1/100)),0))</f>
        <v>1</v>
      </c>
      <c r="D30" s="92" t="str">
        <f>IF(ESTOQUE!E29="","",ESTOQUE!E29)</f>
        <v>KG</v>
      </c>
    </row>
    <row r="31" spans="2:4" ht="18.75">
      <c r="B31" s="94" t="str">
        <f>INDEX(Cadastro_Mantimentos[[#All],[Colunas4]],MATCH(ROW()-6,Cadastro_Mantimentos[[#All],[Colunas2]],0))</f>
        <v xml:space="preserve">Caldo De Peixe </v>
      </c>
      <c r="C31" s="120" t="str">
        <f ca="1">IF(BAIXAS!AJ30="Vazio","Info",ROUNDUP(BAIXAS!AI30/DAY(Configurações!$C$5)*'Estoque Mínimo'!$K$1*(1+('Estoque Mínimo'!$G$1/100)),0))</f>
        <v>Info</v>
      </c>
      <c r="D31" s="92" t="str">
        <f>IF(ESTOQUE!E30="","",ESTOQUE!E30)</f>
        <v>KG</v>
      </c>
    </row>
    <row r="32" spans="2:4" ht="18.75">
      <c r="B32" s="94" t="str">
        <f>INDEX(Cadastro_Mantimentos[[#All],[Colunas4]],MATCH(ROW()-6,Cadastro_Mantimentos[[#All],[Colunas2]],0))</f>
        <v>Caldo Galinha</v>
      </c>
      <c r="C32" s="120">
        <f ca="1">IF(BAIXAS!AJ31="Vazio","Info",ROUNDUP(BAIXAS!AI31/DAY(Configurações!$C$5)*'Estoque Mínimo'!$K$1*(1+('Estoque Mínimo'!$G$1/100)),0))</f>
        <v>1</v>
      </c>
      <c r="D32" s="92" t="str">
        <f>IF(ESTOQUE!E31="","",ESTOQUE!E31)</f>
        <v>KG</v>
      </c>
    </row>
    <row r="33" spans="2:4" ht="18.75">
      <c r="B33" s="94" t="str">
        <f>INDEX(Cadastro_Mantimentos[[#All],[Colunas4]],MATCH(ROW()-6,Cadastro_Mantimentos[[#All],[Colunas2]],0))</f>
        <v>Canela Em Casca</v>
      </c>
      <c r="C33" s="120" t="str">
        <f ca="1">IF(BAIXAS!AJ32="Vazio","Info",ROUNDUP(BAIXAS!AI32/DAY(Configurações!$C$5)*'Estoque Mínimo'!$K$1*(1+('Estoque Mínimo'!$G$1/100)),0))</f>
        <v>Info</v>
      </c>
      <c r="D33" s="92" t="str">
        <f>IF(ESTOQUE!E32="","",ESTOQUE!E32)</f>
        <v>KG</v>
      </c>
    </row>
    <row r="34" spans="2:4" ht="18.75">
      <c r="B34" s="94" t="str">
        <f>INDEX(Cadastro_Mantimentos[[#All],[Colunas4]],MATCH(ROW()-6,Cadastro_Mantimentos[[#All],[Colunas2]],0))</f>
        <v>Canela Em Pó</v>
      </c>
      <c r="C34" s="120">
        <f ca="1">IF(BAIXAS!AJ33="Vazio","Info",ROUNDUP(BAIXAS!AI33/DAY(Configurações!$C$5)*'Estoque Mínimo'!$K$1*(1+('Estoque Mínimo'!$G$1/100)),0))</f>
        <v>1</v>
      </c>
      <c r="D34" s="92" t="str">
        <f>IF(ESTOQUE!E33="","",ESTOQUE!E33)</f>
        <v>KG</v>
      </c>
    </row>
    <row r="35" spans="2:4" ht="18.75">
      <c r="B35" s="94" t="str">
        <f>INDEX(Cadastro_Mantimentos[[#All],[Colunas4]],MATCH(ROW()-6,Cadastro_Mantimentos[[#All],[Colunas2]],0))</f>
        <v>Canelone</v>
      </c>
      <c r="C35" s="120" t="str">
        <f ca="1">IF(BAIXAS!AJ34="Vazio","Info",ROUNDUP(BAIXAS!AI34/DAY(Configurações!$C$5)*'Estoque Mínimo'!$K$1*(1+('Estoque Mínimo'!$G$1/100)),0))</f>
        <v>Info</v>
      </c>
      <c r="D35" s="92" t="str">
        <f>IF(ESTOQUE!E34="","",ESTOQUE!E34)</f>
        <v/>
      </c>
    </row>
    <row r="36" spans="2:4" ht="18.75">
      <c r="B36" s="94" t="str">
        <f>INDEX(Cadastro_Mantimentos[[#All],[Colunas4]],MATCH(ROW()-6,Cadastro_Mantimentos[[#All],[Colunas2]],0))</f>
        <v>Chá De Camomila</v>
      </c>
      <c r="C36" s="120" t="str">
        <f ca="1">IF(BAIXAS!AJ35="Vazio","Info",ROUNDUP(BAIXAS!AI35/DAY(Configurações!$C$5)*'Estoque Mínimo'!$K$1*(1+('Estoque Mínimo'!$G$1/100)),0))</f>
        <v>Info</v>
      </c>
      <c r="D36" s="92" t="str">
        <f>IF(ESTOQUE!E35="","",ESTOQUE!E35)</f>
        <v>CX</v>
      </c>
    </row>
    <row r="37" spans="2:4" ht="18.75">
      <c r="B37" s="94" t="str">
        <f>INDEX(Cadastro_Mantimentos[[#All],[Colunas4]],MATCH(ROW()-6,Cadastro_Mantimentos[[#All],[Colunas2]],0))</f>
        <v>Chá De Camomila</v>
      </c>
      <c r="C37" s="120" t="str">
        <f ca="1">IF(BAIXAS!AJ36="Vazio","Info",ROUNDUP(BAIXAS!AI36/DAY(Configurações!$C$5)*'Estoque Mínimo'!$K$1*(1+('Estoque Mínimo'!$G$1/100)),0))</f>
        <v>Info</v>
      </c>
      <c r="D37" s="92" t="str">
        <f>IF(ESTOQUE!E36="","",ESTOQUE!E36)</f>
        <v>KG</v>
      </c>
    </row>
    <row r="38" spans="2:4" ht="18.75">
      <c r="B38" s="94" t="str">
        <f>INDEX(Cadastro_Mantimentos[[#All],[Colunas4]],MATCH(ROW()-6,Cadastro_Mantimentos[[#All],[Colunas2]],0))</f>
        <v>Chá De Erva Doce</v>
      </c>
      <c r="C38" s="120">
        <f ca="1">IF(BAIXAS!AJ37="Vazio","Info",ROUNDUP(BAIXAS!AI37/DAY(Configurações!$C$5)*'Estoque Mínimo'!$K$1*(1+('Estoque Mínimo'!$G$1/100)),0))</f>
        <v>1</v>
      </c>
      <c r="D38" s="92" t="str">
        <f>IF(ESTOQUE!E37="","",ESTOQUE!E37)</f>
        <v>CX</v>
      </c>
    </row>
    <row r="39" spans="2:4" ht="18.75">
      <c r="B39" s="94" t="str">
        <f>INDEX(Cadastro_Mantimentos[[#All],[Colunas4]],MATCH(ROW()-6,Cadastro_Mantimentos[[#All],[Colunas2]],0))</f>
        <v>Chá de Hibisco</v>
      </c>
      <c r="C39" s="120" t="str">
        <f ca="1">IF(BAIXAS!AJ38="Vazio","Info",ROUNDUP(BAIXAS!AI38/DAY(Configurações!$C$5)*'Estoque Mínimo'!$K$1*(1+('Estoque Mínimo'!$G$1/100)),0))</f>
        <v>Info</v>
      </c>
      <c r="D39" s="92" t="str">
        <f>IF(ESTOQUE!E38="","",ESTOQUE!E38)</f>
        <v>CX</v>
      </c>
    </row>
    <row r="40" spans="2:4" ht="18.75">
      <c r="B40" s="94" t="str">
        <f>INDEX(Cadastro_Mantimentos[[#All],[Colunas4]],MATCH(ROW()-6,Cadastro_Mantimentos[[#All],[Colunas2]],0))</f>
        <v>Chá De Hortelã</v>
      </c>
      <c r="C40" s="120" t="str">
        <f ca="1">IF(BAIXAS!AJ39="Vazio","Info",ROUNDUP(BAIXAS!AI39/DAY(Configurações!$C$5)*'Estoque Mínimo'!$K$1*(1+('Estoque Mínimo'!$G$1/100)),0))</f>
        <v>Info</v>
      </c>
      <c r="D40" s="92" t="str">
        <f>IF(ESTOQUE!E39="","",ESTOQUE!E39)</f>
        <v>CX</v>
      </c>
    </row>
    <row r="41" spans="2:4" ht="18.75">
      <c r="B41" s="94" t="str">
        <f>INDEX(Cadastro_Mantimentos[[#All],[Colunas4]],MATCH(ROW()-6,Cadastro_Mantimentos[[#All],[Colunas2]],0))</f>
        <v>Chá de Melissa</v>
      </c>
      <c r="C41" s="120" t="str">
        <f ca="1">IF(BAIXAS!AJ40="Vazio","Info",ROUNDUP(BAIXAS!AI40/DAY(Configurações!$C$5)*'Estoque Mínimo'!$K$1*(1+('Estoque Mínimo'!$G$1/100)),0))</f>
        <v>Info</v>
      </c>
      <c r="D41" s="92" t="str">
        <f>IF(ESTOQUE!E40="","",ESTOQUE!E40)</f>
        <v>CX</v>
      </c>
    </row>
    <row r="42" spans="2:4" ht="18.75">
      <c r="B42" s="94" t="str">
        <f>INDEX(Cadastro_Mantimentos[[#All],[Colunas4]],MATCH(ROW()-6,Cadastro_Mantimentos[[#All],[Colunas2]],0))</f>
        <v xml:space="preserve">Chá Mate </v>
      </c>
      <c r="C42" s="120">
        <f ca="1">IF(BAIXAS!AJ41="Vazio","Info",ROUNDUP(BAIXAS!AI41/DAY(Configurações!$C$5)*'Estoque Mínimo'!$K$1*(1+('Estoque Mínimo'!$G$1/100)),0))</f>
        <v>1</v>
      </c>
      <c r="D42" s="92" t="str">
        <f>IF(ESTOQUE!E41="","",ESTOQUE!E41)</f>
        <v>CX</v>
      </c>
    </row>
    <row r="43" spans="2:4" ht="18.75">
      <c r="B43" s="94" t="str">
        <f>INDEX(Cadastro_Mantimentos[[#All],[Colunas4]],MATCH(ROW()-6,Cadastro_Mantimentos[[#All],[Colunas2]],0))</f>
        <v>Chá Morango</v>
      </c>
      <c r="C43" s="120" t="str">
        <f ca="1">IF(BAIXAS!AJ42="Vazio","Info",ROUNDUP(BAIXAS!AI42/DAY(Configurações!$C$5)*'Estoque Mínimo'!$K$1*(1+('Estoque Mínimo'!$G$1/100)),0))</f>
        <v>Info</v>
      </c>
      <c r="D43" s="92" t="str">
        <f>IF(ESTOQUE!E42="","",ESTOQUE!E42)</f>
        <v>CX</v>
      </c>
    </row>
    <row r="44" spans="2:4" ht="18.75">
      <c r="B44" s="94" t="str">
        <f>INDEX(Cadastro_Mantimentos[[#All],[Colunas4]],MATCH(ROW()-6,Cadastro_Mantimentos[[#All],[Colunas2]],0))</f>
        <v xml:space="preserve">Chá Preto </v>
      </c>
      <c r="C44" s="120" t="str">
        <f ca="1">IF(BAIXAS!AJ43="Vazio","Info",ROUNDUP(BAIXAS!AI43/DAY(Configurações!$C$5)*'Estoque Mínimo'!$K$1*(1+('Estoque Mínimo'!$G$1/100)),0))</f>
        <v>Info</v>
      </c>
      <c r="D44" s="92" t="str">
        <f>IF(ESTOQUE!E43="","",ESTOQUE!E43)</f>
        <v>CX</v>
      </c>
    </row>
    <row r="45" spans="2:4" ht="18.75">
      <c r="B45" s="94" t="str">
        <f>INDEX(Cadastro_Mantimentos[[#All],[Colunas4]],MATCH(ROW()-6,Cadastro_Mantimentos[[#All],[Colunas2]],0))</f>
        <v>Champignon Fatiado</v>
      </c>
      <c r="C45" s="120">
        <f ca="1">IF(BAIXAS!AJ44="Vazio","Info",ROUNDUP(BAIXAS!AI44/DAY(Configurações!$C$5)*'Estoque Mínimo'!$K$1*(1+('Estoque Mínimo'!$G$1/100)),0))</f>
        <v>1</v>
      </c>
      <c r="D45" s="92" t="str">
        <f>IF(ESTOQUE!E44="","",ESTOQUE!E44)</f>
        <v>KG</v>
      </c>
    </row>
    <row r="46" spans="2:4" ht="18.75">
      <c r="B46" s="94" t="str">
        <f>INDEX(Cadastro_Mantimentos[[#All],[Colunas4]],MATCH(ROW()-6,Cadastro_Mantimentos[[#All],[Colunas2]],0))</f>
        <v>Chocolate Em Pó</v>
      </c>
      <c r="C46" s="120">
        <f ca="1">IF(BAIXAS!AJ45="Vazio","Info",ROUNDUP(BAIXAS!AI45/DAY(Configurações!$C$5)*'Estoque Mínimo'!$K$1*(1+('Estoque Mínimo'!$G$1/100)),0))</f>
        <v>2</v>
      </c>
      <c r="D46" s="92" t="str">
        <f>IF(ESTOQUE!E45="","",ESTOQUE!E45)</f>
        <v>KG</v>
      </c>
    </row>
    <row r="47" spans="2:4" ht="18.75">
      <c r="B47" s="94" t="str">
        <f>INDEX(Cadastro_Mantimentos[[#All],[Colunas4]],MATCH(ROW()-6,Cadastro_Mantimentos[[#All],[Colunas2]],0))</f>
        <v xml:space="preserve">Chocolate Granulado </v>
      </c>
      <c r="C47" s="120">
        <f ca="1">IF(BAIXAS!AJ46="Vazio","Info",ROUNDUP(BAIXAS!AI46/DAY(Configurações!$C$5)*'Estoque Mínimo'!$K$1*(1+('Estoque Mínimo'!$G$1/100)),0))</f>
        <v>2</v>
      </c>
      <c r="D47" s="92" t="str">
        <f>IF(ESTOQUE!E46="","",ESTOQUE!E46)</f>
        <v>KG</v>
      </c>
    </row>
    <row r="48" spans="2:4" ht="18.75">
      <c r="B48" s="94" t="str">
        <f>INDEX(Cadastro_Mantimentos[[#All],[Colunas4]],MATCH(ROW()-6,Cadastro_Mantimentos[[#All],[Colunas2]],0))</f>
        <v xml:space="preserve">Coco Ralado </v>
      </c>
      <c r="C48" s="120" t="str">
        <f ca="1">IF(BAIXAS!AJ47="Vazio","Info",ROUNDUP(BAIXAS!AI47/DAY(Configurações!$C$5)*'Estoque Mínimo'!$K$1*(1+('Estoque Mínimo'!$G$1/100)),0))</f>
        <v>Info</v>
      </c>
      <c r="D48" s="92" t="str">
        <f>IF(ESTOQUE!E47="","",ESTOQUE!E47)</f>
        <v>KG</v>
      </c>
    </row>
    <row r="49" spans="2:4" ht="18.75">
      <c r="B49" s="94" t="str">
        <f>INDEX(Cadastro_Mantimentos[[#All],[Colunas4]],MATCH(ROW()-6,Cadastro_Mantimentos[[#All],[Colunas2]],0))</f>
        <v>Coloral</v>
      </c>
      <c r="C49" s="120">
        <f ca="1">IF(BAIXAS!AJ48="Vazio","Info",ROUNDUP(BAIXAS!AI48/DAY(Configurações!$C$5)*'Estoque Mínimo'!$K$1*(1+('Estoque Mínimo'!$G$1/100)),0))</f>
        <v>1</v>
      </c>
      <c r="D49" s="92" t="str">
        <f>IF(ESTOQUE!E48="","",ESTOQUE!E48)</f>
        <v>KG</v>
      </c>
    </row>
    <row r="50" spans="2:4" ht="18.75">
      <c r="B50" s="94" t="str">
        <f>INDEX(Cadastro_Mantimentos[[#All],[Colunas4]],MATCH(ROW()-6,Cadastro_Mantimentos[[#All],[Colunas2]],0))</f>
        <v>Cravo</v>
      </c>
      <c r="C50" s="120" t="str">
        <f ca="1">IF(BAIXAS!AJ49="Vazio","Info",ROUNDUP(BAIXAS!AI49/DAY(Configurações!$C$5)*'Estoque Mínimo'!$K$1*(1+('Estoque Mínimo'!$G$1/100)),0))</f>
        <v>Info</v>
      </c>
      <c r="D50" s="92" t="str">
        <f>IF(ESTOQUE!E49="","",ESTOQUE!E49)</f>
        <v>KG</v>
      </c>
    </row>
    <row r="51" spans="2:4" ht="18.75">
      <c r="B51" s="94" t="str">
        <f>INDEX(Cadastro_Mantimentos[[#All],[Colunas4]],MATCH(ROW()-6,Cadastro_Mantimentos[[#All],[Colunas2]],0))</f>
        <v>Creme Cebola</v>
      </c>
      <c r="C51" s="120" t="str">
        <f ca="1">IF(BAIXAS!AJ50="Vazio","Info",ROUNDUP(BAIXAS!AI50/DAY(Configurações!$C$5)*'Estoque Mínimo'!$K$1*(1+('Estoque Mínimo'!$G$1/100)),0))</f>
        <v>Info</v>
      </c>
      <c r="D51" s="92" t="str">
        <f>IF(ESTOQUE!E50="","",ESTOQUE!E50)</f>
        <v>KG</v>
      </c>
    </row>
    <row r="52" spans="2:4" ht="18.75">
      <c r="B52" s="94" t="str">
        <f>INDEX(Cadastro_Mantimentos[[#All],[Colunas4]],MATCH(ROW()-6,Cadastro_Mantimentos[[#All],[Colunas2]],0))</f>
        <v>Creme De Leite</v>
      </c>
      <c r="C52" s="120">
        <f ca="1">IF(BAIXAS!AJ51="Vazio","Info",ROUNDUP(BAIXAS!AI51/DAY(Configurações!$C$5)*'Estoque Mínimo'!$K$1*(1+('Estoque Mínimo'!$G$1/100)),0))</f>
        <v>17</v>
      </c>
      <c r="D52" s="92" t="str">
        <f>IF(ESTOQUE!E51="","",ESTOQUE!E51)</f>
        <v>UND</v>
      </c>
    </row>
    <row r="53" spans="2:4" ht="18.75">
      <c r="B53" s="94" t="str">
        <f>INDEX(Cadastro_Mantimentos[[#All],[Colunas4]],MATCH(ROW()-6,Cadastro_Mantimentos[[#All],[Colunas2]],0))</f>
        <v>Curau</v>
      </c>
      <c r="C53" s="120">
        <f ca="1">IF(BAIXAS!AJ52="Vazio","Info",ROUNDUP(BAIXAS!AI52/DAY(Configurações!$C$5)*'Estoque Mínimo'!$K$1*(1+('Estoque Mínimo'!$G$1/100)),0))</f>
        <v>1</v>
      </c>
      <c r="D53" s="92" t="str">
        <f>IF(ESTOQUE!E52="","",ESTOQUE!E52)</f>
        <v>KG</v>
      </c>
    </row>
    <row r="54" spans="2:4" ht="18.75">
      <c r="B54" s="94" t="str">
        <f>INDEX(Cadastro_Mantimentos[[#All],[Colunas4]],MATCH(ROW()-6,Cadastro_Mantimentos[[#All],[Colunas2]],0))</f>
        <v>Doce De Leite</v>
      </c>
      <c r="C54" s="120">
        <f ca="1">IF(BAIXAS!AJ53="Vazio","Info",ROUNDUP(BAIXAS!AI53/DAY(Configurações!$C$5)*'Estoque Mínimo'!$K$1*(1+('Estoque Mínimo'!$G$1/100)),0))</f>
        <v>3</v>
      </c>
      <c r="D54" s="92" t="str">
        <f>IF(ESTOQUE!E53="","",ESTOQUE!E53)</f>
        <v>KG</v>
      </c>
    </row>
    <row r="55" spans="2:4" ht="18.75">
      <c r="B55" s="94" t="str">
        <f>INDEX(Cadastro_Mantimentos[[#All],[Colunas4]],MATCH(ROW()-6,Cadastro_Mantimentos[[#All],[Colunas2]],0))</f>
        <v>Erva Doce</v>
      </c>
      <c r="C55" s="120" t="str">
        <f ca="1">IF(BAIXAS!AJ54="Vazio","Info",ROUNDUP(BAIXAS!AI54/DAY(Configurações!$C$5)*'Estoque Mínimo'!$K$1*(1+('Estoque Mínimo'!$G$1/100)),0))</f>
        <v>Info</v>
      </c>
      <c r="D55" s="92" t="str">
        <f>IF(ESTOQUE!E54="","",ESTOQUE!E54)</f>
        <v>KG</v>
      </c>
    </row>
    <row r="56" spans="2:4" ht="18.75">
      <c r="B56" s="94" t="str">
        <f>INDEX(Cadastro_Mantimentos[[#All],[Colunas4]],MATCH(ROW()-6,Cadastro_Mantimentos[[#All],[Colunas2]],0))</f>
        <v xml:space="preserve">Ervilha Lata </v>
      </c>
      <c r="C56" s="120">
        <f ca="1">IF(BAIXAS!AJ55="Vazio","Info",ROUNDUP(BAIXAS!AI55/DAY(Configurações!$C$5)*'Estoque Mínimo'!$K$1*(1+('Estoque Mínimo'!$G$1/100)),0))</f>
        <v>8</v>
      </c>
      <c r="D56" s="92" t="str">
        <f>IF(ESTOQUE!E55="","",ESTOQUE!E55)</f>
        <v>KG</v>
      </c>
    </row>
    <row r="57" spans="2:4" ht="18.75">
      <c r="B57" s="94" t="str">
        <f>INDEX(Cadastro_Mantimentos[[#All],[Colunas4]],MATCH(ROW()-6,Cadastro_Mantimentos[[#All],[Colunas2]],0))</f>
        <v xml:space="preserve">Ervilha Seca </v>
      </c>
      <c r="C57" s="120">
        <f ca="1">IF(BAIXAS!AJ56="Vazio","Info",ROUNDUP(BAIXAS!AI56/DAY(Configurações!$C$5)*'Estoque Mínimo'!$K$1*(1+('Estoque Mínimo'!$G$1/100)),0))</f>
        <v>2</v>
      </c>
      <c r="D57" s="92" t="str">
        <f>IF(ESTOQUE!E56="","",ESTOQUE!E56)</f>
        <v>KG</v>
      </c>
    </row>
    <row r="58" spans="2:4" ht="18.75">
      <c r="B58" s="94" t="str">
        <f>INDEX(Cadastro_Mantimentos[[#All],[Colunas4]],MATCH(ROW()-6,Cadastro_Mantimentos[[#All],[Colunas2]],0))</f>
        <v xml:space="preserve">Farinha De Mandioca </v>
      </c>
      <c r="C58" s="120">
        <f ca="1">IF(BAIXAS!AJ57="Vazio","Info",ROUNDUP(BAIXAS!AI57/DAY(Configurações!$C$5)*'Estoque Mínimo'!$K$1*(1+('Estoque Mínimo'!$G$1/100)),0))</f>
        <v>2</v>
      </c>
      <c r="D58" s="92" t="str">
        <f>IF(ESTOQUE!E57="","",ESTOQUE!E57)</f>
        <v>KG</v>
      </c>
    </row>
    <row r="59" spans="2:4" ht="18.75">
      <c r="B59" s="94" t="str">
        <f>INDEX(Cadastro_Mantimentos[[#All],[Colunas4]],MATCH(ROW()-6,Cadastro_Mantimentos[[#All],[Colunas2]],0))</f>
        <v>Farinha De Milho</v>
      </c>
      <c r="C59" s="120">
        <f ca="1">IF(BAIXAS!AJ58="Vazio","Info",ROUNDUP(BAIXAS!AI58/DAY(Configurações!$C$5)*'Estoque Mínimo'!$K$1*(1+('Estoque Mínimo'!$G$1/100)),0))</f>
        <v>5</v>
      </c>
      <c r="D59" s="92" t="str">
        <f>IF(ESTOQUE!E58="","",ESTOQUE!E58)</f>
        <v>KG</v>
      </c>
    </row>
    <row r="60" spans="2:4" ht="18.75">
      <c r="B60" s="94" t="str">
        <f>INDEX(Cadastro_Mantimentos[[#All],[Colunas4]],MATCH(ROW()-6,Cadastro_Mantimentos[[#All],[Colunas2]],0))</f>
        <v xml:space="preserve">Farinha De Rosca </v>
      </c>
      <c r="C60" s="120">
        <f ca="1">IF(BAIXAS!AJ59="Vazio","Info",ROUNDUP(BAIXAS!AI59/DAY(Configurações!$C$5)*'Estoque Mínimo'!$K$1*(1+('Estoque Mínimo'!$G$1/100)),0))</f>
        <v>5</v>
      </c>
      <c r="D60" s="92" t="str">
        <f>IF(ESTOQUE!E59="","",ESTOQUE!E59)</f>
        <v>KG</v>
      </c>
    </row>
    <row r="61" spans="2:4" ht="18.75">
      <c r="B61" s="94" t="str">
        <f>INDEX(Cadastro_Mantimentos[[#All],[Colunas4]],MATCH(ROW()-6,Cadastro_Mantimentos[[#All],[Colunas2]],0))</f>
        <v>Farinha De Trigo</v>
      </c>
      <c r="C61" s="120">
        <f ca="1">IF(BAIXAS!AJ60="Vazio","Info",ROUNDUP(BAIXAS!AI60/DAY(Configurações!$C$5)*'Estoque Mínimo'!$K$1*(1+('Estoque Mínimo'!$G$1/100)),0))</f>
        <v>12</v>
      </c>
      <c r="D61" s="92" t="str">
        <f>IF(ESTOQUE!E60="","",ESTOQUE!E60)</f>
        <v>KG</v>
      </c>
    </row>
    <row r="62" spans="2:4" ht="18.75">
      <c r="B62" s="94" t="str">
        <f>INDEX(Cadastro_Mantimentos[[#All],[Colunas4]],MATCH(ROW()-6,Cadastro_Mantimentos[[#All],[Colunas2]],0))</f>
        <v>Feijão Carioca Camil</v>
      </c>
      <c r="C62" s="120">
        <f ca="1">IF(BAIXAS!AJ61="Vazio","Info",ROUNDUP(BAIXAS!AI61/DAY(Configurações!$C$5)*'Estoque Mínimo'!$K$1*(1+('Estoque Mínimo'!$G$1/100)),0))</f>
        <v>17</v>
      </c>
      <c r="D62" s="92" t="str">
        <f>IF(ESTOQUE!E61="","",ESTOQUE!E61)</f>
        <v>KG</v>
      </c>
    </row>
    <row r="63" spans="2:4" ht="18.75">
      <c r="B63" s="94" t="str">
        <f>INDEX(Cadastro_Mantimentos[[#All],[Colunas4]],MATCH(ROW()-6,Cadastro_Mantimentos[[#All],[Colunas2]],0))</f>
        <v xml:space="preserve">Feijão Preto </v>
      </c>
      <c r="C63" s="120">
        <f ca="1">IF(BAIXAS!AJ62="Vazio","Info",ROUNDUP(BAIXAS!AI62/DAY(Configurações!$C$5)*'Estoque Mínimo'!$K$1*(1+('Estoque Mínimo'!$G$1/100)),0))</f>
        <v>4</v>
      </c>
      <c r="D63" s="92" t="str">
        <f>IF(ESTOQUE!E62="","",ESTOQUE!E62)</f>
        <v>KG</v>
      </c>
    </row>
    <row r="64" spans="2:4" ht="18.75">
      <c r="B64" s="94" t="str">
        <f>INDEX(Cadastro_Mantimentos[[#All],[Colunas4]],MATCH(ROW()-6,Cadastro_Mantimentos[[#All],[Colunas2]],0))</f>
        <v xml:space="preserve">Fermento </v>
      </c>
      <c r="C64" s="120">
        <f ca="1">IF(BAIXAS!AJ63="Vazio","Info",ROUNDUP(BAIXAS!AI63/DAY(Configurações!$C$5)*'Estoque Mínimo'!$K$1*(1+('Estoque Mínimo'!$G$1/100)),0))</f>
        <v>2</v>
      </c>
      <c r="D64" s="92" t="str">
        <f>IF(ESTOQUE!E63="","",ESTOQUE!E63)</f>
        <v>KG</v>
      </c>
    </row>
    <row r="65" spans="2:4" ht="18.75">
      <c r="B65" s="94" t="str">
        <f>INDEX(Cadastro_Mantimentos[[#All],[Colunas4]],MATCH(ROW()-6,Cadastro_Mantimentos[[#All],[Colunas2]],0))</f>
        <v>Figo Em Calda</v>
      </c>
      <c r="C65" s="120">
        <f ca="1">IF(BAIXAS!AJ64="Vazio","Info",ROUNDUP(BAIXAS!AI64/DAY(Configurações!$C$5)*'Estoque Mínimo'!$K$1*(1+('Estoque Mínimo'!$G$1/100)),0))</f>
        <v>1</v>
      </c>
      <c r="D65" s="92" t="str">
        <f>IF(ESTOQUE!E64="","",ESTOQUE!E64)</f>
        <v>UND</v>
      </c>
    </row>
    <row r="66" spans="2:4" ht="18.75">
      <c r="B66" s="94" t="str">
        <f>INDEX(Cadastro_Mantimentos[[#All],[Colunas4]],MATCH(ROW()-6,Cadastro_Mantimentos[[#All],[Colunas2]],0))</f>
        <v>Flan Baunilha</v>
      </c>
      <c r="C66" s="120">
        <f ca="1">IF(BAIXAS!AJ65="Vazio","Info",ROUNDUP(BAIXAS!AI65/DAY(Configurações!$C$5)*'Estoque Mínimo'!$K$1*(1+('Estoque Mínimo'!$G$1/100)),0))</f>
        <v>1</v>
      </c>
      <c r="D66" s="92" t="str">
        <f>IF(ESTOQUE!E65="","",ESTOQUE!E65)</f>
        <v>KG</v>
      </c>
    </row>
    <row r="67" spans="2:4" ht="18.75">
      <c r="B67" s="94" t="str">
        <f>INDEX(Cadastro_Mantimentos[[#All],[Colunas4]],MATCH(ROW()-6,Cadastro_Mantimentos[[#All],[Colunas2]],0))</f>
        <v xml:space="preserve">Fubá </v>
      </c>
      <c r="C67" s="120">
        <f ca="1">IF(BAIXAS!AJ66="Vazio","Info",ROUNDUP(BAIXAS!AI66/DAY(Configurações!$C$5)*'Estoque Mínimo'!$K$1*(1+('Estoque Mínimo'!$G$1/100)),0))</f>
        <v>1</v>
      </c>
      <c r="D67" s="92" t="str">
        <f>IF(ESTOQUE!E66="","",ESTOQUE!E66)</f>
        <v>KG</v>
      </c>
    </row>
    <row r="68" spans="2:4" ht="18.75">
      <c r="B68" s="94" t="str">
        <f>INDEX(Cadastro_Mantimentos[[#All],[Colunas4]],MATCH(ROW()-6,Cadastro_Mantimentos[[#All],[Colunas2]],0))</f>
        <v>Gelatina</v>
      </c>
      <c r="C68" s="120" t="str">
        <f ca="1">IF(BAIXAS!AJ67="Vazio","Info",ROUNDUP(BAIXAS!AI67/DAY(Configurações!$C$5)*'Estoque Mínimo'!$K$1*(1+('Estoque Mínimo'!$G$1/100)),0))</f>
        <v>Info</v>
      </c>
      <c r="D68" s="92" t="str">
        <f>IF(ESTOQUE!E67="","",ESTOQUE!E67)</f>
        <v/>
      </c>
    </row>
    <row r="69" spans="2:4" ht="18.75">
      <c r="B69" s="94" t="str">
        <f>INDEX(Cadastro_Mantimentos[[#All],[Colunas4]],MATCH(ROW()-6,Cadastro_Mantimentos[[#All],[Colunas2]],0))</f>
        <v>Gelatina  Abacaxi</v>
      </c>
      <c r="C69" s="120" t="str">
        <f ca="1">IF(BAIXAS!AJ68="Vazio","Info",ROUNDUP(BAIXAS!AI68/DAY(Configurações!$C$5)*'Estoque Mínimo'!$K$1*(1+('Estoque Mínimo'!$G$1/100)),0))</f>
        <v>Info</v>
      </c>
      <c r="D69" s="92" t="str">
        <f>IF(ESTOQUE!E68="","",ESTOQUE!E68)</f>
        <v>KG</v>
      </c>
    </row>
    <row r="70" spans="2:4" ht="18.75">
      <c r="B70" s="94" t="str">
        <f>INDEX(Cadastro_Mantimentos[[#All],[Colunas4]],MATCH(ROW()-6,Cadastro_Mantimentos[[#All],[Colunas2]],0))</f>
        <v>Gelatina  Cereja</v>
      </c>
      <c r="C70" s="120">
        <f ca="1">IF(BAIXAS!AJ69="Vazio","Info",ROUNDUP(BAIXAS!AI69/DAY(Configurações!$C$5)*'Estoque Mínimo'!$K$1*(1+('Estoque Mínimo'!$G$1/100)),0))</f>
        <v>1</v>
      </c>
      <c r="D70" s="92" t="str">
        <f>IF(ESTOQUE!E69="","",ESTOQUE!E69)</f>
        <v>KG</v>
      </c>
    </row>
    <row r="71" spans="2:4" ht="18.75">
      <c r="B71" s="94" t="str">
        <f>INDEX(Cadastro_Mantimentos[[#All],[Colunas4]],MATCH(ROW()-6,Cadastro_Mantimentos[[#All],[Colunas2]],0))</f>
        <v>Gelatina  Framboesa</v>
      </c>
      <c r="C71" s="120">
        <f ca="1">IF(BAIXAS!AJ70="Vazio","Info",ROUNDUP(BAIXAS!AI70/DAY(Configurações!$C$5)*'Estoque Mínimo'!$K$1*(1+('Estoque Mínimo'!$G$1/100)),0))</f>
        <v>2</v>
      </c>
      <c r="D71" s="92" t="str">
        <f>IF(ESTOQUE!E70="","",ESTOQUE!E70)</f>
        <v>KG</v>
      </c>
    </row>
    <row r="72" spans="2:4" ht="18.75">
      <c r="B72" s="94" t="str">
        <f>INDEX(Cadastro_Mantimentos[[#All],[Colunas4]],MATCH(ROW()-6,Cadastro_Mantimentos[[#All],[Colunas2]],0))</f>
        <v>Gelatina  Limão</v>
      </c>
      <c r="C72" s="120" t="str">
        <f ca="1">IF(BAIXAS!AJ71="Vazio","Info",ROUNDUP(BAIXAS!AI71/DAY(Configurações!$C$5)*'Estoque Mínimo'!$K$1*(1+('Estoque Mínimo'!$G$1/100)),0))</f>
        <v>Info</v>
      </c>
      <c r="D72" s="92" t="str">
        <f>IF(ESTOQUE!E71="","",ESTOQUE!E71)</f>
        <v>KG</v>
      </c>
    </row>
    <row r="73" spans="2:4" ht="18.75">
      <c r="B73" s="94" t="str">
        <f>INDEX(Cadastro_Mantimentos[[#All],[Colunas4]],MATCH(ROW()-6,Cadastro_Mantimentos[[#All],[Colunas2]],0))</f>
        <v>Gelatina  Morango</v>
      </c>
      <c r="C73" s="120" t="str">
        <f ca="1">IF(BAIXAS!AJ72="Vazio","Info",ROUNDUP(BAIXAS!AI72/DAY(Configurações!$C$5)*'Estoque Mínimo'!$K$1*(1+('Estoque Mínimo'!$G$1/100)),0))</f>
        <v>Info</v>
      </c>
      <c r="D73" s="92" t="str">
        <f>IF(ESTOQUE!E72="","",ESTOQUE!E72)</f>
        <v>KG</v>
      </c>
    </row>
    <row r="74" spans="2:4" ht="18.75">
      <c r="B74" s="94" t="str">
        <f>INDEX(Cadastro_Mantimentos[[#All],[Colunas4]],MATCH(ROW()-6,Cadastro_Mantimentos[[#All],[Colunas2]],0))</f>
        <v>Gelatina  Pêssego</v>
      </c>
      <c r="C74" s="120">
        <f ca="1">IF(BAIXAS!AJ73="Vazio","Info",ROUNDUP(BAIXAS!AI73/DAY(Configurações!$C$5)*'Estoque Mínimo'!$K$1*(1+('Estoque Mínimo'!$G$1/100)),0))</f>
        <v>1</v>
      </c>
      <c r="D74" s="92" t="str">
        <f>IF(ESTOQUE!E73="","",ESTOQUE!E73)</f>
        <v>KG</v>
      </c>
    </row>
    <row r="75" spans="2:4" ht="18.75">
      <c r="B75" s="94" t="str">
        <f>INDEX(Cadastro_Mantimentos[[#All],[Colunas4]],MATCH(ROW()-6,Cadastro_Mantimentos[[#All],[Colunas2]],0))</f>
        <v>Gelatina  S/Sabor</v>
      </c>
      <c r="C75" s="120" t="str">
        <f ca="1">IF(BAIXAS!AJ74="Vazio","Info",ROUNDUP(BAIXAS!AI74/DAY(Configurações!$C$5)*'Estoque Mínimo'!$K$1*(1+('Estoque Mínimo'!$G$1/100)),0))</f>
        <v>Info</v>
      </c>
      <c r="D75" s="92" t="str">
        <f>IF(ESTOQUE!E74="","",ESTOQUE!E74)</f>
        <v>KG</v>
      </c>
    </row>
    <row r="76" spans="2:4" ht="18.75">
      <c r="B76" s="94" t="str">
        <f>INDEX(Cadastro_Mantimentos[[#All],[Colunas4]],MATCH(ROW()-6,Cadastro_Mantimentos[[#All],[Colunas2]],0))</f>
        <v>Gelatina  Uva</v>
      </c>
      <c r="C76" s="120">
        <f ca="1">IF(BAIXAS!AJ75="Vazio","Info",ROUNDUP(BAIXAS!AI75/DAY(Configurações!$C$5)*'Estoque Mínimo'!$K$1*(1+('Estoque Mínimo'!$G$1/100)),0))</f>
        <v>1</v>
      </c>
      <c r="D76" s="92" t="str">
        <f>IF(ESTOQUE!E75="","",ESTOQUE!E75)</f>
        <v>KG</v>
      </c>
    </row>
    <row r="77" spans="2:4" ht="18.75">
      <c r="B77" s="94" t="str">
        <f>INDEX(Cadastro_Mantimentos[[#All],[Colunas4]],MATCH(ROW()-6,Cadastro_Mantimentos[[#All],[Colunas2]],0))</f>
        <v>Geleia Sache</v>
      </c>
      <c r="C77" s="120">
        <f ca="1">IF(BAIXAS!AJ76="Vazio","Info",ROUNDUP(BAIXAS!AI76/DAY(Configurações!$C$5)*'Estoque Mínimo'!$K$1*(1+('Estoque Mínimo'!$G$1/100)),0))</f>
        <v>2</v>
      </c>
      <c r="D77" s="92" t="str">
        <f>IF(ESTOQUE!E76="","",ESTOQUE!E76)</f>
        <v>CX</v>
      </c>
    </row>
    <row r="78" spans="2:4" ht="18.75">
      <c r="B78" s="94" t="str">
        <f>INDEX(Cadastro_Mantimentos[[#All],[Colunas4]],MATCH(ROW()-6,Cadastro_Mantimentos[[#All],[Colunas2]],0))</f>
        <v>Gergelim</v>
      </c>
      <c r="C78" s="120" t="str">
        <f ca="1">IF(BAIXAS!AJ77="Vazio","Info",ROUNDUP(BAIXAS!AI77/DAY(Configurações!$C$5)*'Estoque Mínimo'!$K$1*(1+('Estoque Mínimo'!$G$1/100)),0))</f>
        <v>Info</v>
      </c>
      <c r="D78" s="92" t="str">
        <f>IF(ESTOQUE!E77="","",ESTOQUE!E77)</f>
        <v>KG</v>
      </c>
    </row>
    <row r="79" spans="2:4" ht="18.75">
      <c r="B79" s="94" t="str">
        <f>INDEX(Cadastro_Mantimentos[[#All],[Colunas4]],MATCH(ROW()-6,Cadastro_Mantimentos[[#All],[Colunas2]],0))</f>
        <v>Gergelim Branco</v>
      </c>
      <c r="C79" s="120" t="str">
        <f ca="1">IF(BAIXAS!AJ78="Vazio","Info",ROUNDUP(BAIXAS!AI78/DAY(Configurações!$C$5)*'Estoque Mínimo'!$K$1*(1+('Estoque Mínimo'!$G$1/100)),0))</f>
        <v>Info</v>
      </c>
      <c r="D79" s="92" t="str">
        <f>IF(ESTOQUE!E78="","",ESTOQUE!E78)</f>
        <v>KG</v>
      </c>
    </row>
    <row r="80" spans="2:4" ht="18.75">
      <c r="B80" s="94" t="str">
        <f>INDEX(Cadastro_Mantimentos[[#All],[Colunas4]],MATCH(ROW()-6,Cadastro_Mantimentos[[#All],[Colunas2]],0))</f>
        <v>Gergelim Preto</v>
      </c>
      <c r="C80" s="120" t="str">
        <f ca="1">IF(BAIXAS!AJ79="Vazio","Info",ROUNDUP(BAIXAS!AI79/DAY(Configurações!$C$5)*'Estoque Mínimo'!$K$1*(1+('Estoque Mínimo'!$G$1/100)),0))</f>
        <v>Info</v>
      </c>
      <c r="D80" s="92" t="str">
        <f>IF(ESTOQUE!E79="","",ESTOQUE!E79)</f>
        <v>KG</v>
      </c>
    </row>
    <row r="81" spans="2:4" ht="18.75">
      <c r="B81" s="94" t="str">
        <f>INDEX(Cadastro_Mantimentos[[#All],[Colunas4]],MATCH(ROW()-6,Cadastro_Mantimentos[[#All],[Colunas2]],0))</f>
        <v>Goiaba Em Calda</v>
      </c>
      <c r="C81" s="120" t="str">
        <f ca="1">IF(BAIXAS!AJ80="Vazio","Info",ROUNDUP(BAIXAS!AI80/DAY(Configurações!$C$5)*'Estoque Mínimo'!$K$1*(1+('Estoque Mínimo'!$G$1/100)),0))</f>
        <v>Info</v>
      </c>
      <c r="D81" s="92" t="str">
        <f>IF(ESTOQUE!E80="","",ESTOQUE!E80)</f>
        <v/>
      </c>
    </row>
    <row r="82" spans="2:4" ht="18.75">
      <c r="B82" s="94" t="str">
        <f>INDEX(Cadastro_Mantimentos[[#All],[Colunas4]],MATCH(ROW()-6,Cadastro_Mantimentos[[#All],[Colunas2]],0))</f>
        <v xml:space="preserve">Gordura Vegetal </v>
      </c>
      <c r="C82" s="120">
        <f ca="1">IF(BAIXAS!AJ81="Vazio","Info",ROUNDUP(BAIXAS!AI81/DAY(Configurações!$C$5)*'Estoque Mínimo'!$K$1*(1+('Estoque Mínimo'!$G$1/100)),0))</f>
        <v>21</v>
      </c>
      <c r="D82" s="92" t="str">
        <f>IF(ESTOQUE!E81="","",ESTOQUE!E81)</f>
        <v>KG</v>
      </c>
    </row>
    <row r="83" spans="2:4" ht="18.75">
      <c r="B83" s="94" t="str">
        <f>INDEX(Cadastro_Mantimentos[[#All],[Colunas4]],MATCH(ROW()-6,Cadastro_Mantimentos[[#All],[Colunas2]],0))</f>
        <v xml:space="preserve">Grão De Bico </v>
      </c>
      <c r="C83" s="120" t="str">
        <f ca="1">IF(BAIXAS!AJ82="Vazio","Info",ROUNDUP(BAIXAS!AI82/DAY(Configurações!$C$5)*'Estoque Mínimo'!$K$1*(1+('Estoque Mínimo'!$G$1/100)),0))</f>
        <v>Info</v>
      </c>
      <c r="D83" s="92" t="str">
        <f>IF(ESTOQUE!E82="","",ESTOQUE!E82)</f>
        <v>KG</v>
      </c>
    </row>
    <row r="84" spans="2:4" ht="18.75">
      <c r="B84" s="94" t="str">
        <f>INDEX(Cadastro_Mantimentos[[#All],[Colunas4]],MATCH(ROW()-6,Cadastro_Mantimentos[[#All],[Colunas2]],0))</f>
        <v xml:space="preserve">katchup </v>
      </c>
      <c r="C84" s="120" t="str">
        <f ca="1">IF(BAIXAS!AJ83="Vazio","Info",ROUNDUP(BAIXAS!AI83/DAY(Configurações!$C$5)*'Estoque Mínimo'!$K$1*(1+('Estoque Mínimo'!$G$1/100)),0))</f>
        <v>Info</v>
      </c>
      <c r="D84" s="92" t="str">
        <f>IF(ESTOQUE!E83="","",ESTOQUE!E83)</f>
        <v>KG</v>
      </c>
    </row>
    <row r="85" spans="2:4" ht="18.75">
      <c r="B85" s="94" t="str">
        <f>INDEX(Cadastro_Mantimentos[[#All],[Colunas4]],MATCH(ROW()-6,Cadastro_Mantimentos[[#All],[Colunas2]],0))</f>
        <v>Leite Condensado</v>
      </c>
      <c r="C85" s="120">
        <f ca="1">IF(BAIXAS!AJ84="Vazio","Info",ROUNDUP(BAIXAS!AI84/DAY(Configurações!$C$5)*'Estoque Mínimo'!$K$1*(1+('Estoque Mínimo'!$G$1/100)),0))</f>
        <v>18</v>
      </c>
      <c r="D85" s="92" t="str">
        <f>IF(ESTOQUE!E84="","",ESTOQUE!E84)</f>
        <v>UND</v>
      </c>
    </row>
    <row r="86" spans="2:4" ht="18.75">
      <c r="B86" s="94" t="str">
        <f>INDEX(Cadastro_Mantimentos[[#All],[Colunas4]],MATCH(ROW()-6,Cadastro_Mantimentos[[#All],[Colunas2]],0))</f>
        <v xml:space="preserve">Leite De Coco </v>
      </c>
      <c r="C86" s="120">
        <f ca="1">IF(BAIXAS!AJ85="Vazio","Info",ROUNDUP(BAIXAS!AI85/DAY(Configurações!$C$5)*'Estoque Mínimo'!$K$1*(1+('Estoque Mínimo'!$G$1/100)),0))</f>
        <v>2</v>
      </c>
      <c r="D86" s="92" t="str">
        <f>IF(ESTOQUE!E85="","",ESTOQUE!E85)</f>
        <v>L</v>
      </c>
    </row>
    <row r="87" spans="2:4" ht="18.75">
      <c r="B87" s="94" t="str">
        <f>INDEX(Cadastro_Mantimentos[[#All],[Colunas4]],MATCH(ROW()-6,Cadastro_Mantimentos[[#All],[Colunas2]],0))</f>
        <v>Leite Uht Integral</v>
      </c>
      <c r="C87" s="120">
        <f ca="1">IF(BAIXAS!AJ86="Vazio","Info",ROUNDUP(BAIXAS!AI86/DAY(Configurações!$C$5)*'Estoque Mínimo'!$K$1*(1+('Estoque Mínimo'!$G$1/100)),0))</f>
        <v>5</v>
      </c>
      <c r="D87" s="92" t="str">
        <f>IF(ESTOQUE!E86="","",ESTOQUE!E86)</f>
        <v>CX</v>
      </c>
    </row>
    <row r="88" spans="2:4" ht="18.75">
      <c r="B88" s="94" t="str">
        <f>INDEX(Cadastro_Mantimentos[[#All],[Colunas4]],MATCH(ROW()-6,Cadastro_Mantimentos[[#All],[Colunas2]],0))</f>
        <v>Lentilha</v>
      </c>
      <c r="C88" s="120">
        <f ca="1">IF(BAIXAS!AJ87="Vazio","Info",ROUNDUP(BAIXAS!AI87/DAY(Configurações!$C$5)*'Estoque Mínimo'!$K$1*(1+('Estoque Mínimo'!$G$1/100)),0))</f>
        <v>2</v>
      </c>
      <c r="D88" s="92" t="str">
        <f>IF(ESTOQUE!E87="","",ESTOQUE!E87)</f>
        <v>KG</v>
      </c>
    </row>
    <row r="89" spans="2:4" ht="18.75">
      <c r="B89" s="94" t="str">
        <f>INDEX(Cadastro_Mantimentos[[#All],[Colunas4]],MATCH(ROW()-6,Cadastro_Mantimentos[[#All],[Colunas2]],0))</f>
        <v>Macarrão Espaguete</v>
      </c>
      <c r="C89" s="120">
        <f ca="1">IF(BAIXAS!AJ88="Vazio","Info",ROUNDUP(BAIXAS!AI88/DAY(Configurações!$C$5)*'Estoque Mínimo'!$K$1*(1+('Estoque Mínimo'!$G$1/100)),0))</f>
        <v>5</v>
      </c>
      <c r="D89" s="92" t="str">
        <f>IF(ESTOQUE!E88="","",ESTOQUE!E88)</f>
        <v>KG</v>
      </c>
    </row>
    <row r="90" spans="2:4" ht="18.75">
      <c r="B90" s="94" t="str">
        <f>INDEX(Cadastro_Mantimentos[[#All],[Colunas4]],MATCH(ROW()-6,Cadastro_Mantimentos[[#All],[Colunas2]],0))</f>
        <v>Macarrão Parafuso</v>
      </c>
      <c r="C90" s="120">
        <f ca="1">IF(BAIXAS!AJ89="Vazio","Info",ROUNDUP(BAIXAS!AI89/DAY(Configurações!$C$5)*'Estoque Mínimo'!$K$1*(1+('Estoque Mínimo'!$G$1/100)),0))</f>
        <v>1</v>
      </c>
      <c r="D90" s="92" t="str">
        <f>IF(ESTOQUE!E89="","",ESTOQUE!E89)</f>
        <v>KG</v>
      </c>
    </row>
    <row r="91" spans="2:4" ht="18.75">
      <c r="B91" s="94" t="str">
        <f>INDEX(Cadastro_Mantimentos[[#All],[Colunas4]],MATCH(ROW()-6,Cadastro_Mantimentos[[#All],[Colunas2]],0))</f>
        <v>Macarrão Penne</v>
      </c>
      <c r="C91" s="120" t="str">
        <f ca="1">IF(BAIXAS!AJ90="Vazio","Info",ROUNDUP(BAIXAS!AI90/DAY(Configurações!$C$5)*'Estoque Mínimo'!$K$1*(1+('Estoque Mínimo'!$G$1/100)),0))</f>
        <v>Info</v>
      </c>
      <c r="D91" s="92" t="str">
        <f>IF(ESTOQUE!E90="","",ESTOQUE!E90)</f>
        <v>KG</v>
      </c>
    </row>
    <row r="92" spans="2:4" ht="18.75">
      <c r="B92" s="94" t="str">
        <f>INDEX(Cadastro_Mantimentos[[#All],[Colunas4]],MATCH(ROW()-6,Cadastro_Mantimentos[[#All],[Colunas2]],0))</f>
        <v>Macarrão Sopa</v>
      </c>
      <c r="C92" s="120">
        <f ca="1">IF(BAIXAS!AJ91="Vazio","Info",ROUNDUP(BAIXAS!AI91/DAY(Configurações!$C$5)*'Estoque Mínimo'!$K$1*(1+('Estoque Mínimo'!$G$1/100)),0))</f>
        <v>1</v>
      </c>
      <c r="D92" s="92" t="str">
        <f>IF(ESTOQUE!E91="","",ESTOQUE!E91)</f>
        <v>KG</v>
      </c>
    </row>
    <row r="93" spans="2:4" ht="18.75">
      <c r="B93" s="94" t="str">
        <f>INDEX(Cadastro_Mantimentos[[#All],[Colunas4]],MATCH(ROW()-6,Cadastro_Mantimentos[[#All],[Colunas2]],0))</f>
        <v>Macarrão Yaksoba</v>
      </c>
      <c r="C93" s="120" t="str">
        <f ca="1">IF(BAIXAS!AJ92="Vazio","Info",ROUNDUP(BAIXAS!AI92/DAY(Configurações!$C$5)*'Estoque Mínimo'!$K$1*(1+('Estoque Mínimo'!$G$1/100)),0))</f>
        <v>Info</v>
      </c>
      <c r="D93" s="92" t="str">
        <f>IF(ESTOQUE!E92="","",ESTOQUE!E92)</f>
        <v>KG</v>
      </c>
    </row>
    <row r="94" spans="2:4" ht="18.75">
      <c r="B94" s="94" t="str">
        <f>INDEX(Cadastro_Mantimentos[[#All],[Colunas4]],MATCH(ROW()-6,Cadastro_Mantimentos[[#All],[Colunas2]],0))</f>
        <v>Maionese</v>
      </c>
      <c r="C94" s="120">
        <f ca="1">IF(BAIXAS!AJ93="Vazio","Info",ROUNDUP(BAIXAS!AI93/DAY(Configurações!$C$5)*'Estoque Mínimo'!$K$1*(1+('Estoque Mínimo'!$G$1/100)),0))</f>
        <v>4</v>
      </c>
      <c r="D94" s="92" t="str">
        <f>IF(ESTOQUE!E93="","",ESTOQUE!E93)</f>
        <v>KG</v>
      </c>
    </row>
    <row r="95" spans="2:4" ht="18.75">
      <c r="B95" s="94" t="str">
        <f>INDEX(Cadastro_Mantimentos[[#All],[Colunas4]],MATCH(ROW()-6,Cadastro_Mantimentos[[#All],[Colunas2]],0))</f>
        <v xml:space="preserve">Margarina </v>
      </c>
      <c r="C95" s="120" t="str">
        <f ca="1">IF(BAIXAS!AJ94="Vazio","Info",ROUNDUP(BAIXAS!AI94/DAY(Configurações!$C$5)*'Estoque Mínimo'!$K$1*(1+('Estoque Mínimo'!$G$1/100)),0))</f>
        <v>Info</v>
      </c>
      <c r="D95" s="92" t="str">
        <f>IF(ESTOQUE!E94="","",ESTOQUE!E94)</f>
        <v>L</v>
      </c>
    </row>
    <row r="96" spans="2:4" ht="18.75">
      <c r="B96" s="94" t="str">
        <f>INDEX(Cadastro_Mantimentos[[#All],[Colunas4]],MATCH(ROW()-6,Cadastro_Mantimentos[[#All],[Colunas2]],0))</f>
        <v>Margarina  Sachê</v>
      </c>
      <c r="C96" s="120">
        <f ca="1">IF(BAIXAS!AJ95="Vazio","Info",ROUNDUP(BAIXAS!AI95/DAY(Configurações!$C$5)*'Estoque Mínimo'!$K$1*(1+('Estoque Mínimo'!$G$1/100)),0))</f>
        <v>1</v>
      </c>
      <c r="D96" s="92" t="str">
        <f>IF(ESTOQUE!E95="","",ESTOQUE!E95)</f>
        <v/>
      </c>
    </row>
    <row r="97" spans="2:4" ht="18.75">
      <c r="B97" s="94" t="str">
        <f>INDEX(Cadastro_Mantimentos[[#All],[Colunas4]],MATCH(ROW()-6,Cadastro_Mantimentos[[#All],[Colunas2]],0))</f>
        <v xml:space="preserve">Milho Verde </v>
      </c>
      <c r="C97" s="120">
        <f ca="1">IF(BAIXAS!AJ96="Vazio","Info",ROUNDUP(BAIXAS!AI96/DAY(Configurações!$C$5)*'Estoque Mínimo'!$K$1*(1+('Estoque Mínimo'!$G$1/100)),0))</f>
        <v>12</v>
      </c>
      <c r="D97" s="92" t="str">
        <f>IF(ESTOQUE!E96="","",ESTOQUE!E96)</f>
        <v>KG</v>
      </c>
    </row>
    <row r="98" spans="2:4" ht="18.75">
      <c r="B98" s="94" t="str">
        <f>INDEX(Cadastro_Mantimentos[[#All],[Colunas4]],MATCH(ROW()-6,Cadastro_Mantimentos[[#All],[Colunas2]],0))</f>
        <v>Molho</v>
      </c>
      <c r="C98" s="120" t="str">
        <f ca="1">IF(BAIXAS!AJ97="Vazio","Info",ROUNDUP(BAIXAS!AI97/DAY(Configurações!$C$5)*'Estoque Mínimo'!$K$1*(1+('Estoque Mínimo'!$G$1/100)),0))</f>
        <v>Info</v>
      </c>
      <c r="D98" s="92" t="str">
        <f>IF(ESTOQUE!E97="","",ESTOQUE!E97)</f>
        <v/>
      </c>
    </row>
    <row r="99" spans="2:4" ht="18.75">
      <c r="B99" s="94" t="str">
        <f>INDEX(Cadastro_Mantimentos[[#All],[Colunas4]],MATCH(ROW()-6,Cadastro_Mantimentos[[#All],[Colunas2]],0))</f>
        <v>Molho De Tomate</v>
      </c>
      <c r="C99" s="120">
        <f ca="1">IF(BAIXAS!AJ98="Vazio","Info",ROUNDUP(BAIXAS!AI98/DAY(Configurações!$C$5)*'Estoque Mínimo'!$K$1*(1+('Estoque Mínimo'!$G$1/100)),0))</f>
        <v>14</v>
      </c>
      <c r="D99" s="92" t="str">
        <f>IF(ESTOQUE!E98="","",ESTOQUE!E98)</f>
        <v>KG</v>
      </c>
    </row>
    <row r="100" spans="2:4" ht="18.75">
      <c r="B100" s="94" t="str">
        <f>INDEX(Cadastro_Mantimentos[[#All],[Colunas4]],MATCH(ROW()-6,Cadastro_Mantimentos[[#All],[Colunas2]],0))</f>
        <v>Molho Escuro</v>
      </c>
      <c r="C100" s="120">
        <f ca="1">IF(BAIXAS!AJ99="Vazio","Info",ROUNDUP(BAIXAS!AI99/DAY(Configurações!$C$5)*'Estoque Mínimo'!$K$1*(1+('Estoque Mínimo'!$G$1/100)),0))</f>
        <v>1</v>
      </c>
      <c r="D100" s="92" t="str">
        <f>IF(ESTOQUE!E99="","",ESTOQUE!E99)</f>
        <v>L</v>
      </c>
    </row>
    <row r="101" spans="2:4" ht="18.75">
      <c r="B101" s="94" t="str">
        <f>INDEX(Cadastro_Mantimentos[[#All],[Colunas4]],MATCH(ROW()-6,Cadastro_Mantimentos[[#All],[Colunas2]],0))</f>
        <v>Molho Ingles</v>
      </c>
      <c r="C101" s="120" t="str">
        <f ca="1">IF(BAIXAS!AJ100="Vazio","Info",ROUNDUP(BAIXAS!AI100/DAY(Configurações!$C$5)*'Estoque Mínimo'!$K$1*(1+('Estoque Mínimo'!$G$1/100)),0))</f>
        <v>Info</v>
      </c>
      <c r="D101" s="92" t="str">
        <f>IF(ESTOQUE!E100="","",ESTOQUE!E100)</f>
        <v>L</v>
      </c>
    </row>
    <row r="102" spans="2:4" ht="18.75">
      <c r="B102" s="94" t="str">
        <f>INDEX(Cadastro_Mantimentos[[#All],[Colunas4]],MATCH(ROW()-6,Cadastro_Mantimentos[[#All],[Colunas2]],0))</f>
        <v>Molho Pimenta</v>
      </c>
      <c r="C102" s="120" t="str">
        <f ca="1">IF(BAIXAS!AJ101="Vazio","Info",ROUNDUP(BAIXAS!AI101/DAY(Configurações!$C$5)*'Estoque Mínimo'!$K$1*(1+('Estoque Mínimo'!$G$1/100)),0))</f>
        <v>Info</v>
      </c>
      <c r="D102" s="92" t="str">
        <f>IF(ESTOQUE!E101="","",ESTOQUE!E101)</f>
        <v>L</v>
      </c>
    </row>
    <row r="103" spans="2:4" ht="18.75">
      <c r="B103" s="94" t="str">
        <f>INDEX(Cadastro_Mantimentos[[#All],[Colunas4]],MATCH(ROW()-6,Cadastro_Mantimentos[[#All],[Colunas2]],0))</f>
        <v>Mostarda</v>
      </c>
      <c r="C103" s="120">
        <f ca="1">IF(BAIXAS!AJ102="Vazio","Info",ROUNDUP(BAIXAS!AI102/DAY(Configurações!$C$5)*'Estoque Mínimo'!$K$1*(1+('Estoque Mínimo'!$G$1/100)),0))</f>
        <v>2</v>
      </c>
      <c r="D103" s="92" t="str">
        <f>IF(ESTOQUE!E102="","",ESTOQUE!E102)</f>
        <v>KG</v>
      </c>
    </row>
    <row r="104" spans="2:4" ht="18.75">
      <c r="B104" s="94" t="str">
        <f>INDEX(Cadastro_Mantimentos[[#All],[Colunas4]],MATCH(ROW()-6,Cadastro_Mantimentos[[#All],[Colunas2]],0))</f>
        <v>Óleo De Soja</v>
      </c>
      <c r="C104" s="120">
        <f ca="1">IF(BAIXAS!AJ103="Vazio","Info",ROUNDUP(BAIXAS!AI103/DAY(Configurações!$C$5)*'Estoque Mínimo'!$K$1*(1+('Estoque Mínimo'!$G$1/100)),0))</f>
        <v>11</v>
      </c>
      <c r="D104" s="92" t="str">
        <f>IF(ESTOQUE!E103="","",ESTOQUE!E103)</f>
        <v>UND</v>
      </c>
    </row>
    <row r="105" spans="2:4" ht="18.75">
      <c r="B105" s="94" t="str">
        <f>INDEX(Cadastro_Mantimentos[[#All],[Colunas4]],MATCH(ROW()-6,Cadastro_Mantimentos[[#All],[Colunas2]],0))</f>
        <v>Óleo Maria</v>
      </c>
      <c r="C105" s="120">
        <f ca="1">IF(BAIXAS!AJ104="Vazio","Info",ROUNDUP(BAIXAS!AI104/DAY(Configurações!$C$5)*'Estoque Mínimo'!$K$1*(1+('Estoque Mínimo'!$G$1/100)),0))</f>
        <v>2</v>
      </c>
      <c r="D105" s="92" t="str">
        <f>IF(ESTOQUE!E104="","",ESTOQUE!E104)</f>
        <v>L</v>
      </c>
    </row>
    <row r="106" spans="2:4" ht="18.75">
      <c r="B106" s="94" t="str">
        <f>INDEX(Cadastro_Mantimentos[[#All],[Colunas4]],MATCH(ROW()-6,Cadastro_Mantimentos[[#All],[Colunas2]],0))</f>
        <v>Orégano</v>
      </c>
      <c r="C106" s="120">
        <f ca="1">IF(BAIXAS!AJ105="Vazio","Info",ROUNDUP(BAIXAS!AI105/DAY(Configurações!$C$5)*'Estoque Mínimo'!$K$1*(1+('Estoque Mínimo'!$G$1/100)),0))</f>
        <v>1</v>
      </c>
      <c r="D106" s="92" t="str">
        <f>IF(ESTOQUE!E105="","",ESTOQUE!E105)</f>
        <v>KG</v>
      </c>
    </row>
    <row r="107" spans="2:4" ht="18.75">
      <c r="B107" s="94" t="str">
        <f>INDEX(Cadastro_Mantimentos[[#All],[Colunas4]],MATCH(ROW()-6,Cadastro_Mantimentos[[#All],[Colunas2]],0))</f>
        <v>Pão De Forma</v>
      </c>
      <c r="C107" s="120">
        <f ca="1">IF(BAIXAS!AJ106="Vazio","Info",ROUNDUP(BAIXAS!AI106/DAY(Configurações!$C$5)*'Estoque Mínimo'!$K$1*(1+('Estoque Mínimo'!$G$1/100)),0))</f>
        <v>4</v>
      </c>
      <c r="D107" s="92" t="str">
        <f>IF(ESTOQUE!E106="","",ESTOQUE!E106)</f>
        <v>UND</v>
      </c>
    </row>
    <row r="108" spans="2:4" ht="18.75">
      <c r="B108" s="94" t="str">
        <f>INDEX(Cadastro_Mantimentos[[#All],[Colunas4]],MATCH(ROW()-6,Cadastro_Mantimentos[[#All],[Colunas2]],0))</f>
        <v>Pão Integral</v>
      </c>
      <c r="C108" s="120">
        <f ca="1">IF(BAIXAS!AJ107="Vazio","Info",ROUNDUP(BAIXAS!AI107/DAY(Configurações!$C$5)*'Estoque Mínimo'!$K$1*(1+('Estoque Mínimo'!$G$1/100)),0))</f>
        <v>4</v>
      </c>
      <c r="D108" s="92" t="str">
        <f>IF(ESTOQUE!E107="","",ESTOQUE!E107)</f>
        <v>UND</v>
      </c>
    </row>
    <row r="109" spans="2:4" ht="18.75">
      <c r="B109" s="94" t="str">
        <f>INDEX(Cadastro_Mantimentos[[#All],[Colunas4]],MATCH(ROW()-6,Cadastro_Mantimentos[[#All],[Colunas2]],0))</f>
        <v>Páprica</v>
      </c>
      <c r="C109" s="120" t="str">
        <f ca="1">IF(BAIXAS!AJ108="Vazio","Info",ROUNDUP(BAIXAS!AI108/DAY(Configurações!$C$5)*'Estoque Mínimo'!$K$1*(1+('Estoque Mínimo'!$G$1/100)),0))</f>
        <v>Info</v>
      </c>
      <c r="D109" s="92" t="str">
        <f>IF(ESTOQUE!E108="","",ESTOQUE!E108)</f>
        <v/>
      </c>
    </row>
    <row r="110" spans="2:4" ht="18.75">
      <c r="B110" s="94" t="str">
        <f>INDEX(Cadastro_Mantimentos[[#All],[Colunas4]],MATCH(ROW()-6,Cadastro_Mantimentos[[#All],[Colunas2]],0))</f>
        <v>Pêssego Em Calda</v>
      </c>
      <c r="C110" s="120">
        <f ca="1">IF(BAIXAS!AJ109="Vazio","Info",ROUNDUP(BAIXAS!AI109/DAY(Configurações!$C$5)*'Estoque Mínimo'!$K$1*(1+('Estoque Mínimo'!$G$1/100)),0))</f>
        <v>2</v>
      </c>
      <c r="D110" s="92" t="str">
        <f>IF(ESTOQUE!E109="","",ESTOQUE!E109)</f>
        <v>UND</v>
      </c>
    </row>
    <row r="111" spans="2:4" ht="18.75">
      <c r="B111" s="94" t="str">
        <f>INDEX(Cadastro_Mantimentos[[#All],[Colunas4]],MATCH(ROW()-6,Cadastro_Mantimentos[[#All],[Colunas2]],0))</f>
        <v>Pó Pudim Baunilha</v>
      </c>
      <c r="C111" s="120" t="str">
        <f ca="1">IF(BAIXAS!AJ110="Vazio","Info",ROUNDUP(BAIXAS!AI110/DAY(Configurações!$C$5)*'Estoque Mínimo'!$K$1*(1+('Estoque Mínimo'!$G$1/100)),0))</f>
        <v>Info</v>
      </c>
      <c r="D111" s="92" t="str">
        <f>IF(ESTOQUE!E110="","",ESTOQUE!E110)</f>
        <v>KG</v>
      </c>
    </row>
    <row r="112" spans="2:4" ht="18.75">
      <c r="B112" s="94" t="str">
        <f>INDEX(Cadastro_Mantimentos[[#All],[Colunas4]],MATCH(ROW()-6,Cadastro_Mantimentos[[#All],[Colunas2]],0))</f>
        <v>Pó Pudim Caramelo</v>
      </c>
      <c r="C112" s="120" t="str">
        <f ca="1">IF(BAIXAS!AJ111="Vazio","Info",ROUNDUP(BAIXAS!AI111/DAY(Configurações!$C$5)*'Estoque Mínimo'!$K$1*(1+('Estoque Mínimo'!$G$1/100)),0))</f>
        <v>Info</v>
      </c>
      <c r="D112" s="92" t="str">
        <f>IF(ESTOQUE!E111="","",ESTOQUE!E111)</f>
        <v/>
      </c>
    </row>
    <row r="113" spans="2:4" ht="18.75">
      <c r="B113" s="94" t="str">
        <f>INDEX(Cadastro_Mantimentos[[#All],[Colunas4]],MATCH(ROW()-6,Cadastro_Mantimentos[[#All],[Colunas2]],0))</f>
        <v>Pó Pudim Chocolate</v>
      </c>
      <c r="C113" s="120" t="str">
        <f ca="1">IF(BAIXAS!AJ112="Vazio","Info",ROUNDUP(BAIXAS!AI112/DAY(Configurações!$C$5)*'Estoque Mínimo'!$K$1*(1+('Estoque Mínimo'!$G$1/100)),0))</f>
        <v>Info</v>
      </c>
      <c r="D113" s="92" t="str">
        <f>IF(ESTOQUE!E112="","",ESTOQUE!E112)</f>
        <v>KG</v>
      </c>
    </row>
    <row r="114" spans="2:4" ht="18.75">
      <c r="B114" s="94" t="str">
        <f>INDEX(Cadastro_Mantimentos[[#All],[Colunas4]],MATCH(ROW()-6,Cadastro_Mantimentos[[#All],[Colunas2]],0))</f>
        <v>Pó Pudim Coco</v>
      </c>
      <c r="C114" s="120">
        <f ca="1">IF(BAIXAS!AJ113="Vazio","Info",ROUNDUP(BAIXAS!AI113/DAY(Configurações!$C$5)*'Estoque Mínimo'!$K$1*(1+('Estoque Mínimo'!$G$1/100)),0))</f>
        <v>2</v>
      </c>
      <c r="D114" s="92" t="str">
        <f>IF(ESTOQUE!E113="","",ESTOQUE!E113)</f>
        <v>KG</v>
      </c>
    </row>
    <row r="115" spans="2:4" ht="18.75">
      <c r="B115" s="94" t="str">
        <f>INDEX(Cadastro_Mantimentos[[#All],[Colunas4]],MATCH(ROW()-6,Cadastro_Mantimentos[[#All],[Colunas2]],0))</f>
        <v>Pó Pudim Morango</v>
      </c>
      <c r="C115" s="120">
        <f ca="1">IF(BAIXAS!AJ114="Vazio","Info",ROUNDUP(BAIXAS!AI114/DAY(Configurações!$C$5)*'Estoque Mínimo'!$K$1*(1+('Estoque Mínimo'!$G$1/100)),0))</f>
        <v>1</v>
      </c>
      <c r="D115" s="92" t="str">
        <f>IF(ESTOQUE!E114="","",ESTOQUE!E114)</f>
        <v>KG</v>
      </c>
    </row>
    <row r="116" spans="2:4" ht="18.75">
      <c r="B116" s="94" t="str">
        <f>INDEX(Cadastro_Mantimentos[[#All],[Colunas4]],MATCH(ROW()-6,Cadastro_Mantimentos[[#All],[Colunas2]],0))</f>
        <v>Polenta</v>
      </c>
      <c r="C116" s="120">
        <f ca="1">IF(BAIXAS!AJ115="Vazio","Info",ROUNDUP(BAIXAS!AI115/DAY(Configurações!$C$5)*'Estoque Mínimo'!$K$1*(1+('Estoque Mínimo'!$G$1/100)),0))</f>
        <v>3</v>
      </c>
      <c r="D116" s="92" t="str">
        <f>IF(ESTOQUE!E115="","",ESTOQUE!E115)</f>
        <v>KG</v>
      </c>
    </row>
    <row r="117" spans="2:4" ht="18.75">
      <c r="B117" s="94" t="str">
        <f>INDEX(Cadastro_Mantimentos[[#All],[Colunas4]],MATCH(ROW()-6,Cadastro_Mantimentos[[#All],[Colunas2]],0))</f>
        <v>Pure</v>
      </c>
      <c r="C117" s="120">
        <f ca="1">IF(BAIXAS!AJ116="Vazio","Info",ROUNDUP(BAIXAS!AI116/DAY(Configurações!$C$5)*'Estoque Mínimo'!$K$1*(1+('Estoque Mínimo'!$G$1/100)),0))</f>
        <v>1</v>
      </c>
      <c r="D117" s="92" t="str">
        <f>IF(ESTOQUE!E116="","",ESTOQUE!E116)</f>
        <v>KG</v>
      </c>
    </row>
    <row r="118" spans="2:4" ht="18.75">
      <c r="B118" s="94" t="str">
        <f>INDEX(Cadastro_Mantimentos[[#All],[Colunas4]],MATCH(ROW()-6,Cadastro_Mantimentos[[#All],[Colunas2]],0))</f>
        <v>Sagu</v>
      </c>
      <c r="C118" s="120">
        <f ca="1">IF(BAIXAS!AJ117="Vazio","Info",ROUNDUP(BAIXAS!AI117/DAY(Configurações!$C$5)*'Estoque Mínimo'!$K$1*(1+('Estoque Mínimo'!$G$1/100)),0))</f>
        <v>1</v>
      </c>
      <c r="D118" s="92" t="str">
        <f>IF(ESTOQUE!E117="","",ESTOQUE!E117)</f>
        <v>KG</v>
      </c>
    </row>
    <row r="119" spans="2:4" ht="18.75">
      <c r="B119" s="94" t="str">
        <f>INDEX(Cadastro_Mantimentos[[#All],[Colunas4]],MATCH(ROW()-6,Cadastro_Mantimentos[[#All],[Colunas2]],0))</f>
        <v xml:space="preserve">Sal </v>
      </c>
      <c r="C119" s="120">
        <f ca="1">IF(BAIXAS!AJ118="Vazio","Info",ROUNDUP(BAIXAS!AI118/DAY(Configurações!$C$5)*'Estoque Mínimo'!$K$1*(1+('Estoque Mínimo'!$G$1/100)),0))</f>
        <v>4</v>
      </c>
      <c r="D119" s="92" t="str">
        <f>IF(ESTOQUE!E118="","",ESTOQUE!E118)</f>
        <v>KG</v>
      </c>
    </row>
    <row r="120" spans="2:4" ht="18.75">
      <c r="B120" s="94" t="str">
        <f>INDEX(Cadastro_Mantimentos[[#All],[Colunas4]],MATCH(ROW()-6,Cadastro_Mantimentos[[#All],[Colunas2]],0))</f>
        <v>Sal Sache</v>
      </c>
      <c r="C120" s="120" t="str">
        <f ca="1">IF(BAIXAS!AJ119="Vazio","Info",ROUNDUP(BAIXAS!AI119/DAY(Configurações!$C$5)*'Estoque Mínimo'!$K$1*(1+('Estoque Mínimo'!$G$1/100)),0))</f>
        <v>Info</v>
      </c>
      <c r="D120" s="92" t="str">
        <f>IF(ESTOQUE!E119="","",ESTOQUE!E119)</f>
        <v>CX</v>
      </c>
    </row>
    <row r="121" spans="2:4" ht="18.75">
      <c r="B121" s="94" t="str">
        <f>INDEX(Cadastro_Mantimentos[[#All],[Colunas4]],MATCH(ROW()-6,Cadastro_Mantimentos[[#All],[Colunas2]],0))</f>
        <v>Sardinha</v>
      </c>
      <c r="C121" s="120" t="str">
        <f ca="1">IF(BAIXAS!AJ120="Vazio","Info",ROUNDUP(BAIXAS!AI120/DAY(Configurações!$C$5)*'Estoque Mínimo'!$K$1*(1+('Estoque Mínimo'!$G$1/100)),0))</f>
        <v>Info</v>
      </c>
      <c r="D121" s="92" t="str">
        <f>IF(ESTOQUE!E120="","",ESTOQUE!E120)</f>
        <v/>
      </c>
    </row>
    <row r="122" spans="2:4" ht="18.75">
      <c r="B122" s="94" t="str">
        <f>INDEX(Cadastro_Mantimentos[[#All],[Colunas4]],MATCH(ROW()-6,Cadastro_Mantimentos[[#All],[Colunas2]],0))</f>
        <v>Shoyo</v>
      </c>
      <c r="C122" s="120" t="str">
        <f ca="1">IF(BAIXAS!AJ121="Vazio","Info",ROUNDUP(BAIXAS!AI121/DAY(Configurações!$C$5)*'Estoque Mínimo'!$K$1*(1+('Estoque Mínimo'!$G$1/100)),0))</f>
        <v>Info</v>
      </c>
      <c r="D122" s="92" t="str">
        <f>IF(ESTOQUE!E121="","",ESTOQUE!E121)</f>
        <v>L</v>
      </c>
    </row>
    <row r="123" spans="2:4" ht="18.75">
      <c r="B123" s="94" t="str">
        <f>INDEX(Cadastro_Mantimentos[[#All],[Colunas4]],MATCH(ROW()-6,Cadastro_Mantimentos[[#All],[Colunas2]],0))</f>
        <v>Soja em Grãos</v>
      </c>
      <c r="C123" s="120" t="str">
        <f ca="1">IF(BAIXAS!AJ122="Vazio","Info",ROUNDUP(BAIXAS!AI122/DAY(Configurações!$C$5)*'Estoque Mínimo'!$K$1*(1+('Estoque Mínimo'!$G$1/100)),0))</f>
        <v>Info</v>
      </c>
      <c r="D123" s="92" t="str">
        <f>IF(ESTOQUE!E122="","",ESTOQUE!E122)</f>
        <v/>
      </c>
    </row>
    <row r="124" spans="2:4" ht="18.75">
      <c r="B124" s="94" t="str">
        <f>INDEX(Cadastro_Mantimentos[[#All],[Colunas4]],MATCH(ROW()-6,Cadastro_Mantimentos[[#All],[Colunas2]],0))</f>
        <v xml:space="preserve">Suco De Abacaxi </v>
      </c>
      <c r="C124" s="120">
        <f ca="1">IF(BAIXAS!AJ123="Vazio","Info",ROUNDUP(BAIXAS!AI123/DAY(Configurações!$C$5)*'Estoque Mínimo'!$K$1*(1+('Estoque Mínimo'!$G$1/100)),0))</f>
        <v>1</v>
      </c>
      <c r="D124" s="92" t="str">
        <f>IF(ESTOQUE!E123="","",ESTOQUE!E123)</f>
        <v>L</v>
      </c>
    </row>
    <row r="125" spans="2:4" ht="18.75">
      <c r="B125" s="94" t="str">
        <f>INDEX(Cadastro_Mantimentos[[#All],[Colunas4]],MATCH(ROW()-6,Cadastro_Mantimentos[[#All],[Colunas2]],0))</f>
        <v>Suco de Acerola</v>
      </c>
      <c r="C125" s="120" t="str">
        <f ca="1">IF(BAIXAS!AJ124="Vazio","Info",ROUNDUP(BAIXAS!AI124/DAY(Configurações!$C$5)*'Estoque Mínimo'!$K$1*(1+('Estoque Mínimo'!$G$1/100)),0))</f>
        <v>Info</v>
      </c>
      <c r="D125" s="92" t="str">
        <f>IF(ESTOQUE!E124="","",ESTOQUE!E124)</f>
        <v>L</v>
      </c>
    </row>
    <row r="126" spans="2:4" ht="18.75">
      <c r="B126" s="94" t="str">
        <f>INDEX(Cadastro_Mantimentos[[#All],[Colunas4]],MATCH(ROW()-6,Cadastro_Mantimentos[[#All],[Colunas2]],0))</f>
        <v>Suco De Cajú</v>
      </c>
      <c r="C126" s="120" t="str">
        <f ca="1">IF(BAIXAS!AJ125="Vazio","Info",ROUNDUP(BAIXAS!AI125/DAY(Configurações!$C$5)*'Estoque Mínimo'!$K$1*(1+('Estoque Mínimo'!$G$1/100)),0))</f>
        <v>Info</v>
      </c>
      <c r="D126" s="92" t="str">
        <f>IF(ESTOQUE!E125="","",ESTOQUE!E125)</f>
        <v>L</v>
      </c>
    </row>
    <row r="127" spans="2:4" ht="18.75">
      <c r="B127" s="94" t="str">
        <f>INDEX(Cadastro_Mantimentos[[#All],[Colunas4]],MATCH(ROW()-6,Cadastro_Mantimentos[[#All],[Colunas2]],0))</f>
        <v>Suco De Goiaba</v>
      </c>
      <c r="C127" s="120">
        <f ca="1">IF(BAIXAS!AJ126="Vazio","Info",ROUNDUP(BAIXAS!AI126/DAY(Configurações!$C$5)*'Estoque Mínimo'!$K$1*(1+('Estoque Mínimo'!$G$1/100)),0))</f>
        <v>1</v>
      </c>
      <c r="D127" s="92" t="str">
        <f>IF(ESTOQUE!E126="","",ESTOQUE!E126)</f>
        <v>L</v>
      </c>
    </row>
    <row r="128" spans="2:4" ht="18.75">
      <c r="B128" s="94" t="str">
        <f>INDEX(Cadastro_Mantimentos[[#All],[Colunas4]],MATCH(ROW()-6,Cadastro_Mantimentos[[#All],[Colunas2]],0))</f>
        <v>Suco De Laranja</v>
      </c>
      <c r="C128" s="120" t="str">
        <f ca="1">IF(BAIXAS!AJ127="Vazio","Info",ROUNDUP(BAIXAS!AI127/DAY(Configurações!$C$5)*'Estoque Mínimo'!$K$1*(1+('Estoque Mínimo'!$G$1/100)),0))</f>
        <v>Info</v>
      </c>
      <c r="D128" s="92" t="str">
        <f>IF(ESTOQUE!E127="","",ESTOQUE!E127)</f>
        <v>L</v>
      </c>
    </row>
    <row r="129" spans="2:4" ht="18.75">
      <c r="B129" s="94" t="str">
        <f>INDEX(Cadastro_Mantimentos[[#All],[Colunas4]],MATCH(ROW()-6,Cadastro_Mantimentos[[#All],[Colunas2]],0))</f>
        <v>Suco de Manga</v>
      </c>
      <c r="C129" s="120" t="str">
        <f ca="1">IF(BAIXAS!AJ128="Vazio","Info",ROUNDUP(BAIXAS!AI128/DAY(Configurações!$C$5)*'Estoque Mínimo'!$K$1*(1+('Estoque Mínimo'!$G$1/100)),0))</f>
        <v>Info</v>
      </c>
      <c r="D129" s="92" t="str">
        <f>IF(ESTOQUE!E128="","",ESTOQUE!E128)</f>
        <v>L</v>
      </c>
    </row>
    <row r="130" spans="2:4" ht="18.75">
      <c r="B130" s="94" t="str">
        <f>INDEX(Cadastro_Mantimentos[[#All],[Colunas4]],MATCH(ROW()-6,Cadastro_Mantimentos[[#All],[Colunas2]],0))</f>
        <v>Suco De Maracujá</v>
      </c>
      <c r="C130" s="120" t="str">
        <f ca="1">IF(BAIXAS!AJ130="Vazio","Info",ROUNDUP(BAIXAS!AI130/DAY(Configurações!$C$5)*'Estoque Mínimo'!$K$1*(1+('Estoque Mínimo'!$G$1/100)),0))</f>
        <v>Info</v>
      </c>
      <c r="D130" s="92" t="str">
        <f>IF(ESTOQUE!E129="","",ESTOQUE!E129)</f>
        <v>L</v>
      </c>
    </row>
    <row r="131" spans="2:4" ht="18.75">
      <c r="B131" s="94" t="str">
        <f>INDEX(Cadastro_Mantimentos[[#All],[Colunas4]],MATCH(ROW()-6,Cadastro_Mantimentos[[#All],[Colunas2]],0))</f>
        <v>Suco De Tangerina</v>
      </c>
      <c r="C131" s="120">
        <f ca="1">IF(BAIXAS!AJ133="Vazio","Info",ROUNDUP(BAIXAS!AI133/DAY(Configurações!$C$5)*'Estoque Mínimo'!$K$1*(1+('Estoque Mínimo'!$G$1/100)),0))</f>
        <v>1</v>
      </c>
      <c r="D131" s="92" t="str">
        <f>IF(ESTOQUE!E130="","",ESTOQUE!E130)</f>
        <v>L</v>
      </c>
    </row>
    <row r="132" spans="2:4" ht="18.75">
      <c r="B132" s="133" t="str">
        <f>INDEX(Cadastro_Mantimentos[[#All],[Colunas4]],MATCH(ROW()-6,Cadastro_Mantimentos[[#All],[Colunas2]],0))</f>
        <v>Suco de Uva</v>
      </c>
      <c r="C132" s="136" t="str">
        <f ca="1">IF(BAIXAS!AJ131="Vazio","Info",ROUNDUP(BAIXAS!AI131/DAY(Configurações!$C$5)*'Estoque Mínimo'!$K$1*(1+('Estoque Mínimo'!$G$1/100)),0))</f>
        <v>Info</v>
      </c>
      <c r="D132" s="92" t="str">
        <f>IF(ESTOQUE!E131="","",ESTOQUE!E131)</f>
        <v>L</v>
      </c>
    </row>
    <row r="133" spans="2:4" ht="18.75">
      <c r="B133" s="133" t="str">
        <f>INDEX(Cadastro_Mantimentos[[#All],[Colunas4]],MATCH(ROW()-6,Cadastro_Mantimentos[[#All],[Colunas2]],0))</f>
        <v>Tempero Fondor</v>
      </c>
      <c r="C133" s="136" t="str">
        <f ca="1">IF(BAIXAS!AJ131="Vazio","Info",ROUNDUP(BAIXAS!AI131/DAY(Configurações!$C$5)*'Estoque Mínimo'!$K$1*(1+('Estoque Mínimo'!$G$1/100)),0))</f>
        <v>Info</v>
      </c>
      <c r="D133" s="92" t="str">
        <f>IF(ESTOQUE!E132="","",ESTOQUE!E132)</f>
        <v>KG</v>
      </c>
    </row>
    <row r="134" spans="2:4" ht="18.75">
      <c r="B134" s="151" t="str">
        <f>INDEX(Cadastro_Mantimentos[[#All],[Colunas4]],MATCH(ROW()-6,Cadastro_Mantimentos[[#All],[Colunas2]],0))</f>
        <v xml:space="preserve">Trigo Para Kibe </v>
      </c>
      <c r="C134" s="153">
        <f ca="1">IF(BAIXAS!AJ133="Vazio","Info",ROUNDUP(BAIXAS!AI133/DAY(Configurações!$C$5)*'Estoque Mínimo'!$K$1*(1+('Estoque Mínimo'!$G$1/100)),0))</f>
        <v>1</v>
      </c>
      <c r="D134" s="92" t="str">
        <f>IF(ESTOQUE!E133="","",ESTOQUE!E133)</f>
        <v>KG</v>
      </c>
    </row>
    <row r="135" spans="2:4" ht="18.75">
      <c r="B135" s="151" t="str">
        <f>INDEX(Cadastro_Mantimentos[[#All],[Colunas4]],MATCH(ROW()-6,Cadastro_Mantimentos[[#All],[Colunas2]],0))</f>
        <v>Uva Passa Preta</v>
      </c>
      <c r="C135" s="153">
        <f ca="1">IF(BAIXAS!AJ133="Vazio","Info",ROUNDUP(BAIXAS!AI133/DAY(Configurações!$C$5)*'Estoque Mínimo'!$K$1*(1+('Estoque Mínimo'!$G$1/100)),0))</f>
        <v>1</v>
      </c>
      <c r="D135" s="92" t="str">
        <f>IF(ESTOQUE!E134="","",ESTOQUE!E134)</f>
        <v>KG</v>
      </c>
    </row>
    <row r="136" spans="2:4" ht="18.75">
      <c r="B136" s="151" t="str">
        <f>INDEX(Cadastro_Mantimentos[[#All],[Colunas4]],MATCH(ROW()-6,Cadastro_Mantimentos[[#All],[Colunas2]],0))</f>
        <v xml:space="preserve">Vinagre </v>
      </c>
      <c r="C136" s="153">
        <f ca="1">IF(BAIXAS!AJ133="Vazio","Info",ROUNDUP(BAIXAS!AI133/DAY(Configurações!$C$5)*'Estoque Mínimo'!$K$1*(1+('Estoque Mínimo'!$G$1/100)),0))</f>
        <v>1</v>
      </c>
      <c r="D136" s="92" t="str">
        <f>IF(ESTOQUE!E135="","",ESTOQUE!E135)</f>
        <v>UND</v>
      </c>
    </row>
    <row r="137" spans="2:4" ht="18.75">
      <c r="B137" s="151" t="str">
        <f>INDEX(Cadastro_Mantimentos[[#All],[Colunas4]],MATCH(ROW()-6,Cadastro_Mantimentos[[#All],[Colunas2]],0))</f>
        <v>Vinagre Sachê</v>
      </c>
      <c r="C137" s="153">
        <f ca="1">IF(BAIXAS!AJ133="Vazio","Info",ROUNDUP(BAIXAS!AI133/DAY(Configurações!$C$5)*'Estoque Mínimo'!$K$1*(1+('Estoque Mínimo'!$G$1/100)),0))</f>
        <v>1</v>
      </c>
      <c r="D137" s="92" t="str">
        <f>IF(ESTOQUE!E136="","",ESTOQUE!E136)</f>
        <v/>
      </c>
    </row>
    <row r="138" spans="2:4" ht="18.75">
      <c r="B138" s="94" t="str">
        <f>INDEX(Cadastro_Mantimentos[[#All],[Colunas4]],MATCH(ROW()-6,Cadastro_Mantimentos[[#All],[Colunas2]],0))</f>
        <v>Vinho</v>
      </c>
      <c r="C138" s="120" t="str">
        <f ca="1">IF(BAIXAS!AJ137="Vazio","Info",ROUNDUP(BAIXAS!AI137/DAY(Configurações!$C$5)*'Estoque Mínimo'!$K$1*(1+('Estoque Mínimo'!$G$1/100)),0))</f>
        <v>Info</v>
      </c>
      <c r="D138" s="92" t="str">
        <f>IF(ESTOQUE!E137="","",ESTOQUE!E137)</f>
        <v>L</v>
      </c>
    </row>
    <row r="139" spans="2:4" ht="15" thickBot="1">
      <c r="B139" s="479"/>
      <c r="C139" s="479"/>
      <c r="D139" s="479"/>
    </row>
    <row r="140" spans="2:4" ht="24" thickBot="1">
      <c r="B140" s="461" t="s">
        <v>32</v>
      </c>
      <c r="C140" s="463"/>
      <c r="D140" s="464"/>
    </row>
    <row r="141" spans="2:4" ht="18.75">
      <c r="B141" s="94" t="str">
        <f>INDEX(Cadastro_Carnes[[#All],[Colunas4]],MATCH(ROW()-6,Cadastro_Carnes[[#All],[Colunas2]],0))</f>
        <v>Almondega</v>
      </c>
      <c r="C141" s="95">
        <f ca="1">IF(BAIXAS!AJ140="Vazio","Info",ROUNDUP(BAIXAS!AI140/DAY(Configurações!$C$5)*'Estoque Mínimo'!$K$1*(1+('Estoque Mínimo'!$G$1/100)),0))</f>
        <v>3</v>
      </c>
      <c r="D141" s="92" t="str">
        <f>IF(ESTOQUE!E140="","",ESTOQUE!E140)</f>
        <v>KG</v>
      </c>
    </row>
    <row r="142" spans="2:4" ht="18.75">
      <c r="B142" s="94" t="str">
        <f>INDEX(Cadastro_Carnes[[#All],[Colunas4]],MATCH(ROW()-6,Cadastro_Carnes[[#All],[Colunas2]],0))</f>
        <v xml:space="preserve">Bacon </v>
      </c>
      <c r="C142" s="95">
        <f ca="1">IF(BAIXAS!AJ141="Vazio","Info",ROUNDUP(BAIXAS!AI141/DAY(Configurações!$C$5)*'Estoque Mínimo'!$K$1*(1+('Estoque Mínimo'!$G$1/100)),0))</f>
        <v>4</v>
      </c>
      <c r="D142" s="92" t="str">
        <f>IF(ESTOQUE!E141="","",ESTOQUE!E141)</f>
        <v>KG</v>
      </c>
    </row>
    <row r="143" spans="2:4" ht="18.75">
      <c r="B143" s="94" t="str">
        <f>INDEX(Cadastro_Carnes[[#All],[Colunas4]],MATCH(ROW()-6,Cadastro_Carnes[[#All],[Colunas2]],0))</f>
        <v>Barriga</v>
      </c>
      <c r="C143" s="95">
        <f ca="1">IF(BAIXAS!AJ142="Vazio","Info",ROUNDUP(BAIXAS!AI142/DAY(Configurações!$C$5)*'Estoque Mínimo'!$K$1*(1+('Estoque Mínimo'!$G$1/100)),0))</f>
        <v>12</v>
      </c>
      <c r="D143" s="92" t="str">
        <f>IF(ESTOQUE!E142="","",ESTOQUE!E142)</f>
        <v>KG</v>
      </c>
    </row>
    <row r="144" spans="2:4" ht="18.75">
      <c r="B144" s="94" t="str">
        <f>INDEX(Cadastro_Carnes[[#All],[Colunas4]],MATCH(ROW()-6,Cadastro_Carnes[[#All],[Colunas2]],0))</f>
        <v>Bisteca Porco</v>
      </c>
      <c r="C144" s="95">
        <f ca="1">IF(BAIXAS!AJ143="Vazio","Info",ROUNDUP(BAIXAS!AI143/DAY(Configurações!$C$5)*'Estoque Mínimo'!$K$1*(1+('Estoque Mínimo'!$G$1/100)),0))</f>
        <v>6</v>
      </c>
      <c r="D144" s="92" t="str">
        <f>IF(ESTOQUE!E143="","",ESTOQUE!E143)</f>
        <v>KG</v>
      </c>
    </row>
    <row r="145" spans="2:4" ht="18.75">
      <c r="B145" s="94" t="str">
        <f>INDEX(Cadastro_Carnes[[#All],[Colunas4]],MATCH(ROW()-6,Cadastro_Carnes[[#All],[Colunas2]],0))</f>
        <v>Carne Moida Patinho</v>
      </c>
      <c r="C145" s="95">
        <f ca="1">IF(BAIXAS!AJ144="Vazio","Info",ROUNDUP(BAIXAS!AI144/DAY(Configurações!$C$5)*'Estoque Mínimo'!$K$1*(1+('Estoque Mínimo'!$G$1/100)),0))</f>
        <v>4</v>
      </c>
      <c r="D145" s="92" t="str">
        <f>IF(ESTOQUE!E144="","",ESTOQUE!E144)</f>
        <v>KG</v>
      </c>
    </row>
    <row r="146" spans="2:4" ht="18.75">
      <c r="B146" s="94" t="str">
        <f>INDEX(Cadastro_Carnes[[#All],[Colunas4]],MATCH(ROW()-6,Cadastro_Carnes[[#All],[Colunas2]],0))</f>
        <v>Carne Seca</v>
      </c>
      <c r="C146" s="95">
        <f ca="1">IF(BAIXAS!AJ145="Vazio","Info",ROUNDUP(BAIXAS!AI145/DAY(Configurações!$C$5)*'Estoque Mínimo'!$K$1*(1+('Estoque Mínimo'!$G$1/100)),0))</f>
        <v>11</v>
      </c>
      <c r="D146" s="92" t="str">
        <f>IF(ESTOQUE!E145="","",ESTOQUE!E145)</f>
        <v>KG</v>
      </c>
    </row>
    <row r="147" spans="2:4" ht="18.75">
      <c r="B147" s="94" t="str">
        <f>INDEX(Cadastro_Carnes[[#All],[Colunas4]],MATCH(ROW()-6,Cadastro_Carnes[[#All],[Colunas2]],0))</f>
        <v>Cheester</v>
      </c>
      <c r="C147" s="95" t="str">
        <f ca="1">IF(BAIXAS!AJ146="Vazio","Info",ROUNDUP(BAIXAS!AI146/DAY(Configurações!$C$5)*'Estoque Mínimo'!$K$1*(1+('Estoque Mínimo'!$G$1/100)),0))</f>
        <v>Info</v>
      </c>
      <c r="D147" s="92" t="str">
        <f>IF(ESTOQUE!E146="","",ESTOQUE!E146)</f>
        <v>KG</v>
      </c>
    </row>
    <row r="148" spans="2:4" ht="18.75">
      <c r="B148" s="94" t="str">
        <f>INDEX(Cadastro_Carnes[[#All],[Colunas4]],MATCH(ROW()-6,Cadastro_Carnes[[#All],[Colunas2]],0))</f>
        <v>Contra Filé</v>
      </c>
      <c r="C148" s="95">
        <f ca="1">IF(BAIXAS!AJ147="Vazio","Info",ROUNDUP(BAIXAS!AI147/DAY(Configurações!$C$5)*'Estoque Mínimo'!$K$1*(1+('Estoque Mínimo'!$G$1/100)),0))</f>
        <v>24</v>
      </c>
      <c r="D148" s="92" t="str">
        <f>IF(ESTOQUE!E147="","",ESTOQUE!E147)</f>
        <v>KG</v>
      </c>
    </row>
    <row r="149" spans="2:4" ht="18.75">
      <c r="B149" s="94" t="str">
        <f>INDEX(Cadastro_Carnes[[#All],[Colunas4]],MATCH(ROW()-6,Cadastro_Carnes[[#All],[Colunas2]],0))</f>
        <v>Costela Fresca</v>
      </c>
      <c r="C149" s="95">
        <f ca="1">IF(BAIXAS!AJ148="Vazio","Info",ROUNDUP(BAIXAS!AI148/DAY(Configurações!$C$5)*'Estoque Mínimo'!$K$1*(1+('Estoque Mínimo'!$G$1/100)),0))</f>
        <v>5</v>
      </c>
      <c r="D149" s="92" t="str">
        <f>IF(ESTOQUE!E148="","",ESTOQUE!E148)</f>
        <v>KG</v>
      </c>
    </row>
    <row r="150" spans="2:4" ht="18.75">
      <c r="B150" s="94" t="str">
        <f>INDEX(Cadastro_Carnes[[#All],[Colunas4]],MATCH(ROW()-6,Cadastro_Carnes[[#All],[Colunas2]],0))</f>
        <v>Costela Salgada</v>
      </c>
      <c r="C150" s="95">
        <f ca="1">IF(BAIXAS!AJ149="Vazio","Info",ROUNDUP(BAIXAS!AI149/DAY(Configurações!$C$5)*'Estoque Mínimo'!$K$1*(1+('Estoque Mínimo'!$G$1/100)),0))</f>
        <v>8</v>
      </c>
      <c r="D150" s="92" t="str">
        <f>IF(ESTOQUE!E149="","",ESTOQUE!E149)</f>
        <v>KG</v>
      </c>
    </row>
    <row r="151" spans="2:4" ht="18.75">
      <c r="B151" s="94" t="str">
        <f>INDEX(Cadastro_Carnes[[#All],[Colunas4]],MATCH(ROW()-6,Cadastro_Carnes[[#All],[Colunas2]],0))</f>
        <v>Coxa Com Sobrecoxa</v>
      </c>
      <c r="C151" s="95">
        <f ca="1">IF(BAIXAS!AJ150="Vazio","Info",ROUNDUP(BAIXAS!AI150/DAY(Configurações!$C$5)*'Estoque Mínimo'!$K$1*(1+('Estoque Mínimo'!$G$1/100)),0))</f>
        <v>47</v>
      </c>
      <c r="D151" s="92" t="str">
        <f>IF(ESTOQUE!E150="","",ESTOQUE!E150)</f>
        <v>KG</v>
      </c>
    </row>
    <row r="152" spans="2:4" ht="18.75">
      <c r="B152" s="94" t="str">
        <f>INDEX(Cadastro_Carnes[[#All],[Colunas4]],MATCH(ROW()-6,Cadastro_Carnes[[#All],[Colunas2]],0))</f>
        <v>Coxão Duro</v>
      </c>
      <c r="C152" s="95">
        <f ca="1">IF(BAIXAS!AJ151="Vazio","Info",ROUNDUP(BAIXAS!AI151/DAY(Configurações!$C$5)*'Estoque Mínimo'!$K$1*(1+('Estoque Mínimo'!$G$1/100)),0))</f>
        <v>9</v>
      </c>
      <c r="D152" s="92" t="str">
        <f>IF(ESTOQUE!E151="","",ESTOQUE!E151)</f>
        <v>KG</v>
      </c>
    </row>
    <row r="153" spans="2:4" ht="18.75">
      <c r="B153" s="94" t="str">
        <f>INDEX(Cadastro_Carnes[[#All],[Colunas4]],MATCH(ROW()-6,Cadastro_Carnes[[#All],[Colunas2]],0))</f>
        <v xml:space="preserve">Coxão Mole </v>
      </c>
      <c r="C153" s="95">
        <f ca="1">IF(BAIXAS!AJ152="Vazio","Info",ROUNDUP(BAIXAS!AI152/DAY(Configurações!$C$5)*'Estoque Mínimo'!$K$1*(1+('Estoque Mínimo'!$G$1/100)),0))</f>
        <v>14</v>
      </c>
      <c r="D153" s="92" t="str">
        <f>IF(ESTOQUE!E152="","",ESTOQUE!E152)</f>
        <v>KG</v>
      </c>
    </row>
    <row r="154" spans="2:4" ht="18.75">
      <c r="B154" s="94" t="str">
        <f>INDEX(Cadastro_Carnes[[#All],[Colunas4]],MATCH(ROW()-6,Cadastro_Carnes[[#All],[Colunas2]],0))</f>
        <v>Cupim</v>
      </c>
      <c r="C154" s="95">
        <f ca="1">IF(BAIXAS!AJ153="Vazio","Info",ROUNDUP(BAIXAS!AI153/DAY(Configurações!$C$5)*'Estoque Mínimo'!$K$1*(1+('Estoque Mínimo'!$G$1/100)),0))</f>
        <v>11</v>
      </c>
      <c r="D154" s="92" t="str">
        <f>IF(ESTOQUE!E153="","",ESTOQUE!E153)</f>
        <v>KG</v>
      </c>
    </row>
    <row r="155" spans="2:4" ht="18.75">
      <c r="B155" s="94" t="str">
        <f>INDEX(Cadastro_Carnes[[#All],[Colunas4]],MATCH(ROW()-6,Cadastro_Carnes[[#All],[Colunas2]],0))</f>
        <v>Filé Frango</v>
      </c>
      <c r="C155" s="95">
        <f ca="1">IF(BAIXAS!AJ154="Vazio","Info",ROUNDUP(BAIXAS!AI154/DAY(Configurações!$C$5)*'Estoque Mínimo'!$K$1*(1+('Estoque Mínimo'!$G$1/100)),0))</f>
        <v>37</v>
      </c>
      <c r="D155" s="92" t="str">
        <f>IF(ESTOQUE!E154="","",ESTOQUE!E154)</f>
        <v>KG</v>
      </c>
    </row>
    <row r="156" spans="2:4" ht="18.75">
      <c r="B156" s="94" t="str">
        <f>INDEX(Cadastro_Carnes[[#All],[Colunas4]],MATCH(ROW()-6,Cadastro_Carnes[[#All],[Colunas2]],0))</f>
        <v>Fraldinha</v>
      </c>
      <c r="C156" s="95" t="str">
        <f ca="1">IF(BAIXAS!AJ155="Vazio","Info",ROUNDUP(BAIXAS!AI155/DAY(Configurações!$C$5)*'Estoque Mínimo'!$K$1*(1+('Estoque Mínimo'!$G$1/100)),0))</f>
        <v>Info</v>
      </c>
      <c r="D156" s="92" t="str">
        <f>IF(ESTOQUE!E155="","",ESTOQUE!E155)</f>
        <v>KG</v>
      </c>
    </row>
    <row r="157" spans="2:4" ht="18.75">
      <c r="B157" s="94" t="str">
        <f>INDEX(Cadastro_Carnes[[#All],[Colunas4]],MATCH(ROW()-6,Cadastro_Carnes[[#All],[Colunas2]],0))</f>
        <v>Hambúrguer</v>
      </c>
      <c r="C157" s="95" t="str">
        <f ca="1">IF(BAIXAS!AJ156="Vazio","Info",ROUNDUP(BAIXAS!AI156/DAY(Configurações!$C$5)*'Estoque Mínimo'!$K$1*(1+('Estoque Mínimo'!$G$1/100)),0))</f>
        <v>Info</v>
      </c>
      <c r="D157" s="92" t="str">
        <f>IF(ESTOQUE!E156="","",ESTOQUE!E156)</f>
        <v>KG</v>
      </c>
    </row>
    <row r="158" spans="2:4" ht="18.75">
      <c r="B158" s="94" t="str">
        <f>INDEX(Cadastro_Carnes[[#All],[Colunas4]],MATCH(ROW()-6,Cadastro_Carnes[[#All],[Colunas2]],0))</f>
        <v>Lagarto</v>
      </c>
      <c r="C158" s="95">
        <f ca="1">IF(BAIXAS!AJ157="Vazio","Info",ROUNDUP(BAIXAS!AI157/DAY(Configurações!$C$5)*'Estoque Mínimo'!$K$1*(1+('Estoque Mínimo'!$G$1/100)),0))</f>
        <v>8</v>
      </c>
      <c r="D158" s="92" t="str">
        <f>IF(ESTOQUE!E157="","",ESTOQUE!E157)</f>
        <v>KG</v>
      </c>
    </row>
    <row r="159" spans="2:4" ht="18.75">
      <c r="B159" s="94" t="str">
        <f>INDEX(Cadastro_Carnes[[#All],[Colunas4]],MATCH(ROW()-6,Cadastro_Carnes[[#All],[Colunas2]],0))</f>
        <v xml:space="preserve">Linguiça Calabresa </v>
      </c>
      <c r="C159" s="95">
        <f ca="1">IF(BAIXAS!AJ158="Vazio","Info",ROUNDUP(BAIXAS!AI158/DAY(Configurações!$C$5)*'Estoque Mínimo'!$K$1*(1+('Estoque Mínimo'!$G$1/100)),0))</f>
        <v>10</v>
      </c>
      <c r="D159" s="92" t="str">
        <f>IF(ESTOQUE!E158="","",ESTOQUE!E158)</f>
        <v>KG</v>
      </c>
    </row>
    <row r="160" spans="2:4" ht="18.75">
      <c r="B160" s="94" t="str">
        <f>INDEX(Cadastro_Carnes[[#All],[Colunas4]],MATCH(ROW()-6,Cadastro_Carnes[[#All],[Colunas2]],0))</f>
        <v xml:space="preserve">Linguiça Fresca </v>
      </c>
      <c r="C160" s="95">
        <f ca="1">IF(BAIXAS!AJ159="Vazio","Info",ROUNDUP(BAIXAS!AI159/DAY(Configurações!$C$5)*'Estoque Mínimo'!$K$1*(1+('Estoque Mínimo'!$G$1/100)),0))</f>
        <v>14</v>
      </c>
      <c r="D160" s="92" t="str">
        <f>IF(ESTOQUE!E159="","",ESTOQUE!E159)</f>
        <v>KG</v>
      </c>
    </row>
    <row r="161" spans="2:247" ht="18.75">
      <c r="B161" s="94" t="str">
        <f>INDEX(Cadastro_Carnes[[#All],[Colunas4]],MATCH(ROW()-6,Cadastro_Carnes[[#All],[Colunas2]],0))</f>
        <v>Lingüiça Paio</v>
      </c>
      <c r="C161" s="95">
        <f ca="1">IF(BAIXAS!AJ160="Vazio","Info",ROUNDUP(BAIXAS!AI160/DAY(Configurações!$C$5)*'Estoque Mínimo'!$K$1*(1+('Estoque Mínimo'!$G$1/100)),0))</f>
        <v>3</v>
      </c>
      <c r="D161" s="92" t="str">
        <f>IF(ESTOQUE!E160="","",ESTOQUE!E160)</f>
        <v>KG</v>
      </c>
    </row>
    <row r="162" spans="2:247" ht="18.75">
      <c r="B162" s="94" t="str">
        <f>INDEX(Cadastro_Carnes[[#All],[Colunas4]],MATCH(ROW()-6,Cadastro_Carnes[[#All],[Colunas2]],0))</f>
        <v>Lombo De Porco</v>
      </c>
      <c r="C162" s="95">
        <f ca="1">IF(BAIXAS!AJ161="Vazio","Info",ROUNDUP(BAIXAS!AI161/DAY(Configurações!$C$5)*'Estoque Mínimo'!$K$1*(1+('Estoque Mínimo'!$G$1/100)),0))</f>
        <v>16</v>
      </c>
      <c r="D162" s="92" t="str">
        <f>IF(ESTOQUE!E161="","",ESTOQUE!E161)</f>
        <v>KG</v>
      </c>
    </row>
    <row r="163" spans="2:247" ht="18.75">
      <c r="B163" s="94" t="str">
        <f>INDEX(Cadastro_Carnes[[#All],[Colunas4]],MATCH(ROW()-6,Cadastro_Carnes[[#All],[Colunas2]],0))</f>
        <v>Maminha</v>
      </c>
      <c r="C163" s="95" t="str">
        <f ca="1">IF(BAIXAS!AJ162="Vazio","Info",ROUNDUP(BAIXAS!AI162/DAY(Configurações!$C$5)*'Estoque Mínimo'!$K$1*(1+('Estoque Mínimo'!$G$1/100)),0))</f>
        <v>Info</v>
      </c>
      <c r="D163" s="92" t="str">
        <f>IF(ESTOQUE!E162="","",ESTOQUE!E162)</f>
        <v>KG</v>
      </c>
    </row>
    <row r="164" spans="2:247" ht="18.75">
      <c r="B164" s="94" t="str">
        <f>INDEX(Cadastro_Carnes[[#All],[Colunas4]],MATCH(ROW()-6,Cadastro_Carnes[[#All],[Colunas2]],0))</f>
        <v>Paleta</v>
      </c>
      <c r="C164" s="95" t="str">
        <f ca="1">IF(BAIXAS!AJ163="Vazio","Info",ROUNDUP(BAIXAS!AI163/DAY(Configurações!$C$5)*'Estoque Mínimo'!$K$1*(1+('Estoque Mínimo'!$G$1/100)),0))</f>
        <v>Info</v>
      </c>
      <c r="D164" s="92" t="str">
        <f>IF(ESTOQUE!E163="","",ESTOQUE!E163)</f>
        <v>KG</v>
      </c>
    </row>
    <row r="165" spans="2:247" ht="18.75">
      <c r="B165" s="94" t="str">
        <f>INDEX(Cadastro_Carnes[[#All],[Colunas4]],MATCH(ROW()-6,Cadastro_Carnes[[#All],[Colunas2]],0))</f>
        <v>Pernil</v>
      </c>
      <c r="C165" s="95" t="str">
        <f ca="1">IF(BAIXAS!AJ164="Vazio","Info",ROUNDUP(BAIXAS!AI164/DAY(Configurações!$C$5)*'Estoque Mínimo'!$K$1*(1+('Estoque Mínimo'!$G$1/100)),0))</f>
        <v>Info</v>
      </c>
      <c r="D165" s="92" t="str">
        <f>IF(ESTOQUE!E164="","",ESTOQUE!E164)</f>
        <v>KG</v>
      </c>
    </row>
    <row r="166" spans="2:247" ht="18.75">
      <c r="B166" s="94" t="str">
        <f>INDEX(Cadastro_Carnes[[#All],[Colunas4]],MATCH(ROW()-6,Cadastro_Carnes[[#All],[Colunas2]],0))</f>
        <v>Peru</v>
      </c>
      <c r="C166" s="95">
        <f ca="1">IF(BAIXAS!AJ165="Vazio","Info",ROUNDUP(BAIXAS!AI165/DAY(Configurações!$C$5)*'Estoque Mínimo'!$K$1*(1+('Estoque Mínimo'!$G$1/100)),0))</f>
        <v>13</v>
      </c>
      <c r="D166" s="92" t="str">
        <f>IF(ESTOQUE!E165="","",ESTOQUE!E165)</f>
        <v>KG</v>
      </c>
    </row>
    <row r="167" spans="2:247" ht="15.75" customHeight="1">
      <c r="B167" s="94" t="str">
        <f>INDEX(Cadastro_Carnes[[#All],[Colunas4]],MATCH(ROW()-6,Cadastro_Carnes[[#All],[Colunas2]],0))</f>
        <v>Presunto</v>
      </c>
      <c r="C167" s="95">
        <f ca="1">IF(BAIXAS!AJ166="Vazio","Info",ROUNDUP(BAIXAS!AI166/DAY(Configurações!$C$5)*'Estoque Mínimo'!$K$1*(1+('Estoque Mínimo'!$G$1/100)),0))</f>
        <v>4</v>
      </c>
      <c r="D167" s="92" t="str">
        <f>IF(ESTOQUE!E166="","",ESTOQUE!E166)</f>
        <v>KG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</row>
    <row r="168" spans="2:247" ht="18.75">
      <c r="B168" s="94" t="str">
        <f>INDEX(Cadastro_Carnes[[#All],[Colunas4]],MATCH(ROW()-6,Cadastro_Carnes[[#All],[Colunas2]],0))</f>
        <v>Salsicha</v>
      </c>
      <c r="C168" s="95">
        <f ca="1">IF(BAIXAS!AJ167="Vazio","Info",ROUNDUP(BAIXAS!AI167/DAY(Configurações!$C$5)*'Estoque Mínimo'!$K$1*(1+('Estoque Mínimo'!$G$1/100)),0))</f>
        <v>6</v>
      </c>
      <c r="D168" s="92" t="str">
        <f>IF(ESTOQUE!E167="","",ESTOQUE!E167)</f>
        <v>KG</v>
      </c>
    </row>
    <row r="169" spans="2:247" ht="18.75">
      <c r="B169" s="94" t="str">
        <f>INDEX(Cadastro_Carnes[[#All],[Colunas4]],MATCH(ROW()-6,Cadastro_Carnes[[#All],[Colunas2]],0))</f>
        <v>Tender</v>
      </c>
      <c r="C169" s="95" t="str">
        <f ca="1">IF(BAIXAS!AJ168="Vazio","Info",ROUNDUP(BAIXAS!AI168/DAY(Configurações!$C$5)*'Estoque Mínimo'!$K$1*(1+('Estoque Mínimo'!$G$1/100)),0))</f>
        <v>Info</v>
      </c>
      <c r="D169" s="92" t="str">
        <f>IF(ESTOQUE!E168="","",ESTOQUE!E168)</f>
        <v>KG</v>
      </c>
    </row>
    <row r="170" spans="2:247" ht="15" thickBot="1">
      <c r="B170" s="479"/>
      <c r="C170" s="479"/>
      <c r="D170" s="479"/>
    </row>
    <row r="171" spans="2:247" ht="24" thickBot="1">
      <c r="B171" s="468" t="s">
        <v>46</v>
      </c>
      <c r="C171" s="469"/>
      <c r="D171" s="470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</row>
    <row r="172" spans="2:247" ht="18.75">
      <c r="B172" s="94" t="str">
        <f>INDEX(Cadastro_Queijo[[#All],[Colunas4]],MATCH(ROW()-6,Cadastro_Queijo[[#All],[Colunas2]],0))</f>
        <v>Queijo Branco/Fresco</v>
      </c>
      <c r="C172" s="96">
        <f ca="1">IF(BAIXAS!AJ171="Vazio","Info",ROUNDUP(BAIXAS!AI171/DAY(Configurações!$C$5)*'Estoque Mínimo'!$K$1*(1+('Estoque Mínimo'!$G$1/100)),0))</f>
        <v>14</v>
      </c>
      <c r="D172" s="92" t="str">
        <f>IF(ESTOQUE!E167="","",ESTOQUE!E167)</f>
        <v>KG</v>
      </c>
    </row>
    <row r="173" spans="2:247" ht="18.75">
      <c r="B173" s="94" t="str">
        <f>INDEX(Cadastro_Queijo[[#All],[Colunas4]],MATCH(ROW()-6,Cadastro_Queijo[[#All],[Colunas2]],0))</f>
        <v>Queijo Mussarela</v>
      </c>
      <c r="C173" s="96">
        <f ca="1">IF(BAIXAS!AJ172="Vazio","Info",ROUNDUP(BAIXAS!AI172/DAY(Configurações!$C$5)*'Estoque Mínimo'!$K$1*(1+('Estoque Mínimo'!$G$1/100)),0))</f>
        <v>6</v>
      </c>
      <c r="D173" s="149" t="str">
        <f>IF(ESTOQUE!E168="","",ESTOQUE!E168)</f>
        <v>KG</v>
      </c>
    </row>
    <row r="174" spans="2:247" ht="18.75">
      <c r="B174" s="94" t="str">
        <f>INDEX(Cadastro_Queijo[[#All],[Colunas4]],MATCH(ROW()-6,Cadastro_Queijo[[#All],[Colunas2]],0))</f>
        <v>Queijo Ralado</v>
      </c>
      <c r="C174" s="96">
        <f ca="1">IF(BAIXAS!AJ173="Vazio","Info",ROUNDUP(BAIXAS!AI173/DAY(Configurações!$C$5)*'Estoque Mínimo'!$K$1*(1+('Estoque Mínimo'!$G$1/100)),0))</f>
        <v>3</v>
      </c>
      <c r="D174" s="149" t="str">
        <f>IF(ESTOQUE!E169="","",ESTOQUE!E169)</f>
        <v/>
      </c>
    </row>
    <row r="175" spans="2:247" ht="15" thickBot="1">
      <c r="B175" s="479"/>
      <c r="C175" s="479"/>
      <c r="D175" s="479"/>
    </row>
    <row r="176" spans="2:247" ht="24" thickBot="1">
      <c r="B176" s="465" t="s">
        <v>49</v>
      </c>
      <c r="C176" s="466"/>
      <c r="D176" s="467"/>
    </row>
    <row r="177" spans="2:4" ht="18.75">
      <c r="B177" s="94" t="str">
        <f>INDEX(Cadastro_Peixes[[#All],[Colunas4]],MATCH(ROW()-6,Cadastro_Peixes[[#All],[Colunas2]],0))</f>
        <v>Camarão</v>
      </c>
      <c r="C177" s="97" t="str">
        <f ca="1">IF(BAIXAS!AJ176="Vazio","Info",ROUNDUP(BAIXAS!AI176/DAY(Configurações!$C$5)*'Estoque Mínimo'!$K$1*(1+('Estoque Mínimo'!$G$1/100)),0))</f>
        <v>Info</v>
      </c>
      <c r="D177" s="92" t="str">
        <f>IF(ESTOQUE!E176="","",ESTOQUE!E176)</f>
        <v>KG</v>
      </c>
    </row>
    <row r="178" spans="2:4" ht="18.75">
      <c r="B178" s="94" t="str">
        <f>INDEX(Cadastro_Peixes[[#All],[Colunas4]],MATCH(ROW()-6,Cadastro_Peixes[[#All],[Colunas2]],0))</f>
        <v>Filé de Merluza</v>
      </c>
      <c r="C178" s="97">
        <f ca="1">IF(BAIXAS!AJ177="Vazio","Info",ROUNDUP(BAIXAS!AI177/DAY(Configurações!$C$5)*'Estoque Mínimo'!$K$1*(1+('Estoque Mínimo'!$G$1/100)),0))</f>
        <v>10</v>
      </c>
      <c r="D178" s="149" t="str">
        <f>IF(ESTOQUE!E177="","",ESTOQUE!E177)</f>
        <v>KG</v>
      </c>
    </row>
    <row r="179" spans="2:4" ht="18.75">
      <c r="B179" s="94" t="str">
        <f>INDEX(Cadastro_Peixes[[#All],[Colunas4]],MATCH(ROW()-6,Cadastro_Peixes[[#All],[Colunas2]],0))</f>
        <v>Kani</v>
      </c>
      <c r="C179" s="97" t="str">
        <f ca="1">IF(BAIXAS!AJ178="Vazio","Info",ROUNDUP(BAIXAS!AI178/DAY(Configurações!$C$5)*'Estoque Mínimo'!$K$1*(1+('Estoque Mínimo'!$G$1/100)),0))</f>
        <v>Info</v>
      </c>
      <c r="D179" s="149" t="str">
        <f>IF(ESTOQUE!E178="","",ESTOQUE!E178)</f>
        <v>KG</v>
      </c>
    </row>
    <row r="180" spans="2:4" ht="18.75">
      <c r="B180" s="94" t="str">
        <f>INDEX(Cadastro_Peixes[[#All],[Colunas4]],MATCH(ROW()-6,Cadastro_Peixes[[#All],[Colunas2]],0))</f>
        <v>Pangasius</v>
      </c>
      <c r="C180" s="97">
        <f ca="1">IF(BAIXAS!AJ179="Vazio","Info",ROUNDUP(BAIXAS!AI179/DAY(Configurações!$C$5)*'Estoque Mínimo'!$K$1*(1+('Estoque Mínimo'!$G$1/100)),0))</f>
        <v>7</v>
      </c>
      <c r="D180" s="149" t="str">
        <f>IF(ESTOQUE!E179="","",ESTOQUE!E179)</f>
        <v>KG</v>
      </c>
    </row>
    <row r="181" spans="2:4" ht="18.75">
      <c r="B181" s="94" t="str">
        <f>INDEX(Cadastro_Peixes[[#All],[Colunas4]],MATCH(ROW()-6,Cadastro_Peixes[[#All],[Colunas2]],0))</f>
        <v>Peixe cação</v>
      </c>
      <c r="C181" s="97">
        <f ca="1">IF(BAIXAS!AJ180="Vazio","Info",ROUNDUP(BAIXAS!AI180/DAY(Configurações!$C$5)*'Estoque Mínimo'!$K$1*(1+('Estoque Mínimo'!$G$1/100)),0))</f>
        <v>5</v>
      </c>
      <c r="D181" s="149" t="str">
        <f>IF(ESTOQUE!E180="","",ESTOQUE!E180)</f>
        <v>KG</v>
      </c>
    </row>
    <row r="182" spans="2:4" ht="15" thickBot="1">
      <c r="B182" s="479"/>
      <c r="C182" s="479"/>
      <c r="D182" s="479"/>
    </row>
    <row r="183" spans="2:4" ht="24" thickBot="1">
      <c r="B183" s="455" t="s">
        <v>135</v>
      </c>
      <c r="C183" s="456"/>
      <c r="D183" s="457"/>
    </row>
    <row r="184" spans="2:4" ht="18.75">
      <c r="B184" s="94" t="str">
        <f>INDEX(Cadastro_Hortfrut[[#All],[Colunas4]],MATCH(ROW()-6,Cadastro_Hortfrut[[#All],[Colunas2]],0))</f>
        <v xml:space="preserve">Abacaxi </v>
      </c>
      <c r="C184" s="93">
        <f ca="1">IF(BAIXAS!AJ183="Vazio","Info",ROUNDUP(BAIXAS!AI183/DAY(Configurações!$C$5)*'Estoque Mínimo'!$K$1*(1+('Estoque Mínimo'!$G$1/100)),0))</f>
        <v>18</v>
      </c>
      <c r="D184" s="92" t="str">
        <f>IF(ESTOQUE!E183="","",ESTOQUE!E183)</f>
        <v>UND</v>
      </c>
    </row>
    <row r="185" spans="2:4" ht="18.75">
      <c r="B185" s="94" t="str">
        <f>INDEX(Cadastro_Hortfrut[[#All],[Colunas4]],MATCH(ROW()-6,Cadastro_Hortfrut[[#All],[Colunas2]],0))</f>
        <v>Abobora</v>
      </c>
      <c r="C185" s="93" t="str">
        <f ca="1">IF(BAIXAS!AJ184="Vazio","Info",ROUNDUP(BAIXAS!AI184/DAY(Configurações!$C$5)*'Estoque Mínimo'!$K$1*(1+('Estoque Mínimo'!$G$1/100)),0))</f>
        <v>Info</v>
      </c>
      <c r="D185" s="92" t="str">
        <f>IF(ESTOQUE!E184="","",ESTOQUE!E184)</f>
        <v/>
      </c>
    </row>
    <row r="186" spans="2:4" ht="18.75">
      <c r="B186" s="94" t="str">
        <f>INDEX(Cadastro_Hortfrut[[#All],[Colunas4]],MATCH(ROW()-6,Cadastro_Hortfrut[[#All],[Colunas2]],0))</f>
        <v>Abobrinha</v>
      </c>
      <c r="C186" s="93">
        <f ca="1">IF(BAIXAS!AJ185="Vazio","Info",ROUNDUP(BAIXAS!AI185/DAY(Configurações!$C$5)*'Estoque Mínimo'!$K$1*(1+('Estoque Mínimo'!$G$1/100)),0))</f>
        <v>9</v>
      </c>
      <c r="D186" s="92" t="str">
        <f>IF(ESTOQUE!E185="","",ESTOQUE!E185)</f>
        <v>KG</v>
      </c>
    </row>
    <row r="187" spans="2:4" ht="18.75">
      <c r="B187" s="94" t="str">
        <f>INDEX(Cadastro_Hortfrut[[#All],[Colunas4]],MATCH(ROW()-6,Cadastro_Hortfrut[[#All],[Colunas2]],0))</f>
        <v>Acelga</v>
      </c>
      <c r="C187" s="93">
        <f ca="1">IF(BAIXAS!AJ186="Vazio","Info",ROUNDUP(BAIXAS!AI186/DAY(Configurações!$C$5)*'Estoque Mínimo'!$K$1*(1+('Estoque Mínimo'!$G$1/100)),0))</f>
        <v>2</v>
      </c>
      <c r="D187" s="92" t="str">
        <f>IF(ESTOQUE!E186="","",ESTOQUE!E186)</f>
        <v>UND</v>
      </c>
    </row>
    <row r="188" spans="2:4" ht="18.75">
      <c r="B188" s="94" t="str">
        <f>INDEX(Cadastro_Hortfrut[[#All],[Colunas4]],MATCH(ROW()-6,Cadastro_Hortfrut[[#All],[Colunas2]],0))</f>
        <v>Agrião</v>
      </c>
      <c r="C188" s="93">
        <f ca="1">IF(BAIXAS!AJ187="Vazio","Info",ROUNDUP(BAIXAS!AI187/DAY(Configurações!$C$5)*'Estoque Mínimo'!$K$1*(1+('Estoque Mínimo'!$G$1/100)),0))</f>
        <v>6</v>
      </c>
      <c r="D188" s="92" t="str">
        <f>IF(ESTOQUE!E187="","",ESTOQUE!E187)</f>
        <v>UND</v>
      </c>
    </row>
    <row r="189" spans="2:4" ht="18.75">
      <c r="B189" s="94" t="str">
        <f>INDEX(Cadastro_Hortfrut[[#All],[Colunas4]],MATCH(ROW()-6,Cadastro_Hortfrut[[#All],[Colunas2]],0))</f>
        <v>Alface Americana</v>
      </c>
      <c r="C189" s="93">
        <f ca="1">IF(BAIXAS!AJ188="Vazio","Info",ROUNDUP(BAIXAS!AI188/DAY(Configurações!$C$5)*'Estoque Mínimo'!$K$1*(1+('Estoque Mínimo'!$G$1/100)),0))</f>
        <v>9</v>
      </c>
      <c r="D189" s="92" t="str">
        <f>IF(ESTOQUE!E188="","",ESTOQUE!E188)</f>
        <v>UND</v>
      </c>
    </row>
    <row r="190" spans="2:4" ht="18.75">
      <c r="B190" s="94" t="str">
        <f>INDEX(Cadastro_Hortfrut[[#All],[Colunas4]],MATCH(ROW()-6,Cadastro_Hortfrut[[#All],[Colunas2]],0))</f>
        <v>Alface Crespa</v>
      </c>
      <c r="C190" s="93">
        <f ca="1">IF(BAIXAS!AJ189="Vazio","Info",ROUNDUP(BAIXAS!AI189/DAY(Configurações!$C$5)*'Estoque Mínimo'!$K$1*(1+('Estoque Mínimo'!$G$1/100)),0))</f>
        <v>6</v>
      </c>
      <c r="D190" s="92" t="str">
        <f>IF(ESTOQUE!E189="","",ESTOQUE!E189)</f>
        <v>UND</v>
      </c>
    </row>
    <row r="191" spans="2:4" ht="18.75">
      <c r="B191" s="94" t="str">
        <f>INDEX(Cadastro_Hortfrut[[#All],[Colunas4]],MATCH(ROW()-6,Cadastro_Hortfrut[[#All],[Colunas2]],0))</f>
        <v>Alface Lisa</v>
      </c>
      <c r="C191" s="93" t="str">
        <f ca="1">IF(BAIXAS!AJ190="Vazio","Info",ROUNDUP(BAIXAS!AI190/DAY(Configurações!$C$5)*'Estoque Mínimo'!$K$1*(1+('Estoque Mínimo'!$G$1/100)),0))</f>
        <v>Info</v>
      </c>
      <c r="D191" s="92" t="str">
        <f>IF(ESTOQUE!E190="","",ESTOQUE!E190)</f>
        <v>UND</v>
      </c>
    </row>
    <row r="192" spans="2:4" ht="18.75">
      <c r="B192" s="94" t="str">
        <f>INDEX(Cadastro_Hortfrut[[#All],[Colunas4]],MATCH(ROW()-6,Cadastro_Hortfrut[[#All],[Colunas2]],0))</f>
        <v>Alface Roxo</v>
      </c>
      <c r="C192" s="93" t="str">
        <f ca="1">IF(BAIXAS!AJ191="Vazio","Info",ROUNDUP(BAIXAS!AI191/DAY(Configurações!$C$5)*'Estoque Mínimo'!$K$1*(1+('Estoque Mínimo'!$G$1/100)),0))</f>
        <v>Info</v>
      </c>
      <c r="D192" s="92" t="str">
        <f>IF(ESTOQUE!E191="","",ESTOQUE!E191)</f>
        <v>UND</v>
      </c>
    </row>
    <row r="193" spans="2:4" ht="18.75">
      <c r="B193" s="94" t="str">
        <f>INDEX(Cadastro_Hortfrut[[#All],[Colunas4]],MATCH(ROW()-6,Cadastro_Hortfrut[[#All],[Colunas2]],0))</f>
        <v>Almeirão</v>
      </c>
      <c r="C193" s="93">
        <f ca="1">IF(BAIXAS!AJ192="Vazio","Info",ROUNDUP(BAIXAS!AI192/DAY(Configurações!$C$5)*'Estoque Mínimo'!$K$1*(1+('Estoque Mínimo'!$G$1/100)),0))</f>
        <v>1</v>
      </c>
      <c r="D193" s="92" t="str">
        <f>IF(ESTOQUE!E192="","",ESTOQUE!E192)</f>
        <v>UND</v>
      </c>
    </row>
    <row r="194" spans="2:4" ht="18.75">
      <c r="B194" s="94" t="str">
        <f>INDEX(Cadastro_Hortfrut[[#All],[Colunas4]],MATCH(ROW()-6,Cadastro_Hortfrut[[#All],[Colunas2]],0))</f>
        <v>Ameixa</v>
      </c>
      <c r="C194" s="93">
        <f ca="1">IF(BAIXAS!AJ193="Vazio","Info",ROUNDUP(BAIXAS!AI193/DAY(Configurações!$C$5)*'Estoque Mínimo'!$K$1*(1+('Estoque Mínimo'!$G$1/100)),0))</f>
        <v>1</v>
      </c>
      <c r="D194" s="92" t="str">
        <f>IF(ESTOQUE!E193="","",ESTOQUE!E193)</f>
        <v/>
      </c>
    </row>
    <row r="195" spans="2:4" ht="18.75">
      <c r="B195" s="94" t="str">
        <f>INDEX(Cadastro_Hortfrut[[#All],[Colunas4]],MATCH(ROW()-6,Cadastro_Hortfrut[[#All],[Colunas2]],0))</f>
        <v xml:space="preserve">Banana </v>
      </c>
      <c r="C195" s="93">
        <f ca="1">IF(BAIXAS!AJ194="Vazio","Info",ROUNDUP(BAIXAS!AI194/DAY(Configurações!$C$5)*'Estoque Mínimo'!$K$1*(1+('Estoque Mínimo'!$G$1/100)),0))</f>
        <v>2</v>
      </c>
      <c r="D195" s="92" t="str">
        <f>IF(ESTOQUE!E194="","",ESTOQUE!E194)</f>
        <v>KG</v>
      </c>
    </row>
    <row r="196" spans="2:4" ht="18.75">
      <c r="B196" s="94" t="str">
        <f>INDEX(Cadastro_Hortfrut[[#All],[Colunas4]],MATCH(ROW()-6,Cadastro_Hortfrut[[#All],[Colunas2]],0))</f>
        <v xml:space="preserve">Batata </v>
      </c>
      <c r="C196" s="93">
        <f ca="1">IF(BAIXAS!AJ195="Vazio","Info",ROUNDUP(BAIXAS!AI195/DAY(Configurações!$C$5)*'Estoque Mínimo'!$K$1*(1+('Estoque Mínimo'!$G$1/100)),0))</f>
        <v>23</v>
      </c>
      <c r="D196" s="92" t="str">
        <f>IF(ESTOQUE!E195="","",ESTOQUE!E195)</f>
        <v>KG</v>
      </c>
    </row>
    <row r="197" spans="2:4" ht="18.75">
      <c r="B197" s="94" t="str">
        <f>INDEX(Cadastro_Hortfrut[[#All],[Colunas4]],MATCH(ROW()-6,Cadastro_Hortfrut[[#All],[Colunas2]],0))</f>
        <v>Berinjela</v>
      </c>
      <c r="C197" s="93">
        <f ca="1">IF(BAIXAS!AJ196="Vazio","Info",ROUNDUP(BAIXAS!AI196/DAY(Configurações!$C$5)*'Estoque Mínimo'!$K$1*(1+('Estoque Mínimo'!$G$1/100)),0))</f>
        <v>7</v>
      </c>
      <c r="D197" s="92" t="str">
        <f>IF(ESTOQUE!E196="","",ESTOQUE!E196)</f>
        <v>KG</v>
      </c>
    </row>
    <row r="198" spans="2:4" ht="18.75">
      <c r="B198" s="94" t="str">
        <f>INDEX(Cadastro_Hortfrut[[#All],[Colunas4]],MATCH(ROW()-6,Cadastro_Hortfrut[[#All],[Colunas2]],0))</f>
        <v xml:space="preserve">Beterraba </v>
      </c>
      <c r="C198" s="93">
        <f ca="1">IF(BAIXAS!AJ197="Vazio","Info",ROUNDUP(BAIXAS!AI197/DAY(Configurações!$C$5)*'Estoque Mínimo'!$K$1*(1+('Estoque Mínimo'!$G$1/100)),0))</f>
        <v>3</v>
      </c>
      <c r="D198" s="92" t="str">
        <f>IF(ESTOQUE!E197="","",ESTOQUE!E197)</f>
        <v>KG</v>
      </c>
    </row>
    <row r="199" spans="2:4" ht="18.75">
      <c r="B199" s="94" t="str">
        <f>INDEX(Cadastro_Hortfrut[[#All],[Colunas4]],MATCH(ROW()-6,Cadastro_Hortfrut[[#All],[Colunas2]],0))</f>
        <v>Brócolis</v>
      </c>
      <c r="C199" s="93" t="str">
        <f ca="1">IF(BAIXAS!AJ198="Vazio","Info",ROUNDUP(BAIXAS!AI198/DAY(Configurações!$C$5)*'Estoque Mínimo'!$K$1*(1+('Estoque Mínimo'!$G$1/100)),0))</f>
        <v>Info</v>
      </c>
      <c r="D199" s="92" t="str">
        <f>IF(ESTOQUE!E198="","",ESTOQUE!E198)</f>
        <v/>
      </c>
    </row>
    <row r="200" spans="2:4" ht="18.75">
      <c r="B200" s="94" t="str">
        <f>INDEX(Cadastro_Hortfrut[[#All],[Colunas4]],MATCH(ROW()-6,Cadastro_Hortfrut[[#All],[Colunas2]],0))</f>
        <v xml:space="preserve">Caquí </v>
      </c>
      <c r="C200" s="93" t="str">
        <f ca="1">IF(BAIXAS!AJ199="Vazio","Info",ROUNDUP(BAIXAS!AI199/DAY(Configurações!$C$5)*'Estoque Mínimo'!$K$1*(1+('Estoque Mínimo'!$G$1/100)),0))</f>
        <v>Info</v>
      </c>
      <c r="D200" s="92" t="str">
        <f>IF(ESTOQUE!E199="","",ESTOQUE!E199)</f>
        <v>KG</v>
      </c>
    </row>
    <row r="201" spans="2:4" ht="18.75">
      <c r="B201" s="94" t="str">
        <f>INDEX(Cadastro_Hortfrut[[#All],[Colunas4]],MATCH(ROW()-6,Cadastro_Hortfrut[[#All],[Colunas2]],0))</f>
        <v xml:space="preserve">Cebola </v>
      </c>
      <c r="C201" s="93">
        <f ca="1">IF(BAIXAS!AJ200="Vazio","Info",ROUNDUP(BAIXAS!AI200/DAY(Configurações!$C$5)*'Estoque Mínimo'!$K$1*(1+('Estoque Mínimo'!$G$1/100)),0))</f>
        <v>25</v>
      </c>
      <c r="D201" s="92" t="str">
        <f>IF(ESTOQUE!E200="","",ESTOQUE!E200)</f>
        <v>KG</v>
      </c>
    </row>
    <row r="202" spans="2:4" ht="18.75">
      <c r="B202" s="94" t="str">
        <f>INDEX(Cadastro_Hortfrut[[#All],[Colunas4]],MATCH(ROW()-6,Cadastro_Hortfrut[[#All],[Colunas2]],0))</f>
        <v xml:space="preserve">Cenoura  </v>
      </c>
      <c r="C202" s="93">
        <f ca="1">IF(BAIXAS!AJ201="Vazio","Info",ROUNDUP(BAIXAS!AI201/DAY(Configurações!$C$5)*'Estoque Mínimo'!$K$1*(1+('Estoque Mínimo'!$G$1/100)),0))</f>
        <v>17</v>
      </c>
      <c r="D202" s="92" t="str">
        <f>IF(ESTOQUE!E201="","",ESTOQUE!E201)</f>
        <v>KG</v>
      </c>
    </row>
    <row r="203" spans="2:4" ht="18.75">
      <c r="B203" s="94" t="str">
        <f>INDEX(Cadastro_Hortfrut[[#All],[Colunas4]],MATCH(ROW()-6,Cadastro_Hortfrut[[#All],[Colunas2]],0))</f>
        <v xml:space="preserve">Chuchu </v>
      </c>
      <c r="C203" s="93">
        <f ca="1">IF(BAIXAS!AJ202="Vazio","Info",ROUNDUP(BAIXAS!AI202/DAY(Configurações!$C$5)*'Estoque Mínimo'!$K$1*(1+('Estoque Mínimo'!$G$1/100)),0))</f>
        <v>11</v>
      </c>
      <c r="D203" s="92" t="str">
        <f>IF(ESTOQUE!E202="","",ESTOQUE!E202)</f>
        <v>KG</v>
      </c>
    </row>
    <row r="204" spans="2:4" ht="18.75">
      <c r="B204" s="94" t="str">
        <f>INDEX(Cadastro_Hortfrut[[#All],[Colunas4]],MATCH(ROW()-6,Cadastro_Hortfrut[[#All],[Colunas2]],0))</f>
        <v>Coentro</v>
      </c>
      <c r="C204" s="93">
        <f ca="1">IF(BAIXAS!AJ203="Vazio","Info",ROUNDUP(BAIXAS!AI203/DAY(Configurações!$C$5)*'Estoque Mínimo'!$K$1*(1+('Estoque Mínimo'!$G$1/100)),0))</f>
        <v>4</v>
      </c>
      <c r="D204" s="92" t="str">
        <f>IF(ESTOQUE!E203="","",ESTOQUE!E203)</f>
        <v>UND</v>
      </c>
    </row>
    <row r="205" spans="2:4" ht="18.75">
      <c r="B205" s="94" t="str">
        <f>INDEX(Cadastro_Hortfrut[[#All],[Colunas4]],MATCH(ROW()-6,Cadastro_Hortfrut[[#All],[Colunas2]],0))</f>
        <v>Couve</v>
      </c>
      <c r="C205" s="93">
        <f ca="1">IF(BAIXAS!AJ204="Vazio","Info",ROUNDUP(BAIXAS!AI204/DAY(Configurações!$C$5)*'Estoque Mínimo'!$K$1*(1+('Estoque Mínimo'!$G$1/100)),0))</f>
        <v>11</v>
      </c>
      <c r="D205" s="92" t="str">
        <f>IF(ESTOQUE!E204="","",ESTOQUE!E204)</f>
        <v>UND</v>
      </c>
    </row>
    <row r="206" spans="2:4" ht="18.75">
      <c r="B206" s="94" t="str">
        <f>INDEX(Cadastro_Hortfrut[[#All],[Colunas4]],MATCH(ROW()-6,Cadastro_Hortfrut[[#All],[Colunas2]],0))</f>
        <v>Couve-flor</v>
      </c>
      <c r="C206" s="93" t="str">
        <f ca="1">IF(BAIXAS!AJ205="Vazio","Info",ROUNDUP(BAIXAS!AI205/DAY(Configurações!$C$5)*'Estoque Mínimo'!$K$1*(1+('Estoque Mínimo'!$G$1/100)),0))</f>
        <v>Info</v>
      </c>
      <c r="D206" s="92" t="str">
        <f>IF(ESTOQUE!E205="","",ESTOQUE!E205)</f>
        <v>UND</v>
      </c>
    </row>
    <row r="207" spans="2:4" ht="18.75">
      <c r="B207" s="94" t="str">
        <f>INDEX(Cadastro_Hortfrut[[#All],[Colunas4]],MATCH(ROW()-6,Cadastro_Hortfrut[[#All],[Colunas2]],0))</f>
        <v xml:space="preserve">Escarola </v>
      </c>
      <c r="C207" s="93">
        <f ca="1">IF(BAIXAS!AJ206="Vazio","Info",ROUNDUP(BAIXAS!AI206/DAY(Configurações!$C$5)*'Estoque Mínimo'!$K$1*(1+('Estoque Mínimo'!$G$1/100)),0))</f>
        <v>4</v>
      </c>
      <c r="D207" s="92" t="str">
        <f>IF(ESTOQUE!E206="","",ESTOQUE!E206)</f>
        <v>UND</v>
      </c>
    </row>
    <row r="208" spans="2:4" ht="18.75">
      <c r="B208" s="94" t="str">
        <f>INDEX(Cadastro_Hortfrut[[#All],[Colunas4]],MATCH(ROW()-6,Cadastro_Hortfrut[[#All],[Colunas2]],0))</f>
        <v>Goiaba</v>
      </c>
      <c r="C208" s="93" t="str">
        <f ca="1">IF(BAIXAS!AJ207="Vazio","Info",ROUNDUP(BAIXAS!AI207/DAY(Configurações!$C$5)*'Estoque Mínimo'!$K$1*(1+('Estoque Mínimo'!$G$1/100)),0))</f>
        <v>Info</v>
      </c>
      <c r="D208" s="92" t="str">
        <f>IF(ESTOQUE!E207="","",ESTOQUE!E207)</f>
        <v>KG</v>
      </c>
    </row>
    <row r="209" spans="2:4" ht="18.75">
      <c r="B209" s="94" t="str">
        <f>INDEX(Cadastro_Hortfrut[[#All],[Colunas4]],MATCH(ROW()-6,Cadastro_Hortfrut[[#All],[Colunas2]],0))</f>
        <v>Hortelã</v>
      </c>
      <c r="C209" s="93">
        <f ca="1">IF(BAIXAS!AJ208="Vazio","Info",ROUNDUP(BAIXAS!AI208/DAY(Configurações!$C$5)*'Estoque Mínimo'!$K$1*(1+('Estoque Mínimo'!$G$1/100)),0))</f>
        <v>1</v>
      </c>
      <c r="D209" s="92" t="str">
        <f>IF(ESTOQUE!E208="","",ESTOQUE!E208)</f>
        <v>UND</v>
      </c>
    </row>
    <row r="210" spans="2:4" ht="18.75">
      <c r="B210" s="94" t="str">
        <f>INDEX(Cadastro_Hortfrut[[#All],[Colunas4]],MATCH(ROW()-6,Cadastro_Hortfrut[[#All],[Colunas2]],0))</f>
        <v xml:space="preserve">Laranja </v>
      </c>
      <c r="C210" s="93">
        <f ca="1">IF(BAIXAS!AJ209="Vazio","Info",ROUNDUP(BAIXAS!AI209/DAY(Configurações!$C$5)*'Estoque Mínimo'!$K$1*(1+('Estoque Mínimo'!$G$1/100)),0))</f>
        <v>16</v>
      </c>
      <c r="D210" s="92" t="str">
        <f>IF(ESTOQUE!E209="","",ESTOQUE!E209)</f>
        <v>KG</v>
      </c>
    </row>
    <row r="211" spans="2:4" ht="18.75">
      <c r="B211" s="94" t="str">
        <f>INDEX(Cadastro_Hortfrut[[#All],[Colunas4]],MATCH(ROW()-6,Cadastro_Hortfrut[[#All],[Colunas2]],0))</f>
        <v>Limão</v>
      </c>
      <c r="C211" s="93">
        <f ca="1">IF(BAIXAS!AJ210="Vazio","Info",ROUNDUP(BAIXAS!AI210/DAY(Configurações!$C$5)*'Estoque Mínimo'!$K$1*(1+('Estoque Mínimo'!$G$1/100)),0))</f>
        <v>10</v>
      </c>
      <c r="D211" s="92" t="str">
        <f>IF(ESTOQUE!E210="","",ESTOQUE!E210)</f>
        <v>KG</v>
      </c>
    </row>
    <row r="212" spans="2:4" ht="18.75">
      <c r="B212" s="94" t="str">
        <f>INDEX(Cadastro_Hortfrut[[#All],[Colunas4]],MATCH(ROW()-6,Cadastro_Hortfrut[[#All],[Colunas2]],0))</f>
        <v>Louro maço</v>
      </c>
      <c r="C212" s="93" t="str">
        <f ca="1">IF(BAIXAS!AJ211="Vazio","Info",ROUNDUP(BAIXAS!AI211/DAY(Configurações!$C$5)*'Estoque Mínimo'!$K$1*(1+('Estoque Mínimo'!$G$1/100)),0))</f>
        <v>Info</v>
      </c>
      <c r="D212" s="92" t="str">
        <f>IF(ESTOQUE!E211="","",ESTOQUE!E211)</f>
        <v>UND</v>
      </c>
    </row>
    <row r="213" spans="2:4" ht="18.75">
      <c r="B213" s="94" t="str">
        <f>INDEX(Cadastro_Hortfrut[[#All],[Colunas4]],MATCH(ROW()-6,Cadastro_Hortfrut[[#All],[Colunas2]],0))</f>
        <v xml:space="preserve">Maçã </v>
      </c>
      <c r="C213" s="93">
        <f ca="1">IF(BAIXAS!AJ212="Vazio","Info",ROUNDUP(BAIXAS!AI212/DAY(Configurações!$C$5)*'Estoque Mínimo'!$K$1*(1+('Estoque Mínimo'!$G$1/100)),0))</f>
        <v>4</v>
      </c>
      <c r="D213" s="92" t="str">
        <f>IF(ESTOQUE!E212="","",ESTOQUE!E212)</f>
        <v>KG</v>
      </c>
    </row>
    <row r="214" spans="2:4" ht="18.75">
      <c r="B214" s="94" t="str">
        <f>INDEX(Cadastro_Hortfrut[[#All],[Colunas4]],MATCH(ROW()-6,Cadastro_Hortfrut[[#All],[Colunas2]],0))</f>
        <v>Mamão Formosa</v>
      </c>
      <c r="C214" s="93" t="str">
        <f ca="1">IF(BAIXAS!AJ213="Vazio","Info",ROUNDUP(BAIXAS!AI213/DAY(Configurações!$C$5)*'Estoque Mínimo'!$K$1*(1+('Estoque Mínimo'!$G$1/100)),0))</f>
        <v>Info</v>
      </c>
      <c r="D214" s="92" t="str">
        <f>IF(ESTOQUE!E213="","",ESTOQUE!E213)</f>
        <v>UND</v>
      </c>
    </row>
    <row r="215" spans="2:4" ht="18.75">
      <c r="B215" s="94" t="str">
        <f>INDEX(Cadastro_Hortfrut[[#All],[Colunas4]],MATCH(ROW()-6,Cadastro_Hortfrut[[#All],[Colunas2]],0))</f>
        <v>Mamão Papaya</v>
      </c>
      <c r="C215" s="93">
        <f ca="1">IF(BAIXAS!AJ214="Vazio","Info",ROUNDUP(BAIXAS!AI214/DAY(Configurações!$C$5)*'Estoque Mínimo'!$K$1*(1+('Estoque Mínimo'!$G$1/100)),0))</f>
        <v>29</v>
      </c>
      <c r="D215" s="92" t="str">
        <f>IF(ESTOQUE!E214="","",ESTOQUE!E214)</f>
        <v/>
      </c>
    </row>
    <row r="216" spans="2:4" ht="18.75">
      <c r="B216" s="94" t="str">
        <f>INDEX(Cadastro_Hortfrut[[#All],[Colunas4]],MATCH(ROW()-6,Cadastro_Hortfrut[[#All],[Colunas2]],0))</f>
        <v xml:space="preserve">Mandioca </v>
      </c>
      <c r="C216" s="93" t="str">
        <f ca="1">IF(BAIXAS!AJ215="Vazio","Info",ROUNDUP(BAIXAS!AI215/DAY(Configurações!$C$5)*'Estoque Mínimo'!$K$1*(1+('Estoque Mínimo'!$G$1/100)),0))</f>
        <v>Info</v>
      </c>
      <c r="D216" s="92" t="str">
        <f>IF(ESTOQUE!E215="","",ESTOQUE!E215)</f>
        <v>KG</v>
      </c>
    </row>
    <row r="217" spans="2:4" ht="18.75">
      <c r="B217" s="94" t="str">
        <f>INDEX(Cadastro_Hortfrut[[#All],[Colunas4]],MATCH(ROW()-6,Cadastro_Hortfrut[[#All],[Colunas2]],0))</f>
        <v>Mandioquinha</v>
      </c>
      <c r="C217" s="93" t="str">
        <f ca="1">IF(BAIXAS!AJ216="Vazio","Info",ROUNDUP(BAIXAS!AI216/DAY(Configurações!$C$5)*'Estoque Mínimo'!$K$1*(1+('Estoque Mínimo'!$G$1/100)),0))</f>
        <v>Info</v>
      </c>
      <c r="D217" s="92" t="str">
        <f>IF(ESTOQUE!E216="","",ESTOQUE!E216)</f>
        <v>KG</v>
      </c>
    </row>
    <row r="218" spans="2:4" ht="18.75">
      <c r="B218" s="94" t="str">
        <f>INDEX(Cadastro_Hortfrut[[#All],[Colunas4]],MATCH(ROW()-6,Cadastro_Hortfrut[[#All],[Colunas2]],0))</f>
        <v xml:space="preserve">Manga </v>
      </c>
      <c r="C218" s="93">
        <f ca="1">IF(BAIXAS!AJ217="Vazio","Info",ROUNDUP(BAIXAS!AI217/DAY(Configurações!$C$5)*'Estoque Mínimo'!$K$1*(1+('Estoque Mínimo'!$G$1/100)),0))</f>
        <v>10</v>
      </c>
      <c r="D218" s="92" t="str">
        <f>IF(ESTOQUE!E217="","",ESTOQUE!E217)</f>
        <v>KG</v>
      </c>
    </row>
    <row r="219" spans="2:4" ht="18.75">
      <c r="B219" s="94" t="str">
        <f>INDEX(Cadastro_Hortfrut[[#All],[Colunas4]],MATCH(ROW()-6,Cadastro_Hortfrut[[#All],[Colunas2]],0))</f>
        <v>Maracujá</v>
      </c>
      <c r="C219" s="93" t="str">
        <f ca="1">IF(BAIXAS!AJ218="Vazio","Info",ROUNDUP(BAIXAS!AI218/DAY(Configurações!$C$5)*'Estoque Mínimo'!$K$1*(1+('Estoque Mínimo'!$G$1/100)),0))</f>
        <v>Info</v>
      </c>
      <c r="D219" s="92" t="str">
        <f>IF(ESTOQUE!E218="","",ESTOQUE!E218)</f>
        <v/>
      </c>
    </row>
    <row r="220" spans="2:4" ht="18.75">
      <c r="B220" s="94" t="str">
        <f>INDEX(Cadastro_Hortfrut[[#All],[Colunas4]],MATCH(ROW()-6,Cadastro_Hortfrut[[#All],[Colunas2]],0))</f>
        <v>Melancia</v>
      </c>
      <c r="C220" s="93">
        <f ca="1">IF(BAIXAS!AJ219="Vazio","Info",ROUNDUP(BAIXAS!AI219/DAY(Configurações!$C$5)*'Estoque Mínimo'!$K$1*(1+('Estoque Mínimo'!$G$1/100)),0))</f>
        <v>3</v>
      </c>
      <c r="D220" s="92" t="str">
        <f>IF(ESTOQUE!E219="","",ESTOQUE!E219)</f>
        <v>UND</v>
      </c>
    </row>
    <row r="221" spans="2:4" ht="18.75">
      <c r="B221" s="94" t="str">
        <f>INDEX(Cadastro_Hortfrut[[#All],[Colunas4]],MATCH(ROW()-6,Cadastro_Hortfrut[[#All],[Colunas2]],0))</f>
        <v xml:space="preserve">Melão </v>
      </c>
      <c r="C221" s="93">
        <f ca="1">IF(BAIXAS!AJ220="Vazio","Info",ROUNDUP(BAIXAS!AI220/DAY(Configurações!$C$5)*'Estoque Mínimo'!$K$1*(1+('Estoque Mínimo'!$G$1/100)),0))</f>
        <v>4</v>
      </c>
      <c r="D221" s="92" t="str">
        <f>IF(ESTOQUE!E220="","",ESTOQUE!E220)</f>
        <v>UND</v>
      </c>
    </row>
    <row r="222" spans="2:4" ht="18.75">
      <c r="B222" s="94" t="str">
        <f>INDEX(Cadastro_Hortfrut[[#All],[Colunas4]],MATCH(ROW()-6,Cadastro_Hortfrut[[#All],[Colunas2]],0))</f>
        <v xml:space="preserve">Mexerica </v>
      </c>
      <c r="C222" s="93" t="str">
        <f ca="1">IF(BAIXAS!AJ221="Vazio","Info",ROUNDUP(BAIXAS!AI221/DAY(Configurações!$C$5)*'Estoque Mínimo'!$K$1*(1+('Estoque Mínimo'!$G$1/100)),0))</f>
        <v>Info</v>
      </c>
      <c r="D222" s="92" t="str">
        <f>IF(ESTOQUE!E221="","",ESTOQUE!E221)</f>
        <v>KG</v>
      </c>
    </row>
    <row r="223" spans="2:4" ht="18.75">
      <c r="B223" s="94" t="str">
        <f>INDEX(Cadastro_Hortfrut[[#All],[Colunas4]],MATCH(ROW()-6,Cadastro_Hortfrut[[#All],[Colunas2]],0))</f>
        <v xml:space="preserve">Morango </v>
      </c>
      <c r="C223" s="93" t="str">
        <f ca="1">IF(BAIXAS!AJ222="Vazio","Info",ROUNDUP(BAIXAS!AI222/DAY(Configurações!$C$5)*'Estoque Mínimo'!$K$1*(1+('Estoque Mínimo'!$G$1/100)),0))</f>
        <v>Info</v>
      </c>
      <c r="D223" s="92" t="str">
        <f>IF(ESTOQUE!E222="","",ESTOQUE!E222)</f>
        <v/>
      </c>
    </row>
    <row r="224" spans="2:4" ht="18.75">
      <c r="B224" s="94" t="str">
        <f>INDEX(Cadastro_Hortfrut[[#All],[Colunas4]],MATCH(ROW()-6,Cadastro_Hortfrut[[#All],[Colunas2]],0))</f>
        <v>Nabo</v>
      </c>
      <c r="C224" s="93" t="str">
        <f ca="1">IF(BAIXAS!AJ223="Vazio","Info",ROUNDUP(BAIXAS!AI223/DAY(Configurações!$C$5)*'Estoque Mínimo'!$K$1*(1+('Estoque Mínimo'!$G$1/100)),0))</f>
        <v>Info</v>
      </c>
      <c r="D224" s="92" t="str">
        <f>IF(ESTOQUE!E223="","",ESTOQUE!E223)</f>
        <v/>
      </c>
    </row>
    <row r="225" spans="2:4" ht="18.75">
      <c r="B225" s="94" t="str">
        <f>INDEX(Cadastro_Hortfrut[[#All],[Colunas4]],MATCH(ROW()-6,Cadastro_Hortfrut[[#All],[Colunas2]],0))</f>
        <v xml:space="preserve">Ovos </v>
      </c>
      <c r="C225" s="93">
        <f ca="1">IF(BAIXAS!AJ224="Vazio","Info",ROUNDUP(BAIXAS!AI224/DAY(Configurações!$C$5)*'Estoque Mínimo'!$K$1*(1+('Estoque Mínimo'!$G$1/100)),0))</f>
        <v>332</v>
      </c>
      <c r="D225" s="92" t="str">
        <f>IF(ESTOQUE!E224="","",ESTOQUE!E224)</f>
        <v>UND</v>
      </c>
    </row>
    <row r="226" spans="2:4" ht="18.75">
      <c r="B226" s="94" t="str">
        <f>INDEX(Cadastro_Hortfrut[[#All],[Colunas4]],MATCH(ROW()-6,Cadastro_Hortfrut[[#All],[Colunas2]],0))</f>
        <v>Pepino</v>
      </c>
      <c r="C226" s="93">
        <f ca="1">IF(BAIXAS!AJ228="Vazio","Info",ROUNDUP(BAIXAS!AI228/DAY(Configurações!$C$5)*'Estoque Mínimo'!$K$1*(1+('Estoque Mínimo'!$G$1/100)),0))</f>
        <v>6</v>
      </c>
      <c r="D226" s="92" t="str">
        <f>IF(ESTOQUE!E225="","",ESTOQUE!E225)</f>
        <v>KG</v>
      </c>
    </row>
    <row r="227" spans="2:4" ht="18.75">
      <c r="B227" s="94" t="str">
        <f>INDEX(Cadastro_Hortfrut[[#All],[Colunas4]],MATCH(ROW()-6,Cadastro_Hortfrut[[#All],[Colunas2]],0))</f>
        <v>Pessego</v>
      </c>
      <c r="C227" s="93">
        <f ca="1">IF(BAIXAS!AJ229="Vazio","Info",ROUNDUP(BAIXAS!AI229/DAY(Configurações!$C$5)*'Estoque Mínimo'!$K$1*(1+('Estoque Mínimo'!$G$1/100)),0))</f>
        <v>1</v>
      </c>
      <c r="D227" s="92" t="str">
        <f>IF(ESTOQUE!E226="","",ESTOQUE!E226)</f>
        <v/>
      </c>
    </row>
    <row r="228" spans="2:4" ht="18.75">
      <c r="B228" s="94" t="str">
        <f>INDEX(Cadastro_Hortfrut[[#All],[Colunas4]],MATCH(ROW()-6,Cadastro_Hortfrut[[#All],[Colunas2]],0))</f>
        <v xml:space="preserve">Pimentão Amarelo </v>
      </c>
      <c r="C228" s="93" t="str">
        <f ca="1">IF(BAIXAS!AJ230="Vazio","Info",ROUNDUP(BAIXAS!AI230/DAY(Configurações!$C$5)*'Estoque Mínimo'!$K$1*(1+('Estoque Mínimo'!$G$1/100)),0))</f>
        <v>Info</v>
      </c>
      <c r="D228" s="92" t="str">
        <f>IF(ESTOQUE!E227="","",ESTOQUE!E227)</f>
        <v>KG</v>
      </c>
    </row>
    <row r="229" spans="2:4" ht="18.75">
      <c r="B229" s="94" t="str">
        <f>INDEX(Cadastro_Hortfrut[[#All],[Colunas4]],MATCH(ROW()-6,Cadastro_Hortfrut[[#All],[Colunas2]],0))</f>
        <v xml:space="preserve">Pimentão Verde </v>
      </c>
      <c r="C229" s="93">
        <f ca="1">IF(BAIXAS!AJ235="Vazio","Info",ROUNDUP(BAIXAS!AI235/DAY(Configurações!$C$5)*'Estoque Mínimo'!$K$1*(1+('Estoque Mínimo'!$G$1/100)),0))</f>
        <v>6</v>
      </c>
      <c r="D229" s="92" t="str">
        <f>IF(ESTOQUE!E228="","",ESTOQUE!E228)</f>
        <v>KG</v>
      </c>
    </row>
    <row r="230" spans="2:4" ht="18.75">
      <c r="B230" s="94" t="str">
        <f>INDEX(Cadastro_Hortfrut[[#All],[Colunas4]],MATCH(ROW()-6,Cadastro_Hortfrut[[#All],[Colunas2]],0))</f>
        <v xml:space="preserve">Pimentão Vermelho </v>
      </c>
      <c r="C230" s="93" t="str">
        <f ca="1">IF(BAIXAS!AJ238="Vazio","Info",ROUNDUP(BAIXAS!AI238/DAY(Configurações!$C$5)*'Estoque Mínimo'!$K$1*(1+('Estoque Mínimo'!$G$1/100)),0))</f>
        <v>Info</v>
      </c>
      <c r="D230" s="92" t="str">
        <f>IF(ESTOQUE!E229="","",ESTOQUE!E229)</f>
        <v>KG</v>
      </c>
    </row>
    <row r="231" spans="2:4" ht="18.75">
      <c r="B231" s="94" t="str">
        <f>INDEX(Cadastro_Hortfrut[[#All],[Colunas4]],MATCH(ROW()-6,Cadastro_Hortfrut[[#All],[Colunas2]],0))</f>
        <v>Quiabo</v>
      </c>
      <c r="C231" s="93">
        <f ca="1">IF(BAIXAS!AJ239="Vazio","Info",ROUNDUP(BAIXAS!AI239/DAY(Configurações!$C$5)*'Estoque Mínimo'!$K$1*(1+('Estoque Mínimo'!$G$1/100)),0))</f>
        <v>36</v>
      </c>
      <c r="D231" s="92" t="str">
        <f>IF(ESTOQUE!E230="","",ESTOQUE!E230)</f>
        <v/>
      </c>
    </row>
    <row r="232" spans="2:4" ht="18.75">
      <c r="B232" s="133" t="str">
        <f>INDEX(Cadastro_Hortfrut[[#All],[Colunas4]],MATCH(ROW()-6,Cadastro_Hortfrut[[#All],[Colunas2]],0))</f>
        <v>Rabanete</v>
      </c>
      <c r="C232" s="137">
        <f ca="1">IF(BAIXAS!AJ235="Vazio","Info",ROUNDUP(BAIXAS!AI235/DAY(Configurações!$C$5)*'Estoque Mínimo'!$K$1*(1+('Estoque Mínimo'!$G$1/100)),0))</f>
        <v>6</v>
      </c>
      <c r="D232" s="92" t="str">
        <f>IF(ESTOQUE!E231="","",ESTOQUE!E231)</f>
        <v>UND</v>
      </c>
    </row>
    <row r="233" spans="2:4" ht="18.75">
      <c r="B233" s="133" t="str">
        <f>INDEX(Cadastro_Hortfrut[[#All],[Colunas4]],MATCH(ROW()-6,Cadastro_Hortfrut[[#All],[Colunas2]],0))</f>
        <v xml:space="preserve">Repolho </v>
      </c>
      <c r="C233" s="137">
        <f ca="1">IF(BAIXAS!AJ235="Vazio","Info",ROUNDUP(BAIXAS!AI235/DAY(Configurações!$C$5)*'Estoque Mínimo'!$K$1*(1+('Estoque Mínimo'!$G$1/100)),0))</f>
        <v>6</v>
      </c>
      <c r="D233" s="92" t="str">
        <f>IF(ESTOQUE!E232="","",ESTOQUE!E232)</f>
        <v>UND</v>
      </c>
    </row>
    <row r="234" spans="2:4" ht="18.75">
      <c r="B234" s="133" t="str">
        <f>INDEX(Cadastro_Hortfrut[[#All],[Colunas4]],MATCH(ROW()-6,Cadastro_Hortfrut[[#All],[Colunas2]],0))</f>
        <v>Repolho roxo</v>
      </c>
      <c r="C234" s="137">
        <f ca="1">IF(BAIXAS!AJ235="Vazio","Info",ROUNDUP(BAIXAS!AI235/DAY(Configurações!$C$5)*'Estoque Mínimo'!$K$1*(1+('Estoque Mínimo'!$G$1/100)),0))</f>
        <v>6</v>
      </c>
      <c r="D234" s="92" t="str">
        <f>IF(ESTOQUE!E233="","",ESTOQUE!E233)</f>
        <v>UND</v>
      </c>
    </row>
    <row r="235" spans="2:4" ht="18.75">
      <c r="B235" s="151" t="str">
        <f>INDEX(Cadastro_Hortfrut[[#All],[Colunas4]],MATCH(ROW()-6,Cadastro_Hortfrut[[#All],[Colunas2]],0))</f>
        <v>Rúcula</v>
      </c>
      <c r="C235" s="152" t="str">
        <f ca="1">IF(BAIXAS!AJ234="Vazio","Info",ROUNDUP(BAIXAS!AI234/DAY(Configurações!$C$5)*'Estoque Mínimo'!$K$1*(1+('Estoque Mínimo'!$G$1/100)),0))</f>
        <v>Info</v>
      </c>
      <c r="D235" s="92" t="str">
        <f>IF(ESTOQUE!E234="","",ESTOQUE!E234)</f>
        <v/>
      </c>
    </row>
    <row r="236" spans="2:4" ht="18.75">
      <c r="B236" s="151" t="str">
        <f>INDEX(Cadastro_Hortfrut[[#All],[Colunas4]],MATCH(ROW()-6,Cadastro_Hortfrut[[#All],[Colunas2]],0))</f>
        <v>Salsa</v>
      </c>
      <c r="C236" s="152" t="str">
        <f ca="1">IF(BAIXAS!AJ234="Vazio","Info",ROUNDUP(BAIXAS!AI234/DAY(Configurações!$C$5)*'Estoque Mínimo'!$K$1*(1+('Estoque Mínimo'!$G$1/100)),0))</f>
        <v>Info</v>
      </c>
      <c r="D236" s="92" t="str">
        <f>IF(ESTOQUE!E235="","",ESTOQUE!E235)</f>
        <v>UND</v>
      </c>
    </row>
    <row r="237" spans="2:4" ht="18.75">
      <c r="B237" s="151" t="str">
        <f>INDEX(Cadastro_Hortfrut[[#All],[Colunas4]],MATCH(ROW()-6,Cadastro_Hortfrut[[#All],[Colunas2]],0))</f>
        <v>Salsão</v>
      </c>
      <c r="C237" s="152" t="str">
        <f ca="1">IF(BAIXAS!AJ234="Vazio","Info",ROUNDUP(BAIXAS!AI234/DAY(Configurações!$C$5)*'Estoque Mínimo'!$K$1*(1+('Estoque Mínimo'!$G$1/100)),0))</f>
        <v>Info</v>
      </c>
      <c r="D237" s="92" t="str">
        <f>IF(ESTOQUE!E236="","",ESTOQUE!E236)</f>
        <v/>
      </c>
    </row>
    <row r="238" spans="2:4" ht="18.75">
      <c r="B238" s="151" t="str">
        <f>INDEX(Cadastro_Hortfrut[[#All],[Colunas4]],MATCH(ROW()-6,Cadastro_Hortfrut[[#All],[Colunas2]],0))</f>
        <v>Tomate Cereja</v>
      </c>
      <c r="C238" s="152" t="str">
        <f ca="1">IF(BAIXAS!AJ234="Vazio","Info",ROUNDUP(BAIXAS!AI234/DAY(Configurações!$C$5)*'Estoque Mínimo'!$K$1*(1+('Estoque Mínimo'!$G$1/100)),0))</f>
        <v>Info</v>
      </c>
      <c r="D238" s="92" t="str">
        <f>IF(ESTOQUE!E237="","",ESTOQUE!E237)</f>
        <v>UND</v>
      </c>
    </row>
    <row r="239" spans="2:4" ht="18.75">
      <c r="B239" s="151" t="str">
        <f>INDEX(Cadastro_Hortfrut[[#All],[Colunas4]],MATCH(ROW()-6,Cadastro_Hortfrut[[#All],[Colunas2]],0))</f>
        <v>Tomate Molho</v>
      </c>
      <c r="C239" s="152" t="str">
        <f ca="1">IF(BAIXAS!AJ234="Vazio","Info",ROUNDUP(BAIXAS!AI234/DAY(Configurações!$C$5)*'Estoque Mínimo'!$K$1*(1+('Estoque Mínimo'!$G$1/100)),0))</f>
        <v>Info</v>
      </c>
      <c r="D239" s="92" t="str">
        <f>IF(ESTOQUE!E238="","",ESTOQUE!E238)</f>
        <v/>
      </c>
    </row>
    <row r="240" spans="2:4" ht="18.75">
      <c r="B240" s="151" t="str">
        <f>INDEX(Cadastro_Hortfrut[[#All],[Colunas4]],MATCH(ROW()-6,Cadastro_Hortfrut[[#All],[Colunas2]],0))</f>
        <v xml:space="preserve">Tomate Salada </v>
      </c>
      <c r="C240" s="152" t="str">
        <f ca="1">IF(BAIXAS!AJ234="Vazio","Info",ROUNDUP(BAIXAS!AI234/DAY(Configurações!$C$5)*'Estoque Mínimo'!$K$1*(1+('Estoque Mínimo'!$G$1/100)),0))</f>
        <v>Info</v>
      </c>
      <c r="D240" s="92" t="str">
        <f>IF(ESTOQUE!E239="","",ESTOQUE!E239)</f>
        <v>KG</v>
      </c>
    </row>
    <row r="241" spans="2:4" ht="18.75">
      <c r="B241" s="151" t="str">
        <f>INDEX(Cadastro_Hortfrut[[#All],[Colunas4]],MATCH(ROW()-6,Cadastro_Hortfrut[[#All],[Colunas2]],0))</f>
        <v>Uva</v>
      </c>
      <c r="C241" s="152" t="str">
        <f ca="1">IF(BAIXAS!AJ234="Vazio","Info",ROUNDUP(BAIXAS!AI234/DAY(Configurações!$C$5)*'Estoque Mínimo'!$K$1*(1+('Estoque Mínimo'!$G$1/100)),0))</f>
        <v>Info</v>
      </c>
      <c r="D241" s="92" t="str">
        <f>IF(ESTOQUE!E240="","",ESTOQUE!E240)</f>
        <v/>
      </c>
    </row>
    <row r="242" spans="2:4" ht="18.75">
      <c r="B242" s="151" t="str">
        <f>INDEX(Cadastro_Hortfrut[[#All],[Colunas4]],MATCH(ROW()-6,Cadastro_Hortfrut[[#All],[Colunas2]],0))</f>
        <v xml:space="preserve">Vagem </v>
      </c>
      <c r="C242" s="152" t="str">
        <f ca="1">IF(BAIXAS!AJ234="Vazio","Info",ROUNDUP(BAIXAS!AI234/DAY(Configurações!$C$5)*'Estoque Mínimo'!$K$1*(1+('Estoque Mínimo'!$G$1/100)),0))</f>
        <v>Info</v>
      </c>
      <c r="D242" s="92" t="str">
        <f>IF(ESTOQUE!E241="","",ESTOQUE!E241)</f>
        <v/>
      </c>
    </row>
  </sheetData>
  <sheetProtection password="C6E3" sheet="1" objects="1" scenarios="1" selectLockedCells="1"/>
  <mergeCells count="15">
    <mergeCell ref="I1:J1"/>
    <mergeCell ref="E1:F1"/>
    <mergeCell ref="B6:D6"/>
    <mergeCell ref="B182:D182"/>
    <mergeCell ref="B183:D183"/>
    <mergeCell ref="B175:D175"/>
    <mergeCell ref="B176:D176"/>
    <mergeCell ref="B170:D170"/>
    <mergeCell ref="B171:D171"/>
    <mergeCell ref="B139:D139"/>
    <mergeCell ref="B140:D140"/>
    <mergeCell ref="B2:D2"/>
    <mergeCell ref="B3:D3"/>
    <mergeCell ref="B4:D4"/>
    <mergeCell ref="B5:D5"/>
  </mergeCells>
  <conditionalFormatting sqref="C7:C138 C141:C169 C172:C174 C177:C181 C184:C242">
    <cfRule type="cellIs" dxfId="423" priority="18" operator="lessThan">
      <formula>0</formula>
    </cfRule>
  </conditionalFormatting>
  <conditionalFormatting sqref="C141:C169 C172:C174 C177:C181 C184:C242">
    <cfRule type="cellIs" dxfId="422" priority="17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/>
  <dimension ref="B1:CX241"/>
  <sheetViews>
    <sheetView showGridLines="0" zoomScale="115" zoomScaleNormal="115" workbookViewId="0">
      <pane ySplit="4" topLeftCell="A131" activePane="bottomLeft" state="frozen"/>
      <selection activeCell="A2" sqref="A2"/>
      <selection pane="bottomLeft" activeCell="AD258" sqref="AD258"/>
    </sheetView>
  </sheetViews>
  <sheetFormatPr defaultRowHeight="15"/>
  <cols>
    <col min="1" max="1" width="3.42578125" style="22" bestFit="1" customWidth="1"/>
    <col min="2" max="2" width="33.42578125" style="22" bestFit="1" customWidth="1"/>
    <col min="3" max="3" width="4" style="22" customWidth="1"/>
    <col min="4" max="33" width="3.7109375" style="22" customWidth="1"/>
    <col min="34" max="34" width="7.28515625" style="22" bestFit="1" customWidth="1"/>
    <col min="35" max="35" width="9.140625" style="22" customWidth="1"/>
    <col min="36" max="38" width="9.140625" style="22"/>
    <col min="39" max="39" width="33" style="22" bestFit="1" customWidth="1"/>
    <col min="40" max="16384" width="9.140625" style="22"/>
  </cols>
  <sheetData>
    <row r="1" spans="2:35" hidden="1"/>
    <row r="2" spans="2:35" hidden="1"/>
    <row r="3" spans="2:35" ht="15.75" hidden="1" thickBot="1">
      <c r="B3" s="22">
        <f ca="1">IF(Configurações!G8="Ligado",DAY(Configurações!C5),DAY(Configurações!C4))</f>
        <v>24</v>
      </c>
      <c r="C3" s="22">
        <f t="shared" ref="C3:AG3" ca="1" si="0">COUNTBLANK(C$6:C$241)</f>
        <v>8</v>
      </c>
      <c r="D3" s="22">
        <f t="shared" ca="1" si="0"/>
        <v>8</v>
      </c>
      <c r="E3" s="22">
        <f t="shared" ca="1" si="0"/>
        <v>8</v>
      </c>
      <c r="F3" s="22">
        <f t="shared" ca="1" si="0"/>
        <v>8</v>
      </c>
      <c r="G3" s="22">
        <f t="shared" ca="1" si="0"/>
        <v>8</v>
      </c>
      <c r="H3" s="22">
        <f t="shared" ca="1" si="0"/>
        <v>8</v>
      </c>
      <c r="I3" s="22">
        <f t="shared" ca="1" si="0"/>
        <v>8</v>
      </c>
      <c r="J3" s="22">
        <f t="shared" ca="1" si="0"/>
        <v>8</v>
      </c>
      <c r="K3" s="22">
        <f t="shared" ca="1" si="0"/>
        <v>8</v>
      </c>
      <c r="L3" s="22">
        <f t="shared" ca="1" si="0"/>
        <v>8</v>
      </c>
      <c r="M3" s="22">
        <f t="shared" ca="1" si="0"/>
        <v>8</v>
      </c>
      <c r="N3" s="22">
        <f t="shared" ca="1" si="0"/>
        <v>8</v>
      </c>
      <c r="O3" s="22">
        <f t="shared" ca="1" si="0"/>
        <v>8</v>
      </c>
      <c r="P3" s="22">
        <f t="shared" ca="1" si="0"/>
        <v>8</v>
      </c>
      <c r="Q3" s="22">
        <f t="shared" ca="1" si="0"/>
        <v>8</v>
      </c>
      <c r="R3" s="22">
        <f t="shared" ca="1" si="0"/>
        <v>8</v>
      </c>
      <c r="S3" s="22">
        <f t="shared" ca="1" si="0"/>
        <v>8</v>
      </c>
      <c r="T3" s="22">
        <f t="shared" ca="1" si="0"/>
        <v>8</v>
      </c>
      <c r="U3" s="22">
        <f t="shared" ca="1" si="0"/>
        <v>8</v>
      </c>
      <c r="V3" s="22">
        <f t="shared" ca="1" si="0"/>
        <v>8</v>
      </c>
      <c r="W3" s="22">
        <f t="shared" ca="1" si="0"/>
        <v>8</v>
      </c>
      <c r="X3" s="22">
        <f t="shared" ca="1" si="0"/>
        <v>8</v>
      </c>
      <c r="Y3" s="22">
        <f t="shared" ca="1" si="0"/>
        <v>8</v>
      </c>
      <c r="Z3" s="22">
        <f t="shared" ca="1" si="0"/>
        <v>8</v>
      </c>
      <c r="AA3" s="22">
        <f t="shared" ca="1" si="0"/>
        <v>8</v>
      </c>
      <c r="AB3" s="22">
        <f t="shared" ca="1" si="0"/>
        <v>8</v>
      </c>
      <c r="AC3" s="22">
        <f t="shared" ca="1" si="0"/>
        <v>8</v>
      </c>
      <c r="AD3" s="22">
        <f t="shared" ca="1" si="0"/>
        <v>8</v>
      </c>
      <c r="AE3" s="22">
        <f t="shared" ca="1" si="0"/>
        <v>8</v>
      </c>
      <c r="AF3" s="22">
        <f t="shared" ca="1" si="0"/>
        <v>8</v>
      </c>
      <c r="AG3" s="22">
        <f t="shared" ca="1" si="0"/>
        <v>8</v>
      </c>
      <c r="AH3" s="46">
        <f ca="1">Configurações!C14</f>
        <v>31</v>
      </c>
    </row>
    <row r="4" spans="2:35" ht="18.75" thickBot="1">
      <c r="B4" s="59" t="s">
        <v>132</v>
      </c>
      <c r="C4" s="211">
        <v>1</v>
      </c>
      <c r="D4" s="212">
        <v>2</v>
      </c>
      <c r="E4" s="212">
        <v>3</v>
      </c>
      <c r="F4" s="212">
        <v>4</v>
      </c>
      <c r="G4" s="212">
        <v>5</v>
      </c>
      <c r="H4" s="212">
        <v>6</v>
      </c>
      <c r="I4" s="212">
        <v>7</v>
      </c>
      <c r="J4" s="212">
        <v>8</v>
      </c>
      <c r="K4" s="212">
        <v>9</v>
      </c>
      <c r="L4" s="212">
        <v>10</v>
      </c>
      <c r="M4" s="212">
        <v>11</v>
      </c>
      <c r="N4" s="212">
        <v>12</v>
      </c>
      <c r="O4" s="212">
        <v>13</v>
      </c>
      <c r="P4" s="212">
        <v>14</v>
      </c>
      <c r="Q4" s="212">
        <v>15</v>
      </c>
      <c r="R4" s="212">
        <v>16</v>
      </c>
      <c r="S4" s="212">
        <v>17</v>
      </c>
      <c r="T4" s="212">
        <v>18</v>
      </c>
      <c r="U4" s="212">
        <v>19</v>
      </c>
      <c r="V4" s="212">
        <v>20</v>
      </c>
      <c r="W4" s="212">
        <v>21</v>
      </c>
      <c r="X4" s="212">
        <v>22</v>
      </c>
      <c r="Y4" s="212">
        <v>23</v>
      </c>
      <c r="Z4" s="212">
        <v>24</v>
      </c>
      <c r="AA4" s="212">
        <v>25</v>
      </c>
      <c r="AB4" s="212">
        <v>26</v>
      </c>
      <c r="AC4" s="212">
        <v>27</v>
      </c>
      <c r="AD4" s="212">
        <v>28</v>
      </c>
      <c r="AE4" s="212">
        <v>29</v>
      </c>
      <c r="AF4" s="213">
        <v>30</v>
      </c>
      <c r="AG4" s="214">
        <v>31</v>
      </c>
      <c r="AH4" s="123" t="s">
        <v>113</v>
      </c>
      <c r="AI4" s="60"/>
    </row>
    <row r="5" spans="2:35" ht="24" thickBot="1">
      <c r="B5" s="442" t="s">
        <v>204</v>
      </c>
      <c r="C5" s="443"/>
      <c r="D5" s="443"/>
      <c r="E5" s="443"/>
      <c r="F5" s="443"/>
      <c r="G5" s="443"/>
      <c r="H5" s="443"/>
      <c r="I5" s="443"/>
      <c r="J5" s="443"/>
      <c r="K5" s="443"/>
      <c r="L5" s="443"/>
      <c r="M5" s="443"/>
      <c r="N5" s="443"/>
      <c r="O5" s="443"/>
      <c r="P5" s="443"/>
      <c r="Q5" s="443"/>
      <c r="R5" s="443"/>
      <c r="S5" s="443"/>
      <c r="T5" s="443"/>
      <c r="U5" s="443"/>
      <c r="V5" s="443"/>
      <c r="W5" s="443"/>
      <c r="X5" s="443"/>
      <c r="Y5" s="443"/>
      <c r="Z5" s="443"/>
      <c r="AA5" s="443"/>
      <c r="AB5" s="443"/>
      <c r="AC5" s="443"/>
      <c r="AD5" s="443"/>
      <c r="AE5" s="443"/>
      <c r="AF5" s="443"/>
      <c r="AG5" s="443"/>
      <c r="AH5" s="443"/>
    </row>
    <row r="6" spans="2:35" ht="18">
      <c r="B6" s="94" t="str">
        <f>INDEX(Cadastro_Mantimentos[[#All],[Colunas4]],MATCH(ROW()-5,Cadastro_Mantimentos[[#All],[Colunas2]],0))</f>
        <v>Abacaxi Em Calda</v>
      </c>
      <c r="C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" s="103" t="e">
        <f ca="1">ROUNDUP(SUMIF($C$4:$AG$4,"&lt;="&amp;$B$3,Previsao_Mantimentos[[#This Row],[Colunas2]:[Colunas32]]),0)</f>
        <v>#VALUE!</v>
      </c>
    </row>
    <row r="7" spans="2:35" ht="18">
      <c r="B7" s="94" t="str">
        <f>INDEX(Cadastro_Mantimentos[[#All],[Colunas4]],MATCH(ROW()-5,Cadastro_Mantimentos[[#All],[Colunas2]],0))</f>
        <v>Açafrão</v>
      </c>
      <c r="C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" s="103" t="e">
        <f ca="1">ROUNDUP(SUMIF($C$4:$AG$4,"&lt;="&amp;$B$3,Previsao_Mantimentos[[#This Row],[Colunas2]:[Colunas32]]),0)</f>
        <v>#VALUE!</v>
      </c>
    </row>
    <row r="8" spans="2:35" ht="18">
      <c r="B8" s="94" t="str">
        <f>INDEX(Cadastro_Mantimentos[[#All],[Colunas4]],MATCH(ROW()-5,Cadastro_Mantimentos[[#All],[Colunas2]],0))</f>
        <v>Achocolatado</v>
      </c>
      <c r="C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" s="103" t="e">
        <f ca="1">ROUNDUP(SUMIF($C$4:$AG$4,"&lt;="&amp;$B$3,Previsao_Mantimentos[[#This Row],[Colunas2]:[Colunas32]]),0)</f>
        <v>#VALUE!</v>
      </c>
    </row>
    <row r="9" spans="2:35" ht="18">
      <c r="B9" s="94" t="str">
        <f>INDEX(Cadastro_Mantimentos[[#All],[Colunas4]],MATCH(ROW()-5,Cadastro_Mantimentos[[#All],[Colunas2]],0))</f>
        <v>Açúcar</v>
      </c>
      <c r="C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" s="103" t="e">
        <f ca="1">ROUNDUP(SUMIF($C$4:$AG$4,"&lt;="&amp;$B$3,Previsao_Mantimentos[[#This Row],[Colunas2]:[Colunas32]]),0)</f>
        <v>#VALUE!</v>
      </c>
    </row>
    <row r="10" spans="2:35" ht="18">
      <c r="B10" s="94" t="str">
        <f>INDEX(Cadastro_Mantimentos[[#All],[Colunas4]],MATCH(ROW()-5,Cadastro_Mantimentos[[#All],[Colunas2]],0))</f>
        <v>Acucar Sache</v>
      </c>
      <c r="C1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" s="103" t="e">
        <f ca="1">ROUNDUP(SUMIF($C$4:$AG$4,"&lt;="&amp;$B$3,Previsao_Mantimentos[[#This Row],[Colunas2]:[Colunas32]]),0)</f>
        <v>#VALUE!</v>
      </c>
    </row>
    <row r="11" spans="2:35" ht="18">
      <c r="B11" s="94" t="str">
        <f>INDEX(Cadastro_Mantimentos[[#All],[Colunas4]],MATCH(ROW()-5,Cadastro_Mantimentos[[#All],[Colunas2]],0))</f>
        <v>Adoçante</v>
      </c>
      <c r="C1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" s="103" t="e">
        <f ca="1">ROUNDUP(SUMIF($C$4:$AG$4,"&lt;="&amp;$B$3,Previsao_Mantimentos[[#This Row],[Colunas2]:[Colunas32]]),0)</f>
        <v>#VALUE!</v>
      </c>
    </row>
    <row r="12" spans="2:35" ht="18">
      <c r="B12" s="94" t="str">
        <f>INDEX(Cadastro_Mantimentos[[#All],[Colunas4]],MATCH(ROW()-5,Cadastro_Mantimentos[[#All],[Colunas2]],0))</f>
        <v>Alho</v>
      </c>
      <c r="C1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" s="103" t="e">
        <f ca="1">ROUNDUP(SUMIF($C$4:$AG$4,"&lt;="&amp;$B$3,Previsao_Mantimentos[[#This Row],[Colunas2]:[Colunas32]]),0)</f>
        <v>#VALUE!</v>
      </c>
    </row>
    <row r="13" spans="2:35" ht="18">
      <c r="B13" s="94" t="str">
        <f>INDEX(Cadastro_Mantimentos[[#All],[Colunas4]],MATCH(ROW()-5,Cadastro_Mantimentos[[#All],[Colunas2]],0))</f>
        <v>Amaciante</v>
      </c>
      <c r="C1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" s="103" t="e">
        <f ca="1">ROUNDUP(SUMIF($C$4:$AG$4,"&lt;="&amp;$B$3,Previsao_Mantimentos[[#This Row],[Colunas2]:[Colunas32]]),0)</f>
        <v>#VALUE!</v>
      </c>
    </row>
    <row r="14" spans="2:35" ht="18">
      <c r="B14" s="94" t="str">
        <f>INDEX(Cadastro_Mantimentos[[#All],[Colunas4]],MATCH(ROW()-5,Cadastro_Mantimentos[[#All],[Colunas2]],0))</f>
        <v>Ameixa</v>
      </c>
      <c r="C1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4" s="103" t="e">
        <f ca="1">ROUNDUP(SUMIF($C$4:$AG$4,"&lt;="&amp;$B$3,Previsao_Mantimentos[[#This Row],[Colunas2]:[Colunas32]]),0)</f>
        <v>#VALUE!</v>
      </c>
    </row>
    <row r="15" spans="2:35" ht="18">
      <c r="B15" s="94" t="str">
        <f>INDEX(Cadastro_Mantimentos[[#All],[Colunas4]],MATCH(ROW()-5,Cadastro_Mantimentos[[#All],[Colunas2]],0))</f>
        <v>Amendoa sem casca</v>
      </c>
      <c r="C1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5" s="103" t="e">
        <f ca="1">ROUNDUP(SUMIF($C$4:$AG$4,"&lt;="&amp;$B$3,Previsao_Mantimentos[[#This Row],[Colunas2]:[Colunas32]]),0)</f>
        <v>#VALUE!</v>
      </c>
    </row>
    <row r="16" spans="2:35" ht="18">
      <c r="B16" s="94" t="str">
        <f>INDEX(Cadastro_Mantimentos[[#All],[Colunas4]],MATCH(ROW()-5,Cadastro_Mantimentos[[#All],[Colunas2]],0))</f>
        <v>Amendoin</v>
      </c>
      <c r="C1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6" s="103" t="e">
        <f ca="1">ROUNDUP(SUMIF($C$4:$AG$4,"&lt;="&amp;$B$3,Previsao_Mantimentos[[#This Row],[Colunas2]:[Colunas32]]),0)</f>
        <v>#VALUE!</v>
      </c>
    </row>
    <row r="17" spans="2:34" ht="18">
      <c r="B17" s="94" t="str">
        <f>INDEX(Cadastro_Mantimentos[[#All],[Colunas4]],MATCH(ROW()-5,Cadastro_Mantimentos[[#All],[Colunas2]],0))</f>
        <v>Amido De Milho</v>
      </c>
      <c r="C1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7" s="103" t="e">
        <f ca="1">ROUNDUP(SUMIF($C$4:$AG$4,"&lt;="&amp;$B$3,Previsao_Mantimentos[[#This Row],[Colunas2]:[Colunas32]]),0)</f>
        <v>#VALUE!</v>
      </c>
    </row>
    <row r="18" spans="2:34" ht="18">
      <c r="B18" s="94" t="str">
        <f>INDEX(Cadastro_Mantimentos[[#All],[Colunas4]],MATCH(ROW()-5,Cadastro_Mantimentos[[#All],[Colunas2]],0))</f>
        <v>Arroz</v>
      </c>
      <c r="C1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8" s="103" t="e">
        <f ca="1">ROUNDUP(SUMIF($C$4:$AG$4,"&lt;="&amp;$B$3,Previsao_Mantimentos[[#This Row],[Colunas2]:[Colunas32]]),0)</f>
        <v>#VALUE!</v>
      </c>
    </row>
    <row r="19" spans="2:34" ht="18">
      <c r="B19" s="94" t="str">
        <f>INDEX(Cadastro_Mantimentos[[#All],[Colunas4]],MATCH(ROW()-5,Cadastro_Mantimentos[[#All],[Colunas2]],0))</f>
        <v>Atum</v>
      </c>
      <c r="C1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9" s="103" t="e">
        <f ca="1">ROUNDUP(SUMIF($C$4:$AG$4,"&lt;="&amp;$B$3,Previsao_Mantimentos[[#This Row],[Colunas2]:[Colunas32]]),0)</f>
        <v>#VALUE!</v>
      </c>
    </row>
    <row r="20" spans="2:34" ht="18">
      <c r="B20" s="94" t="str">
        <f>INDEX(Cadastro_Mantimentos[[#All],[Colunas4]],MATCH(ROW()-5,Cadastro_Mantimentos[[#All],[Colunas2]],0))</f>
        <v>Azeite</v>
      </c>
      <c r="C2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0" s="103" t="e">
        <f ca="1">ROUNDUP(SUMIF($C$4:$AG$4,"&lt;="&amp;$B$3,Previsao_Mantimentos[[#This Row],[Colunas2]:[Colunas32]]),0)</f>
        <v>#VALUE!</v>
      </c>
    </row>
    <row r="21" spans="2:34" ht="18">
      <c r="B21" s="94" t="str">
        <f>INDEX(Cadastro_Mantimentos[[#All],[Colunas4]],MATCH(ROW()-5,Cadastro_Mantimentos[[#All],[Colunas2]],0))</f>
        <v>Azeitona Verde Fatiada</v>
      </c>
      <c r="C2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1" s="103" t="e">
        <f ca="1">ROUNDUP(SUMIF($C$4:$AG$4,"&lt;="&amp;$B$3,Previsao_Mantimentos[[#This Row],[Colunas2]:[Colunas32]]),0)</f>
        <v>#VALUE!</v>
      </c>
    </row>
    <row r="22" spans="2:34" ht="18">
      <c r="B22" s="94" t="str">
        <f>INDEX(Cadastro_Mantimentos[[#All],[Colunas4]],MATCH(ROW()-5,Cadastro_Mantimentos[[#All],[Colunas2]],0))</f>
        <v>Batata Chips</v>
      </c>
      <c r="C2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2" s="103" t="e">
        <f ca="1">ROUNDUP(SUMIF($C$4:$AG$4,"&lt;="&amp;$B$3,Previsao_Mantimentos[[#This Row],[Colunas2]:[Colunas32]]),0)</f>
        <v>#VALUE!</v>
      </c>
    </row>
    <row r="23" spans="2:34" ht="18">
      <c r="B23" s="94" t="str">
        <f>INDEX(Cadastro_Mantimentos[[#All],[Colunas4]],MATCH(ROW()-5,Cadastro_Mantimentos[[#All],[Colunas2]],0))</f>
        <v>Batata Palha</v>
      </c>
      <c r="C2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3" s="103" t="e">
        <f ca="1">ROUNDUP(SUMIF($C$4:$AG$4,"&lt;="&amp;$B$3,Previsao_Mantimentos[[#This Row],[Colunas2]:[Colunas32]]),0)</f>
        <v>#VALUE!</v>
      </c>
    </row>
    <row r="24" spans="2:34" ht="18">
      <c r="B24" s="94" t="str">
        <f>INDEX(Cadastro_Mantimentos[[#All],[Colunas4]],MATCH(ROW()-5,Cadastro_Mantimentos[[#All],[Colunas2]],0))</f>
        <v>Batata Palito</v>
      </c>
      <c r="C2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4" s="103" t="e">
        <f ca="1">ROUNDUP(SUMIF($C$4:$AG$4,"&lt;="&amp;$B$3,Previsao_Mantimentos[[#This Row],[Colunas2]:[Colunas32]]),0)</f>
        <v>#VALUE!</v>
      </c>
    </row>
    <row r="25" spans="2:34" ht="18">
      <c r="B25" s="94" t="str">
        <f>INDEX(Cadastro_Mantimentos[[#All],[Colunas4]],MATCH(ROW()-5,Cadastro_Mantimentos[[#All],[Colunas2]],0))</f>
        <v>Bolacha Champagne</v>
      </c>
      <c r="C2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5" s="103" t="e">
        <f ca="1">ROUNDUP(SUMIF($C$4:$AG$4,"&lt;="&amp;$B$3,Previsao_Mantimentos[[#This Row],[Colunas2]:[Colunas32]]),0)</f>
        <v>#VALUE!</v>
      </c>
    </row>
    <row r="26" spans="2:34" ht="18">
      <c r="B26" s="94" t="str">
        <f>INDEX(Cadastro_Mantimentos[[#All],[Colunas4]],MATCH(ROW()-5,Cadastro_Mantimentos[[#All],[Colunas2]],0))</f>
        <v>Bolacha Salgada</v>
      </c>
      <c r="C2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6" s="103" t="e">
        <f ca="1">ROUNDUP(SUMIF($C$4:$AG$4,"&lt;="&amp;$B$3,Previsao_Mantimentos[[#This Row],[Colunas2]:[Colunas32]]),0)</f>
        <v>#VALUE!</v>
      </c>
    </row>
    <row r="27" spans="2:34" ht="18">
      <c r="B27" s="94" t="str">
        <f>INDEX(Cadastro_Mantimentos[[#All],[Colunas4]],MATCH(ROW()-5,Cadastro_Mantimentos[[#All],[Colunas2]],0))</f>
        <v>Café</v>
      </c>
      <c r="C2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7" s="103" t="e">
        <f ca="1">ROUNDUP(SUMIF($C$4:$AG$4,"&lt;="&amp;$B$3,Previsao_Mantimentos[[#This Row],[Colunas2]:[Colunas32]]),0)</f>
        <v>#VALUE!</v>
      </c>
    </row>
    <row r="28" spans="2:34" ht="18">
      <c r="B28" s="94" t="str">
        <f>INDEX(Cadastro_Mantimentos[[#All],[Colunas4]],MATCH(ROW()-5,Cadastro_Mantimentos[[#All],[Colunas2]],0))</f>
        <v>Caldo De Carne</v>
      </c>
      <c r="C2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8" s="103" t="e">
        <f ca="1">ROUNDUP(SUMIF($C$4:$AG$4,"&lt;="&amp;$B$3,Previsao_Mantimentos[[#This Row],[Colunas2]:[Colunas32]]),0)</f>
        <v>#VALUE!</v>
      </c>
    </row>
    <row r="29" spans="2:34" ht="18">
      <c r="B29" s="94" t="str">
        <f>INDEX(Cadastro_Mantimentos[[#All],[Colunas4]],MATCH(ROW()-5,Cadastro_Mantimentos[[#All],[Colunas2]],0))</f>
        <v>Caldo De Legumes</v>
      </c>
      <c r="C2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9" s="103" t="e">
        <f ca="1">ROUNDUP(SUMIF($C$4:$AG$4,"&lt;="&amp;$B$3,Previsao_Mantimentos[[#This Row],[Colunas2]:[Colunas32]]),0)</f>
        <v>#VALUE!</v>
      </c>
    </row>
    <row r="30" spans="2:34" ht="18">
      <c r="B30" s="94" t="str">
        <f>INDEX(Cadastro_Mantimentos[[#All],[Colunas4]],MATCH(ROW()-5,Cadastro_Mantimentos[[#All],[Colunas2]],0))</f>
        <v xml:space="preserve">Caldo De Peixe </v>
      </c>
      <c r="C3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0" s="103" t="e">
        <f ca="1">ROUNDUP(SUMIF($C$4:$AG$4,"&lt;="&amp;$B$3,Previsao_Mantimentos[[#This Row],[Colunas2]:[Colunas32]]),0)</f>
        <v>#VALUE!</v>
      </c>
    </row>
    <row r="31" spans="2:34" ht="18">
      <c r="B31" s="94" t="str">
        <f>INDEX(Cadastro_Mantimentos[[#All],[Colunas4]],MATCH(ROW()-5,Cadastro_Mantimentos[[#All],[Colunas2]],0))</f>
        <v>Caldo Galinha</v>
      </c>
      <c r="C3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1" s="103" t="e">
        <f ca="1">ROUNDUP(SUMIF($C$4:$AG$4,"&lt;="&amp;$B$3,Previsao_Mantimentos[[#This Row],[Colunas2]:[Colunas32]]),0)</f>
        <v>#VALUE!</v>
      </c>
    </row>
    <row r="32" spans="2:34" ht="18">
      <c r="B32" s="94" t="str">
        <f>INDEX(Cadastro_Mantimentos[[#All],[Colunas4]],MATCH(ROW()-5,Cadastro_Mantimentos[[#All],[Colunas2]],0))</f>
        <v>Canela Em Casca</v>
      </c>
      <c r="C3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2" s="103" t="e">
        <f ca="1">ROUNDUP(SUMIF($C$4:$AG$4,"&lt;="&amp;$B$3,Previsao_Mantimentos[[#This Row],[Colunas2]:[Colunas32]]),0)</f>
        <v>#VALUE!</v>
      </c>
    </row>
    <row r="33" spans="2:34" ht="18">
      <c r="B33" s="94" t="str">
        <f>INDEX(Cadastro_Mantimentos[[#All],[Colunas4]],MATCH(ROW()-5,Cadastro_Mantimentos[[#All],[Colunas2]],0))</f>
        <v>Canela Em Pó</v>
      </c>
      <c r="C3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3" s="103" t="e">
        <f ca="1">ROUNDUP(SUMIF($C$4:$AG$4,"&lt;="&amp;$B$3,Previsao_Mantimentos[[#This Row],[Colunas2]:[Colunas32]]),0)</f>
        <v>#VALUE!</v>
      </c>
    </row>
    <row r="34" spans="2:34" ht="18">
      <c r="B34" s="94" t="str">
        <f>INDEX(Cadastro_Mantimentos[[#All],[Colunas4]],MATCH(ROW()-5,Cadastro_Mantimentos[[#All],[Colunas2]],0))</f>
        <v>Canelone</v>
      </c>
      <c r="C3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4" s="103" t="e">
        <f ca="1">ROUNDUP(SUMIF($C$4:$AG$4,"&lt;="&amp;$B$3,Previsao_Mantimentos[[#This Row],[Colunas2]:[Colunas32]]),0)</f>
        <v>#VALUE!</v>
      </c>
    </row>
    <row r="35" spans="2:34" ht="18">
      <c r="B35" s="94" t="str">
        <f>INDEX(Cadastro_Mantimentos[[#All],[Colunas4]],MATCH(ROW()-5,Cadastro_Mantimentos[[#All],[Colunas2]],0))</f>
        <v>Chá De Camomila</v>
      </c>
      <c r="C3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5" s="103" t="e">
        <f ca="1">ROUNDUP(SUMIF($C$4:$AG$4,"&lt;="&amp;$B$3,Previsao_Mantimentos[[#This Row],[Colunas2]:[Colunas32]]),0)</f>
        <v>#VALUE!</v>
      </c>
    </row>
    <row r="36" spans="2:34" ht="18">
      <c r="B36" s="94" t="str">
        <f>INDEX(Cadastro_Mantimentos[[#All],[Colunas4]],MATCH(ROW()-5,Cadastro_Mantimentos[[#All],[Colunas2]],0))</f>
        <v>Chá De Camomila</v>
      </c>
      <c r="C3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6" s="103" t="e">
        <f ca="1">ROUNDUP(SUMIF($C$4:$AG$4,"&lt;="&amp;$B$3,Previsao_Mantimentos[[#This Row],[Colunas2]:[Colunas32]]),0)</f>
        <v>#VALUE!</v>
      </c>
    </row>
    <row r="37" spans="2:34" ht="18">
      <c r="B37" s="94" t="str">
        <f>INDEX(Cadastro_Mantimentos[[#All],[Colunas4]],MATCH(ROW()-5,Cadastro_Mantimentos[[#All],[Colunas2]],0))</f>
        <v>Chá De Erva Doce</v>
      </c>
      <c r="C3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7" s="103" t="e">
        <f ca="1">ROUNDUP(SUMIF($C$4:$AG$4,"&lt;="&amp;$B$3,Previsao_Mantimentos[[#This Row],[Colunas2]:[Colunas32]]),0)</f>
        <v>#VALUE!</v>
      </c>
    </row>
    <row r="38" spans="2:34" ht="18">
      <c r="B38" s="94" t="str">
        <f>INDEX(Cadastro_Mantimentos[[#All],[Colunas4]],MATCH(ROW()-5,Cadastro_Mantimentos[[#All],[Colunas2]],0))</f>
        <v>Chá de Hibisco</v>
      </c>
      <c r="C3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8" s="103" t="e">
        <f ca="1">ROUNDUP(SUMIF($C$4:$AG$4,"&lt;="&amp;$B$3,Previsao_Mantimentos[[#This Row],[Colunas2]:[Colunas32]]),0)</f>
        <v>#VALUE!</v>
      </c>
    </row>
    <row r="39" spans="2:34" ht="18">
      <c r="B39" s="94" t="str">
        <f>INDEX(Cadastro_Mantimentos[[#All],[Colunas4]],MATCH(ROW()-5,Cadastro_Mantimentos[[#All],[Colunas2]],0))</f>
        <v>Chá De Hortelã</v>
      </c>
      <c r="C3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9" s="103" t="e">
        <f ca="1">ROUNDUP(SUMIF($C$4:$AG$4,"&lt;="&amp;$B$3,Previsao_Mantimentos[[#This Row],[Colunas2]:[Colunas32]]),0)</f>
        <v>#VALUE!</v>
      </c>
    </row>
    <row r="40" spans="2:34" ht="18">
      <c r="B40" s="94" t="str">
        <f>INDEX(Cadastro_Mantimentos[[#All],[Colunas4]],MATCH(ROW()-5,Cadastro_Mantimentos[[#All],[Colunas2]],0))</f>
        <v>Chá de Melissa</v>
      </c>
      <c r="C4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0" s="103" t="e">
        <f ca="1">ROUNDUP(SUMIF($C$4:$AG$4,"&lt;="&amp;$B$3,Previsao_Mantimentos[[#This Row],[Colunas2]:[Colunas32]]),0)</f>
        <v>#VALUE!</v>
      </c>
    </row>
    <row r="41" spans="2:34" ht="18">
      <c r="B41" s="94" t="str">
        <f>INDEX(Cadastro_Mantimentos[[#All],[Colunas4]],MATCH(ROW()-5,Cadastro_Mantimentos[[#All],[Colunas2]],0))</f>
        <v xml:space="preserve">Chá Mate </v>
      </c>
      <c r="C4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1" s="103" t="e">
        <f ca="1">ROUNDUP(SUMIF($C$4:$AG$4,"&lt;="&amp;$B$3,Previsao_Mantimentos[[#This Row],[Colunas2]:[Colunas32]]),0)</f>
        <v>#VALUE!</v>
      </c>
    </row>
    <row r="42" spans="2:34" ht="18">
      <c r="B42" s="94" t="str">
        <f>INDEX(Cadastro_Mantimentos[[#All],[Colunas4]],MATCH(ROW()-5,Cadastro_Mantimentos[[#All],[Colunas2]],0))</f>
        <v>Chá Morango</v>
      </c>
      <c r="C4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2" s="103" t="e">
        <f ca="1">ROUNDUP(SUMIF($C$4:$AG$4,"&lt;="&amp;$B$3,Previsao_Mantimentos[[#This Row],[Colunas2]:[Colunas32]]),0)</f>
        <v>#VALUE!</v>
      </c>
    </row>
    <row r="43" spans="2:34" ht="18">
      <c r="B43" s="94" t="str">
        <f>INDEX(Cadastro_Mantimentos[[#All],[Colunas4]],MATCH(ROW()-5,Cadastro_Mantimentos[[#All],[Colunas2]],0))</f>
        <v xml:space="preserve">Chá Preto </v>
      </c>
      <c r="C4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3" s="103" t="e">
        <f ca="1">ROUNDUP(SUMIF($C$4:$AG$4,"&lt;="&amp;$B$3,Previsao_Mantimentos[[#This Row],[Colunas2]:[Colunas32]]),0)</f>
        <v>#VALUE!</v>
      </c>
    </row>
    <row r="44" spans="2:34" ht="18">
      <c r="B44" s="94" t="str">
        <f>INDEX(Cadastro_Mantimentos[[#All],[Colunas4]],MATCH(ROW()-5,Cadastro_Mantimentos[[#All],[Colunas2]],0))</f>
        <v>Champignon Fatiado</v>
      </c>
      <c r="C4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4" s="103" t="e">
        <f ca="1">ROUNDUP(SUMIF($C$4:$AG$4,"&lt;="&amp;$B$3,Previsao_Mantimentos[[#This Row],[Colunas2]:[Colunas32]]),0)</f>
        <v>#VALUE!</v>
      </c>
    </row>
    <row r="45" spans="2:34" ht="18">
      <c r="B45" s="94" t="str">
        <f>INDEX(Cadastro_Mantimentos[[#All],[Colunas4]],MATCH(ROW()-5,Cadastro_Mantimentos[[#All],[Colunas2]],0))</f>
        <v>Chocolate Em Pó</v>
      </c>
      <c r="C4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5" s="103" t="e">
        <f ca="1">ROUNDUP(SUMIF($C$4:$AG$4,"&lt;="&amp;$B$3,Previsao_Mantimentos[[#This Row],[Colunas2]:[Colunas32]]),0)</f>
        <v>#VALUE!</v>
      </c>
    </row>
    <row r="46" spans="2:34" ht="18">
      <c r="B46" s="94" t="str">
        <f>INDEX(Cadastro_Mantimentos[[#All],[Colunas4]],MATCH(ROW()-5,Cadastro_Mantimentos[[#All],[Colunas2]],0))</f>
        <v xml:space="preserve">Chocolate Granulado </v>
      </c>
      <c r="C4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6" s="103" t="e">
        <f ca="1">ROUNDUP(SUMIF($C$4:$AG$4,"&lt;="&amp;$B$3,Previsao_Mantimentos[[#This Row],[Colunas2]:[Colunas32]]),0)</f>
        <v>#VALUE!</v>
      </c>
    </row>
    <row r="47" spans="2:34" ht="18">
      <c r="B47" s="94" t="str">
        <f>INDEX(Cadastro_Mantimentos[[#All],[Colunas4]],MATCH(ROW()-5,Cadastro_Mantimentos[[#All],[Colunas2]],0))</f>
        <v xml:space="preserve">Coco Ralado </v>
      </c>
      <c r="C4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7" s="103" t="e">
        <f ca="1">ROUNDUP(SUMIF($C$4:$AG$4,"&lt;="&amp;$B$3,Previsao_Mantimentos[[#This Row],[Colunas2]:[Colunas32]]),0)</f>
        <v>#VALUE!</v>
      </c>
    </row>
    <row r="48" spans="2:34" ht="18">
      <c r="B48" s="94" t="str">
        <f>INDEX(Cadastro_Mantimentos[[#All],[Colunas4]],MATCH(ROW()-5,Cadastro_Mantimentos[[#All],[Colunas2]],0))</f>
        <v>Coloral</v>
      </c>
      <c r="C4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8" s="103" t="e">
        <f ca="1">ROUNDUP(SUMIF($C$4:$AG$4,"&lt;="&amp;$B$3,Previsao_Mantimentos[[#This Row],[Colunas2]:[Colunas32]]),0)</f>
        <v>#VALUE!</v>
      </c>
    </row>
    <row r="49" spans="2:34" ht="18">
      <c r="B49" s="94" t="str">
        <f>INDEX(Cadastro_Mantimentos[[#All],[Colunas4]],MATCH(ROW()-5,Cadastro_Mantimentos[[#All],[Colunas2]],0))</f>
        <v>Cravo</v>
      </c>
      <c r="C4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9" s="103" t="e">
        <f ca="1">ROUNDUP(SUMIF($C$4:$AG$4,"&lt;="&amp;$B$3,Previsao_Mantimentos[[#This Row],[Colunas2]:[Colunas32]]),0)</f>
        <v>#VALUE!</v>
      </c>
    </row>
    <row r="50" spans="2:34" ht="18">
      <c r="B50" s="94" t="str">
        <f>INDEX(Cadastro_Mantimentos[[#All],[Colunas4]],MATCH(ROW()-5,Cadastro_Mantimentos[[#All],[Colunas2]],0))</f>
        <v>Creme Cebola</v>
      </c>
      <c r="C5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0" s="103" t="e">
        <f ca="1">ROUNDUP(SUMIF($C$4:$AG$4,"&lt;="&amp;$B$3,Previsao_Mantimentos[[#This Row],[Colunas2]:[Colunas32]]),0)</f>
        <v>#VALUE!</v>
      </c>
    </row>
    <row r="51" spans="2:34" ht="18">
      <c r="B51" s="94" t="str">
        <f>INDEX(Cadastro_Mantimentos[[#All],[Colunas4]],MATCH(ROW()-5,Cadastro_Mantimentos[[#All],[Colunas2]],0))</f>
        <v>Creme De Leite</v>
      </c>
      <c r="C5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1" s="103" t="e">
        <f ca="1">ROUNDUP(SUMIF($C$4:$AG$4,"&lt;="&amp;$B$3,Previsao_Mantimentos[[#This Row],[Colunas2]:[Colunas32]]),0)</f>
        <v>#VALUE!</v>
      </c>
    </row>
    <row r="52" spans="2:34" ht="18">
      <c r="B52" s="94" t="str">
        <f>INDEX(Cadastro_Mantimentos[[#All],[Colunas4]],MATCH(ROW()-5,Cadastro_Mantimentos[[#All],[Colunas2]],0))</f>
        <v>Curau</v>
      </c>
      <c r="C5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2" s="103" t="e">
        <f ca="1">ROUNDUP(SUMIF($C$4:$AG$4,"&lt;="&amp;$B$3,Previsao_Mantimentos[[#This Row],[Colunas2]:[Colunas32]]),0)</f>
        <v>#VALUE!</v>
      </c>
    </row>
    <row r="53" spans="2:34" ht="18">
      <c r="B53" s="94" t="str">
        <f>INDEX(Cadastro_Mantimentos[[#All],[Colunas4]],MATCH(ROW()-5,Cadastro_Mantimentos[[#All],[Colunas2]],0))</f>
        <v>Doce De Leite</v>
      </c>
      <c r="C5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3" s="103" t="e">
        <f ca="1">ROUNDUP(SUMIF($C$4:$AG$4,"&lt;="&amp;$B$3,Previsao_Mantimentos[[#This Row],[Colunas2]:[Colunas32]]),0)</f>
        <v>#VALUE!</v>
      </c>
    </row>
    <row r="54" spans="2:34" ht="18">
      <c r="B54" s="94" t="str">
        <f>INDEX(Cadastro_Mantimentos[[#All],[Colunas4]],MATCH(ROW()-5,Cadastro_Mantimentos[[#All],[Colunas2]],0))</f>
        <v>Erva Doce</v>
      </c>
      <c r="C5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4" s="103" t="e">
        <f ca="1">ROUNDUP(SUMIF($C$4:$AG$4,"&lt;="&amp;$B$3,Previsao_Mantimentos[[#This Row],[Colunas2]:[Colunas32]]),0)</f>
        <v>#VALUE!</v>
      </c>
    </row>
    <row r="55" spans="2:34" ht="18">
      <c r="B55" s="94" t="str">
        <f>INDEX(Cadastro_Mantimentos[[#All],[Colunas4]],MATCH(ROW()-5,Cadastro_Mantimentos[[#All],[Colunas2]],0))</f>
        <v xml:space="preserve">Ervilha Lata </v>
      </c>
      <c r="C5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5" s="103" t="e">
        <f ca="1">ROUNDUP(SUMIF($C$4:$AG$4,"&lt;="&amp;$B$3,Previsao_Mantimentos[[#This Row],[Colunas2]:[Colunas32]]),0)</f>
        <v>#VALUE!</v>
      </c>
    </row>
    <row r="56" spans="2:34" ht="18">
      <c r="B56" s="94" t="str">
        <f>INDEX(Cadastro_Mantimentos[[#All],[Colunas4]],MATCH(ROW()-5,Cadastro_Mantimentos[[#All],[Colunas2]],0))</f>
        <v xml:space="preserve">Ervilha Seca </v>
      </c>
      <c r="C5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6" s="103" t="e">
        <f ca="1">ROUNDUP(SUMIF($C$4:$AG$4,"&lt;="&amp;$B$3,Previsao_Mantimentos[[#This Row],[Colunas2]:[Colunas32]]),0)</f>
        <v>#VALUE!</v>
      </c>
    </row>
    <row r="57" spans="2:34" ht="18">
      <c r="B57" s="94" t="str">
        <f>INDEX(Cadastro_Mantimentos[[#All],[Colunas4]],MATCH(ROW()-5,Cadastro_Mantimentos[[#All],[Colunas2]],0))</f>
        <v xml:space="preserve">Farinha De Mandioca </v>
      </c>
      <c r="C5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7" s="103" t="e">
        <f ca="1">ROUNDUP(SUMIF($C$4:$AG$4,"&lt;="&amp;$B$3,Previsao_Mantimentos[[#This Row],[Colunas2]:[Colunas32]]),0)</f>
        <v>#VALUE!</v>
      </c>
    </row>
    <row r="58" spans="2:34" ht="18">
      <c r="B58" s="94" t="str">
        <f>INDEX(Cadastro_Mantimentos[[#All],[Colunas4]],MATCH(ROW()-5,Cadastro_Mantimentos[[#All],[Colunas2]],0))</f>
        <v>Farinha De Milho</v>
      </c>
      <c r="C5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8" s="103" t="e">
        <f ca="1">ROUNDUP(SUMIF($C$4:$AG$4,"&lt;="&amp;$B$3,Previsao_Mantimentos[[#This Row],[Colunas2]:[Colunas32]]),0)</f>
        <v>#VALUE!</v>
      </c>
    </row>
    <row r="59" spans="2:34" ht="18">
      <c r="B59" s="94" t="str">
        <f>INDEX(Cadastro_Mantimentos[[#All],[Colunas4]],MATCH(ROW()-5,Cadastro_Mantimentos[[#All],[Colunas2]],0))</f>
        <v xml:space="preserve">Farinha De Rosca </v>
      </c>
      <c r="C5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9" s="103" t="e">
        <f ca="1">ROUNDUP(SUMIF($C$4:$AG$4,"&lt;="&amp;$B$3,Previsao_Mantimentos[[#This Row],[Colunas2]:[Colunas32]]),0)</f>
        <v>#VALUE!</v>
      </c>
    </row>
    <row r="60" spans="2:34" ht="18">
      <c r="B60" s="94" t="str">
        <f>INDEX(Cadastro_Mantimentos[[#All],[Colunas4]],MATCH(ROW()-5,Cadastro_Mantimentos[[#All],[Colunas2]],0))</f>
        <v>Farinha De Trigo</v>
      </c>
      <c r="C6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0" s="103" t="e">
        <f ca="1">ROUNDUP(SUMIF($C$4:$AG$4,"&lt;="&amp;$B$3,Previsao_Mantimentos[[#This Row],[Colunas2]:[Colunas32]]),0)</f>
        <v>#VALUE!</v>
      </c>
    </row>
    <row r="61" spans="2:34" ht="18">
      <c r="B61" s="94" t="str">
        <f>INDEX(Cadastro_Mantimentos[[#All],[Colunas4]],MATCH(ROW()-5,Cadastro_Mantimentos[[#All],[Colunas2]],0))</f>
        <v>Feijão Carioca Camil</v>
      </c>
      <c r="C6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1" s="103" t="e">
        <f ca="1">ROUNDUP(SUMIF($C$4:$AG$4,"&lt;="&amp;$B$3,Previsao_Mantimentos[[#This Row],[Colunas2]:[Colunas32]]),0)</f>
        <v>#VALUE!</v>
      </c>
    </row>
    <row r="62" spans="2:34" ht="18">
      <c r="B62" s="94" t="str">
        <f>INDEX(Cadastro_Mantimentos[[#All],[Colunas4]],MATCH(ROW()-5,Cadastro_Mantimentos[[#All],[Colunas2]],0))</f>
        <v xml:space="preserve">Feijão Preto </v>
      </c>
      <c r="C6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2" s="103" t="e">
        <f ca="1">ROUNDUP(SUMIF($C$4:$AG$4,"&lt;="&amp;$B$3,Previsao_Mantimentos[[#This Row],[Colunas2]:[Colunas32]]),0)</f>
        <v>#VALUE!</v>
      </c>
    </row>
    <row r="63" spans="2:34" ht="18">
      <c r="B63" s="94" t="str">
        <f>INDEX(Cadastro_Mantimentos[[#All],[Colunas4]],MATCH(ROW()-5,Cadastro_Mantimentos[[#All],[Colunas2]],0))</f>
        <v xml:space="preserve">Fermento </v>
      </c>
      <c r="C6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3" s="103" t="e">
        <f ca="1">ROUNDUP(SUMIF($C$4:$AG$4,"&lt;="&amp;$B$3,Previsao_Mantimentos[[#This Row],[Colunas2]:[Colunas32]]),0)</f>
        <v>#VALUE!</v>
      </c>
    </row>
    <row r="64" spans="2:34" ht="18">
      <c r="B64" s="94" t="str">
        <f>INDEX(Cadastro_Mantimentos[[#All],[Colunas4]],MATCH(ROW()-5,Cadastro_Mantimentos[[#All],[Colunas2]],0))</f>
        <v>Figo Em Calda</v>
      </c>
      <c r="C6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4" s="103" t="e">
        <f ca="1">ROUNDUP(SUMIF($C$4:$AG$4,"&lt;="&amp;$B$3,Previsao_Mantimentos[[#This Row],[Colunas2]:[Colunas32]]),0)</f>
        <v>#VALUE!</v>
      </c>
    </row>
    <row r="65" spans="2:34" ht="18">
      <c r="B65" s="94" t="str">
        <f>INDEX(Cadastro_Mantimentos[[#All],[Colunas4]],MATCH(ROW()-5,Cadastro_Mantimentos[[#All],[Colunas2]],0))</f>
        <v>Flan Baunilha</v>
      </c>
      <c r="C6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5" s="103" t="e">
        <f ca="1">ROUNDUP(SUMIF($C$4:$AG$4,"&lt;="&amp;$B$3,Previsao_Mantimentos[[#This Row],[Colunas2]:[Colunas32]]),0)</f>
        <v>#VALUE!</v>
      </c>
    </row>
    <row r="66" spans="2:34" ht="18">
      <c r="B66" s="94" t="str">
        <f>INDEX(Cadastro_Mantimentos[[#All],[Colunas4]],MATCH(ROW()-5,Cadastro_Mantimentos[[#All],[Colunas2]],0))</f>
        <v xml:space="preserve">Fubá </v>
      </c>
      <c r="C6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6" s="103" t="e">
        <f ca="1">ROUNDUP(SUMIF($C$4:$AG$4,"&lt;="&amp;$B$3,Previsao_Mantimentos[[#This Row],[Colunas2]:[Colunas32]]),0)</f>
        <v>#VALUE!</v>
      </c>
    </row>
    <row r="67" spans="2:34" ht="18">
      <c r="B67" s="94" t="str">
        <f>INDEX(Cadastro_Mantimentos[[#All],[Colunas4]],MATCH(ROW()-5,Cadastro_Mantimentos[[#All],[Colunas2]],0))</f>
        <v>Gelatina</v>
      </c>
      <c r="C6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7" s="103" t="e">
        <f ca="1">ROUNDUP(SUMIF($C$4:$AG$4,"&lt;="&amp;$B$3,Previsao_Mantimentos[[#This Row],[Colunas2]:[Colunas32]]),0)</f>
        <v>#VALUE!</v>
      </c>
    </row>
    <row r="68" spans="2:34" ht="18">
      <c r="B68" s="94" t="str">
        <f>INDEX(Cadastro_Mantimentos[[#All],[Colunas4]],MATCH(ROW()-5,Cadastro_Mantimentos[[#All],[Colunas2]],0))</f>
        <v>Gelatina  Abacaxi</v>
      </c>
      <c r="C6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8" s="103" t="e">
        <f ca="1">ROUNDUP(SUMIF($C$4:$AG$4,"&lt;="&amp;$B$3,Previsao_Mantimentos[[#This Row],[Colunas2]:[Colunas32]]),0)</f>
        <v>#VALUE!</v>
      </c>
    </row>
    <row r="69" spans="2:34" ht="18">
      <c r="B69" s="94" t="str">
        <f>INDEX(Cadastro_Mantimentos[[#All],[Colunas4]],MATCH(ROW()-5,Cadastro_Mantimentos[[#All],[Colunas2]],0))</f>
        <v>Gelatina  Cereja</v>
      </c>
      <c r="C6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9" s="103" t="e">
        <f ca="1">ROUNDUP(SUMIF($C$4:$AG$4,"&lt;="&amp;$B$3,Previsao_Mantimentos[[#This Row],[Colunas2]:[Colunas32]]),0)</f>
        <v>#VALUE!</v>
      </c>
    </row>
    <row r="70" spans="2:34" ht="18">
      <c r="B70" s="94" t="str">
        <f>INDEX(Cadastro_Mantimentos[[#All],[Colunas4]],MATCH(ROW()-5,Cadastro_Mantimentos[[#All],[Colunas2]],0))</f>
        <v>Gelatina  Framboesa</v>
      </c>
      <c r="C7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0" s="103" t="e">
        <f ca="1">ROUNDUP(SUMIF($C$4:$AG$4,"&lt;="&amp;$B$3,Previsao_Mantimentos[[#This Row],[Colunas2]:[Colunas32]]),0)</f>
        <v>#VALUE!</v>
      </c>
    </row>
    <row r="71" spans="2:34" ht="18">
      <c r="B71" s="94" t="str">
        <f>INDEX(Cadastro_Mantimentos[[#All],[Colunas4]],MATCH(ROW()-5,Cadastro_Mantimentos[[#All],[Colunas2]],0))</f>
        <v>Gelatina  Limão</v>
      </c>
      <c r="C7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1" s="103" t="e">
        <f ca="1">ROUNDUP(SUMIF($C$4:$AG$4,"&lt;="&amp;$B$3,Previsao_Mantimentos[[#This Row],[Colunas2]:[Colunas32]]),0)</f>
        <v>#VALUE!</v>
      </c>
    </row>
    <row r="72" spans="2:34" ht="18">
      <c r="B72" s="94" t="str">
        <f>INDEX(Cadastro_Mantimentos[[#All],[Colunas4]],MATCH(ROW()-5,Cadastro_Mantimentos[[#All],[Colunas2]],0))</f>
        <v>Gelatina  Morango</v>
      </c>
      <c r="C7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2" s="103" t="e">
        <f ca="1">ROUNDUP(SUMIF($C$4:$AG$4,"&lt;="&amp;$B$3,Previsao_Mantimentos[[#This Row],[Colunas2]:[Colunas32]]),0)</f>
        <v>#VALUE!</v>
      </c>
    </row>
    <row r="73" spans="2:34" ht="18">
      <c r="B73" s="94" t="str">
        <f>INDEX(Cadastro_Mantimentos[[#All],[Colunas4]],MATCH(ROW()-5,Cadastro_Mantimentos[[#All],[Colunas2]],0))</f>
        <v>Gelatina  Pêssego</v>
      </c>
      <c r="C7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3" s="103" t="e">
        <f ca="1">ROUNDUP(SUMIF($C$4:$AG$4,"&lt;="&amp;$B$3,Previsao_Mantimentos[[#This Row],[Colunas2]:[Colunas32]]),0)</f>
        <v>#VALUE!</v>
      </c>
    </row>
    <row r="74" spans="2:34" ht="18">
      <c r="B74" s="94" t="str">
        <f>INDEX(Cadastro_Mantimentos[[#All],[Colunas4]],MATCH(ROW()-5,Cadastro_Mantimentos[[#All],[Colunas2]],0))</f>
        <v>Gelatina  S/Sabor</v>
      </c>
      <c r="C7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4" s="103" t="e">
        <f ca="1">ROUNDUP(SUMIF($C$4:$AG$4,"&lt;="&amp;$B$3,Previsao_Mantimentos[[#This Row],[Colunas2]:[Colunas32]]),0)</f>
        <v>#VALUE!</v>
      </c>
    </row>
    <row r="75" spans="2:34" ht="18">
      <c r="B75" s="94" t="str">
        <f>INDEX(Cadastro_Mantimentos[[#All],[Colunas4]],MATCH(ROW()-5,Cadastro_Mantimentos[[#All],[Colunas2]],0))</f>
        <v>Gelatina  Uva</v>
      </c>
      <c r="C7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5" s="103" t="e">
        <f ca="1">ROUNDUP(SUMIF($C$4:$AG$4,"&lt;="&amp;$B$3,Previsao_Mantimentos[[#This Row],[Colunas2]:[Colunas32]]),0)</f>
        <v>#VALUE!</v>
      </c>
    </row>
    <row r="76" spans="2:34" ht="18">
      <c r="B76" s="94" t="str">
        <f>INDEX(Cadastro_Mantimentos[[#All],[Colunas4]],MATCH(ROW()-5,Cadastro_Mantimentos[[#All],[Colunas2]],0))</f>
        <v>Geleia Sache</v>
      </c>
      <c r="C7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6" s="103" t="e">
        <f ca="1">ROUNDUP(SUMIF($C$4:$AG$4,"&lt;="&amp;$B$3,Previsao_Mantimentos[[#This Row],[Colunas2]:[Colunas32]]),0)</f>
        <v>#VALUE!</v>
      </c>
    </row>
    <row r="77" spans="2:34" ht="18">
      <c r="B77" s="94" t="str">
        <f>INDEX(Cadastro_Mantimentos[[#All],[Colunas4]],MATCH(ROW()-5,Cadastro_Mantimentos[[#All],[Colunas2]],0))</f>
        <v>Gergelim</v>
      </c>
      <c r="C7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7" s="103" t="e">
        <f ca="1">ROUNDUP(SUMIF($C$4:$AG$4,"&lt;="&amp;$B$3,Previsao_Mantimentos[[#This Row],[Colunas2]:[Colunas32]]),0)</f>
        <v>#VALUE!</v>
      </c>
    </row>
    <row r="78" spans="2:34" ht="18">
      <c r="B78" s="94" t="str">
        <f>INDEX(Cadastro_Mantimentos[[#All],[Colunas4]],MATCH(ROW()-5,Cadastro_Mantimentos[[#All],[Colunas2]],0))</f>
        <v>Gergelim Branco</v>
      </c>
      <c r="C7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8" s="103" t="e">
        <f ca="1">ROUNDUP(SUMIF($C$4:$AG$4,"&lt;="&amp;$B$3,Previsao_Mantimentos[[#This Row],[Colunas2]:[Colunas32]]),0)</f>
        <v>#VALUE!</v>
      </c>
    </row>
    <row r="79" spans="2:34" ht="18">
      <c r="B79" s="94" t="str">
        <f>INDEX(Cadastro_Mantimentos[[#All],[Colunas4]],MATCH(ROW()-5,Cadastro_Mantimentos[[#All],[Colunas2]],0))</f>
        <v>Gergelim Preto</v>
      </c>
      <c r="C7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9" s="103" t="e">
        <f ca="1">ROUNDUP(SUMIF($C$4:$AG$4,"&lt;="&amp;$B$3,Previsao_Mantimentos[[#This Row],[Colunas2]:[Colunas32]]),0)</f>
        <v>#VALUE!</v>
      </c>
    </row>
    <row r="80" spans="2:34" ht="18">
      <c r="B80" s="94" t="str">
        <f>INDEX(Cadastro_Mantimentos[[#All],[Colunas4]],MATCH(ROW()-5,Cadastro_Mantimentos[[#All],[Colunas2]],0))</f>
        <v>Goiaba Em Calda</v>
      </c>
      <c r="C8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0" s="103" t="e">
        <f ca="1">ROUNDUP(SUMIF($C$4:$AG$4,"&lt;="&amp;$B$3,Previsao_Mantimentos[[#This Row],[Colunas2]:[Colunas32]]),0)</f>
        <v>#VALUE!</v>
      </c>
    </row>
    <row r="81" spans="2:34" ht="18">
      <c r="B81" s="94" t="str">
        <f>INDEX(Cadastro_Mantimentos[[#All],[Colunas4]],MATCH(ROW()-5,Cadastro_Mantimentos[[#All],[Colunas2]],0))</f>
        <v xml:space="preserve">Gordura Vegetal </v>
      </c>
      <c r="C8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1" s="103" t="e">
        <f ca="1">ROUNDUP(SUMIF($C$4:$AG$4,"&lt;="&amp;$B$3,Previsao_Mantimentos[[#This Row],[Colunas2]:[Colunas32]]),0)</f>
        <v>#VALUE!</v>
      </c>
    </row>
    <row r="82" spans="2:34" ht="18">
      <c r="B82" s="94" t="str">
        <f>INDEX(Cadastro_Mantimentos[[#All],[Colunas4]],MATCH(ROW()-5,Cadastro_Mantimentos[[#All],[Colunas2]],0))</f>
        <v xml:space="preserve">Grão De Bico </v>
      </c>
      <c r="C8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2" s="103" t="e">
        <f ca="1">ROUNDUP(SUMIF($C$4:$AG$4,"&lt;="&amp;$B$3,Previsao_Mantimentos[[#This Row],[Colunas2]:[Colunas32]]),0)</f>
        <v>#VALUE!</v>
      </c>
    </row>
    <row r="83" spans="2:34" ht="18">
      <c r="B83" s="94" t="str">
        <f>INDEX(Cadastro_Mantimentos[[#All],[Colunas4]],MATCH(ROW()-5,Cadastro_Mantimentos[[#All],[Colunas2]],0))</f>
        <v xml:space="preserve">katchup </v>
      </c>
      <c r="C8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3" s="103" t="e">
        <f ca="1">ROUNDUP(SUMIF($C$4:$AG$4,"&lt;="&amp;$B$3,Previsao_Mantimentos[[#This Row],[Colunas2]:[Colunas32]]),0)</f>
        <v>#VALUE!</v>
      </c>
    </row>
    <row r="84" spans="2:34" ht="18">
      <c r="B84" s="94" t="str">
        <f>INDEX(Cadastro_Mantimentos[[#All],[Colunas4]],MATCH(ROW()-5,Cadastro_Mantimentos[[#All],[Colunas2]],0))</f>
        <v>Leite Condensado</v>
      </c>
      <c r="C8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4" s="103" t="e">
        <f ca="1">ROUNDUP(SUMIF($C$4:$AG$4,"&lt;="&amp;$B$3,Previsao_Mantimentos[[#This Row],[Colunas2]:[Colunas32]]),0)</f>
        <v>#VALUE!</v>
      </c>
    </row>
    <row r="85" spans="2:34" ht="18">
      <c r="B85" s="94" t="str">
        <f>INDEX(Cadastro_Mantimentos[[#All],[Colunas4]],MATCH(ROW()-5,Cadastro_Mantimentos[[#All],[Colunas2]],0))</f>
        <v xml:space="preserve">Leite De Coco </v>
      </c>
      <c r="C8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5" s="103" t="e">
        <f ca="1">ROUNDUP(SUMIF($C$4:$AG$4,"&lt;="&amp;$B$3,Previsao_Mantimentos[[#This Row],[Colunas2]:[Colunas32]]),0)</f>
        <v>#VALUE!</v>
      </c>
    </row>
    <row r="86" spans="2:34" ht="18">
      <c r="B86" s="94" t="str">
        <f>INDEX(Cadastro_Mantimentos[[#All],[Colunas4]],MATCH(ROW()-5,Cadastro_Mantimentos[[#All],[Colunas2]],0))</f>
        <v>Leite Uht Integral</v>
      </c>
      <c r="C8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6" s="103" t="e">
        <f ca="1">ROUNDUP(SUMIF($C$4:$AG$4,"&lt;="&amp;$B$3,Previsao_Mantimentos[[#This Row],[Colunas2]:[Colunas32]]),0)</f>
        <v>#VALUE!</v>
      </c>
    </row>
    <row r="87" spans="2:34" ht="18">
      <c r="B87" s="94" t="str">
        <f>INDEX(Cadastro_Mantimentos[[#All],[Colunas4]],MATCH(ROW()-5,Cadastro_Mantimentos[[#All],[Colunas2]],0))</f>
        <v>Lentilha</v>
      </c>
      <c r="C8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7" s="103" t="e">
        <f ca="1">ROUNDUP(SUMIF($C$4:$AG$4,"&lt;="&amp;$B$3,Previsao_Mantimentos[[#This Row],[Colunas2]:[Colunas32]]),0)</f>
        <v>#VALUE!</v>
      </c>
    </row>
    <row r="88" spans="2:34" ht="18">
      <c r="B88" s="94" t="str">
        <f>INDEX(Cadastro_Mantimentos[[#All],[Colunas4]],MATCH(ROW()-5,Cadastro_Mantimentos[[#All],[Colunas2]],0))</f>
        <v>Macarrão Espaguete</v>
      </c>
      <c r="C8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8" s="103" t="e">
        <f ca="1">ROUNDUP(SUMIF($C$4:$AG$4,"&lt;="&amp;$B$3,Previsao_Mantimentos[[#This Row],[Colunas2]:[Colunas32]]),0)</f>
        <v>#VALUE!</v>
      </c>
    </row>
    <row r="89" spans="2:34" ht="18">
      <c r="B89" s="94" t="str">
        <f>INDEX(Cadastro_Mantimentos[[#All],[Colunas4]],MATCH(ROW()-5,Cadastro_Mantimentos[[#All],[Colunas2]],0))</f>
        <v>Macarrão Parafuso</v>
      </c>
      <c r="C8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9" s="103" t="e">
        <f ca="1">ROUNDUP(SUMIF($C$4:$AG$4,"&lt;="&amp;$B$3,Previsao_Mantimentos[[#This Row],[Colunas2]:[Colunas32]]),0)</f>
        <v>#VALUE!</v>
      </c>
    </row>
    <row r="90" spans="2:34" ht="18">
      <c r="B90" s="94" t="str">
        <f>INDEX(Cadastro_Mantimentos[[#All],[Colunas4]],MATCH(ROW()-5,Cadastro_Mantimentos[[#All],[Colunas2]],0))</f>
        <v>Macarrão Penne</v>
      </c>
      <c r="C9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0" s="103" t="e">
        <f ca="1">ROUNDUP(SUMIF($C$4:$AG$4,"&lt;="&amp;$B$3,Previsao_Mantimentos[[#This Row],[Colunas2]:[Colunas32]]),0)</f>
        <v>#VALUE!</v>
      </c>
    </row>
    <row r="91" spans="2:34" ht="18">
      <c r="B91" s="94" t="str">
        <f>INDEX(Cadastro_Mantimentos[[#All],[Colunas4]],MATCH(ROW()-5,Cadastro_Mantimentos[[#All],[Colunas2]],0))</f>
        <v>Macarrão Sopa</v>
      </c>
      <c r="C9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1" s="103" t="e">
        <f ca="1">ROUNDUP(SUMIF($C$4:$AG$4,"&lt;="&amp;$B$3,Previsao_Mantimentos[[#This Row],[Colunas2]:[Colunas32]]),0)</f>
        <v>#VALUE!</v>
      </c>
    </row>
    <row r="92" spans="2:34" ht="18">
      <c r="B92" s="94" t="str">
        <f>INDEX(Cadastro_Mantimentos[[#All],[Colunas4]],MATCH(ROW()-5,Cadastro_Mantimentos[[#All],[Colunas2]],0))</f>
        <v>Macarrão Yaksoba</v>
      </c>
      <c r="C9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2" s="103" t="e">
        <f ca="1">ROUNDUP(SUMIF($C$4:$AG$4,"&lt;="&amp;$B$3,Previsao_Mantimentos[[#This Row],[Colunas2]:[Colunas32]]),0)</f>
        <v>#VALUE!</v>
      </c>
    </row>
    <row r="93" spans="2:34" ht="18">
      <c r="B93" s="94" t="str">
        <f>INDEX(Cadastro_Mantimentos[[#All],[Colunas4]],MATCH(ROW()-5,Cadastro_Mantimentos[[#All],[Colunas2]],0))</f>
        <v>Maionese</v>
      </c>
      <c r="C9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3" s="103" t="e">
        <f ca="1">ROUNDUP(SUMIF($C$4:$AG$4,"&lt;="&amp;$B$3,Previsao_Mantimentos[[#This Row],[Colunas2]:[Colunas32]]),0)</f>
        <v>#VALUE!</v>
      </c>
    </row>
    <row r="94" spans="2:34" ht="18">
      <c r="B94" s="94" t="str">
        <f>INDEX(Cadastro_Mantimentos[[#All],[Colunas4]],MATCH(ROW()-5,Cadastro_Mantimentos[[#All],[Colunas2]],0))</f>
        <v xml:space="preserve">Margarina </v>
      </c>
      <c r="C9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4" s="103" t="e">
        <f ca="1">ROUNDUP(SUMIF($C$4:$AG$4,"&lt;="&amp;$B$3,Previsao_Mantimentos[[#This Row],[Colunas2]:[Colunas32]]),0)</f>
        <v>#VALUE!</v>
      </c>
    </row>
    <row r="95" spans="2:34" ht="18">
      <c r="B95" s="94" t="str">
        <f>INDEX(Cadastro_Mantimentos[[#All],[Colunas4]],MATCH(ROW()-5,Cadastro_Mantimentos[[#All],[Colunas2]],0))</f>
        <v>Margarina  Sachê</v>
      </c>
      <c r="C9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5" s="103" t="e">
        <f ca="1">ROUNDUP(SUMIF($C$4:$AG$4,"&lt;="&amp;$B$3,Previsao_Mantimentos[[#This Row],[Colunas2]:[Colunas32]]),0)</f>
        <v>#VALUE!</v>
      </c>
    </row>
    <row r="96" spans="2:34" ht="18">
      <c r="B96" s="94" t="str">
        <f>INDEX(Cadastro_Mantimentos[[#All],[Colunas4]],MATCH(ROW()-5,Cadastro_Mantimentos[[#All],[Colunas2]],0))</f>
        <v xml:space="preserve">Milho Verde </v>
      </c>
      <c r="C9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6" s="103" t="e">
        <f ca="1">ROUNDUP(SUMIF($C$4:$AG$4,"&lt;="&amp;$B$3,Previsao_Mantimentos[[#This Row],[Colunas2]:[Colunas32]]),0)</f>
        <v>#VALUE!</v>
      </c>
    </row>
    <row r="97" spans="2:34" ht="18">
      <c r="B97" s="94" t="str">
        <f>INDEX(Cadastro_Mantimentos[[#All],[Colunas4]],MATCH(ROW()-5,Cadastro_Mantimentos[[#All],[Colunas2]],0))</f>
        <v>Molho</v>
      </c>
      <c r="C9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7" s="103" t="e">
        <f ca="1">ROUNDUP(SUMIF($C$4:$AG$4,"&lt;="&amp;$B$3,Previsao_Mantimentos[[#This Row],[Colunas2]:[Colunas32]]),0)</f>
        <v>#VALUE!</v>
      </c>
    </row>
    <row r="98" spans="2:34" ht="18">
      <c r="B98" s="94" t="str">
        <f>INDEX(Cadastro_Mantimentos[[#All],[Colunas4]],MATCH(ROW()-5,Cadastro_Mantimentos[[#All],[Colunas2]],0))</f>
        <v>Molho De Tomate</v>
      </c>
      <c r="C9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8" s="103" t="e">
        <f ca="1">ROUNDUP(SUMIF($C$4:$AG$4,"&lt;="&amp;$B$3,Previsao_Mantimentos[[#This Row],[Colunas2]:[Colunas32]]),0)</f>
        <v>#VALUE!</v>
      </c>
    </row>
    <row r="99" spans="2:34" ht="18">
      <c r="B99" s="94" t="str">
        <f>INDEX(Cadastro_Mantimentos[[#All],[Colunas4]],MATCH(ROW()-5,Cadastro_Mantimentos[[#All],[Colunas2]],0))</f>
        <v>Molho Escuro</v>
      </c>
      <c r="C9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9" s="103" t="e">
        <f ca="1">ROUNDUP(SUMIF($C$4:$AG$4,"&lt;="&amp;$B$3,Previsao_Mantimentos[[#This Row],[Colunas2]:[Colunas32]]),0)</f>
        <v>#VALUE!</v>
      </c>
    </row>
    <row r="100" spans="2:34" ht="18">
      <c r="B100" s="94" t="str">
        <f>INDEX(Cadastro_Mantimentos[[#All],[Colunas4]],MATCH(ROW()-5,Cadastro_Mantimentos[[#All],[Colunas2]],0))</f>
        <v>Molho Ingles</v>
      </c>
      <c r="C10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0" s="103" t="e">
        <f ca="1">ROUNDUP(SUMIF($C$4:$AG$4,"&lt;="&amp;$B$3,Previsao_Mantimentos[[#This Row],[Colunas2]:[Colunas32]]),0)</f>
        <v>#VALUE!</v>
      </c>
    </row>
    <row r="101" spans="2:34" ht="18">
      <c r="B101" s="94" t="str">
        <f>INDEX(Cadastro_Mantimentos[[#All],[Colunas4]],MATCH(ROW()-5,Cadastro_Mantimentos[[#All],[Colunas2]],0))</f>
        <v>Molho Pimenta</v>
      </c>
      <c r="C10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1" s="103" t="e">
        <f ca="1">ROUNDUP(SUMIF($C$4:$AG$4,"&lt;="&amp;$B$3,Previsao_Mantimentos[[#This Row],[Colunas2]:[Colunas32]]),0)</f>
        <v>#VALUE!</v>
      </c>
    </row>
    <row r="102" spans="2:34" ht="18">
      <c r="B102" s="94" t="str">
        <f>INDEX(Cadastro_Mantimentos[[#All],[Colunas4]],MATCH(ROW()-5,Cadastro_Mantimentos[[#All],[Colunas2]],0))</f>
        <v>Mostarda</v>
      </c>
      <c r="C10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2" s="103" t="e">
        <f ca="1">ROUNDUP(SUMIF($C$4:$AG$4,"&lt;="&amp;$B$3,Previsao_Mantimentos[[#This Row],[Colunas2]:[Colunas32]]),0)</f>
        <v>#VALUE!</v>
      </c>
    </row>
    <row r="103" spans="2:34" ht="18">
      <c r="B103" s="94" t="str">
        <f>INDEX(Cadastro_Mantimentos[[#All],[Colunas4]],MATCH(ROW()-5,Cadastro_Mantimentos[[#All],[Colunas2]],0))</f>
        <v>Óleo De Soja</v>
      </c>
      <c r="C10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3" s="103" t="e">
        <f ca="1">ROUNDUP(SUMIF($C$4:$AG$4,"&lt;="&amp;$B$3,Previsao_Mantimentos[[#This Row],[Colunas2]:[Colunas32]]),0)</f>
        <v>#VALUE!</v>
      </c>
    </row>
    <row r="104" spans="2:34" ht="18">
      <c r="B104" s="94" t="str">
        <f>INDEX(Cadastro_Mantimentos[[#All],[Colunas4]],MATCH(ROW()-5,Cadastro_Mantimentos[[#All],[Colunas2]],0))</f>
        <v>Óleo Maria</v>
      </c>
      <c r="C10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4" s="103" t="e">
        <f ca="1">ROUNDUP(SUMIF($C$4:$AG$4,"&lt;="&amp;$B$3,Previsao_Mantimentos[[#This Row],[Colunas2]:[Colunas32]]),0)</f>
        <v>#VALUE!</v>
      </c>
    </row>
    <row r="105" spans="2:34" ht="18">
      <c r="B105" s="94" t="str">
        <f>INDEX(Cadastro_Mantimentos[[#All],[Colunas4]],MATCH(ROW()-5,Cadastro_Mantimentos[[#All],[Colunas2]],0))</f>
        <v>Orégano</v>
      </c>
      <c r="C10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5" s="103" t="e">
        <f ca="1">ROUNDUP(SUMIF($C$4:$AG$4,"&lt;="&amp;$B$3,Previsao_Mantimentos[[#This Row],[Colunas2]:[Colunas32]]),0)</f>
        <v>#VALUE!</v>
      </c>
    </row>
    <row r="106" spans="2:34" ht="18">
      <c r="B106" s="94" t="str">
        <f>INDEX(Cadastro_Mantimentos[[#All],[Colunas4]],MATCH(ROW()-5,Cadastro_Mantimentos[[#All],[Colunas2]],0))</f>
        <v>Pão De Forma</v>
      </c>
      <c r="C10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6" s="103" t="e">
        <f ca="1">ROUNDUP(SUMIF($C$4:$AG$4,"&lt;="&amp;$B$3,Previsao_Mantimentos[[#This Row],[Colunas2]:[Colunas32]]),0)</f>
        <v>#VALUE!</v>
      </c>
    </row>
    <row r="107" spans="2:34" ht="18">
      <c r="B107" s="94" t="str">
        <f>INDEX(Cadastro_Mantimentos[[#All],[Colunas4]],MATCH(ROW()-5,Cadastro_Mantimentos[[#All],[Colunas2]],0))</f>
        <v>Pão Integral</v>
      </c>
      <c r="C10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7" s="103" t="e">
        <f ca="1">ROUNDUP(SUMIF($C$4:$AG$4,"&lt;="&amp;$B$3,Previsao_Mantimentos[[#This Row],[Colunas2]:[Colunas32]]),0)</f>
        <v>#VALUE!</v>
      </c>
    </row>
    <row r="108" spans="2:34" ht="18">
      <c r="B108" s="94" t="str">
        <f>INDEX(Cadastro_Mantimentos[[#All],[Colunas4]],MATCH(ROW()-5,Cadastro_Mantimentos[[#All],[Colunas2]],0))</f>
        <v>Páprica</v>
      </c>
      <c r="C10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8" s="103" t="e">
        <f ca="1">ROUNDUP(SUMIF($C$4:$AG$4,"&lt;="&amp;$B$3,Previsao_Mantimentos[[#This Row],[Colunas2]:[Colunas32]]),0)</f>
        <v>#VALUE!</v>
      </c>
    </row>
    <row r="109" spans="2:34" ht="18">
      <c r="B109" s="94" t="str">
        <f>INDEX(Cadastro_Mantimentos[[#All],[Colunas4]],MATCH(ROW()-5,Cadastro_Mantimentos[[#All],[Colunas2]],0))</f>
        <v>Pêssego Em Calda</v>
      </c>
      <c r="C10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9" s="103" t="e">
        <f ca="1">ROUNDUP(SUMIF($C$4:$AG$4,"&lt;="&amp;$B$3,Previsao_Mantimentos[[#This Row],[Colunas2]:[Colunas32]]),0)</f>
        <v>#VALUE!</v>
      </c>
    </row>
    <row r="110" spans="2:34" ht="18">
      <c r="B110" s="94" t="str">
        <f>INDEX(Cadastro_Mantimentos[[#All],[Colunas4]],MATCH(ROW()-5,Cadastro_Mantimentos[[#All],[Colunas2]],0))</f>
        <v>Pó Pudim Baunilha</v>
      </c>
      <c r="C11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0" s="103" t="e">
        <f ca="1">ROUNDUP(SUMIF($C$4:$AG$4,"&lt;="&amp;$B$3,Previsao_Mantimentos[[#This Row],[Colunas2]:[Colunas32]]),0)</f>
        <v>#VALUE!</v>
      </c>
    </row>
    <row r="111" spans="2:34" ht="18">
      <c r="B111" s="94" t="str">
        <f>INDEX(Cadastro_Mantimentos[[#All],[Colunas4]],MATCH(ROW()-5,Cadastro_Mantimentos[[#All],[Colunas2]],0))</f>
        <v>Pó Pudim Caramelo</v>
      </c>
      <c r="C11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1" s="103" t="e">
        <f ca="1">ROUNDUP(SUMIF($C$4:$AG$4,"&lt;="&amp;$B$3,Previsao_Mantimentos[[#This Row],[Colunas2]:[Colunas32]]),0)</f>
        <v>#VALUE!</v>
      </c>
    </row>
    <row r="112" spans="2:34" ht="18">
      <c r="B112" s="94" t="str">
        <f>INDEX(Cadastro_Mantimentos[[#All],[Colunas4]],MATCH(ROW()-5,Cadastro_Mantimentos[[#All],[Colunas2]],0))</f>
        <v>Pó Pudim Chocolate</v>
      </c>
      <c r="C11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2" s="103" t="e">
        <f ca="1">ROUNDUP(SUMIF($C$4:$AG$4,"&lt;="&amp;$B$3,Previsao_Mantimentos[[#This Row],[Colunas2]:[Colunas32]]),0)</f>
        <v>#VALUE!</v>
      </c>
    </row>
    <row r="113" spans="2:34" ht="18">
      <c r="B113" s="94" t="str">
        <f>INDEX(Cadastro_Mantimentos[[#All],[Colunas4]],MATCH(ROW()-5,Cadastro_Mantimentos[[#All],[Colunas2]],0))</f>
        <v>Pó Pudim Coco</v>
      </c>
      <c r="C11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3" s="103" t="e">
        <f ca="1">ROUNDUP(SUMIF($C$4:$AG$4,"&lt;="&amp;$B$3,Previsao_Mantimentos[[#This Row],[Colunas2]:[Colunas32]]),0)</f>
        <v>#VALUE!</v>
      </c>
    </row>
    <row r="114" spans="2:34" ht="18">
      <c r="B114" s="94" t="str">
        <f>INDEX(Cadastro_Mantimentos[[#All],[Colunas4]],MATCH(ROW()-5,Cadastro_Mantimentos[[#All],[Colunas2]],0))</f>
        <v>Pó Pudim Morango</v>
      </c>
      <c r="C11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4" s="103" t="e">
        <f ca="1">ROUNDUP(SUMIF($C$4:$AG$4,"&lt;="&amp;$B$3,Previsao_Mantimentos[[#This Row],[Colunas2]:[Colunas32]]),0)</f>
        <v>#VALUE!</v>
      </c>
    </row>
    <row r="115" spans="2:34" ht="18">
      <c r="B115" s="94" t="str">
        <f>INDEX(Cadastro_Mantimentos[[#All],[Colunas4]],MATCH(ROW()-5,Cadastro_Mantimentos[[#All],[Colunas2]],0))</f>
        <v>Polenta</v>
      </c>
      <c r="C11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5" s="103" t="e">
        <f ca="1">ROUNDUP(SUMIF($C$4:$AG$4,"&lt;="&amp;$B$3,Previsao_Mantimentos[[#This Row],[Colunas2]:[Colunas32]]),0)</f>
        <v>#VALUE!</v>
      </c>
    </row>
    <row r="116" spans="2:34" ht="18">
      <c r="B116" s="94" t="str">
        <f>INDEX(Cadastro_Mantimentos[[#All],[Colunas4]],MATCH(ROW()-5,Cadastro_Mantimentos[[#All],[Colunas2]],0))</f>
        <v>Pure</v>
      </c>
      <c r="C11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6" s="103" t="e">
        <f ca="1">ROUNDUP(SUMIF($C$4:$AG$4,"&lt;="&amp;$B$3,Previsao_Mantimentos[[#This Row],[Colunas2]:[Colunas32]]),0)</f>
        <v>#VALUE!</v>
      </c>
    </row>
    <row r="117" spans="2:34" ht="18">
      <c r="B117" s="94" t="str">
        <f>INDEX(Cadastro_Mantimentos[[#All],[Colunas4]],MATCH(ROW()-5,Cadastro_Mantimentos[[#All],[Colunas2]],0))</f>
        <v>Sagu</v>
      </c>
      <c r="C11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7" s="103" t="e">
        <f ca="1">ROUNDUP(SUMIF($C$4:$AG$4,"&lt;="&amp;$B$3,Previsao_Mantimentos[[#This Row],[Colunas2]:[Colunas32]]),0)</f>
        <v>#VALUE!</v>
      </c>
    </row>
    <row r="118" spans="2:34" ht="18">
      <c r="B118" s="94" t="str">
        <f>INDEX(Cadastro_Mantimentos[[#All],[Colunas4]],MATCH(ROW()-5,Cadastro_Mantimentos[[#All],[Colunas2]],0))</f>
        <v xml:space="preserve">Sal </v>
      </c>
      <c r="C11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8" s="103" t="e">
        <f ca="1">ROUNDUP(SUMIF($C$4:$AG$4,"&lt;="&amp;$B$3,Previsao_Mantimentos[[#This Row],[Colunas2]:[Colunas32]]),0)</f>
        <v>#VALUE!</v>
      </c>
    </row>
    <row r="119" spans="2:34" ht="18">
      <c r="B119" s="94" t="str">
        <f>INDEX(Cadastro_Mantimentos[[#All],[Colunas4]],MATCH(ROW()-5,Cadastro_Mantimentos[[#All],[Colunas2]],0))</f>
        <v>Sal Sache</v>
      </c>
      <c r="C11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9" s="103" t="e">
        <f ca="1">ROUNDUP(SUMIF($C$4:$AG$4,"&lt;="&amp;$B$3,Previsao_Mantimentos[[#This Row],[Colunas2]:[Colunas32]]),0)</f>
        <v>#VALUE!</v>
      </c>
    </row>
    <row r="120" spans="2:34" ht="18">
      <c r="B120" s="94" t="str">
        <f>INDEX(Cadastro_Mantimentos[[#All],[Colunas4]],MATCH(ROW()-5,Cadastro_Mantimentos[[#All],[Colunas2]],0))</f>
        <v>Sardinha</v>
      </c>
      <c r="C12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0" s="103" t="e">
        <f ca="1">ROUNDUP(SUMIF($C$4:$AG$4,"&lt;="&amp;$B$3,Previsao_Mantimentos[[#This Row],[Colunas2]:[Colunas32]]),0)</f>
        <v>#VALUE!</v>
      </c>
    </row>
    <row r="121" spans="2:34" ht="18">
      <c r="B121" s="94" t="str">
        <f>INDEX(Cadastro_Mantimentos[[#All],[Colunas4]],MATCH(ROW()-5,Cadastro_Mantimentos[[#All],[Colunas2]],0))</f>
        <v>Shoyo</v>
      </c>
      <c r="C12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1" s="103" t="e">
        <f ca="1">ROUNDUP(SUMIF($C$4:$AG$4,"&lt;="&amp;$B$3,Previsao_Mantimentos[[#This Row],[Colunas2]:[Colunas32]]),0)</f>
        <v>#VALUE!</v>
      </c>
    </row>
    <row r="122" spans="2:34" ht="18">
      <c r="B122" s="94" t="str">
        <f>INDEX(Cadastro_Mantimentos[[#All],[Colunas4]],MATCH(ROW()-5,Cadastro_Mantimentos[[#All],[Colunas2]],0))</f>
        <v>Soja em Grãos</v>
      </c>
      <c r="C12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2" s="103" t="e">
        <f ca="1">ROUNDUP(SUMIF($C$4:$AG$4,"&lt;="&amp;$B$3,Previsao_Mantimentos[[#This Row],[Colunas2]:[Colunas32]]),0)</f>
        <v>#VALUE!</v>
      </c>
    </row>
    <row r="123" spans="2:34" ht="18">
      <c r="B123" s="94" t="str">
        <f>INDEX(Cadastro_Mantimentos[[#All],[Colunas4]],MATCH(ROW()-5,Cadastro_Mantimentos[[#All],[Colunas2]],0))</f>
        <v xml:space="preserve">Suco De Abacaxi </v>
      </c>
      <c r="C12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3" s="103" t="e">
        <f ca="1">ROUNDUP(SUMIF($C$4:$AG$4,"&lt;="&amp;$B$3,Previsao_Mantimentos[[#This Row],[Colunas2]:[Colunas32]]),0)</f>
        <v>#VALUE!</v>
      </c>
    </row>
    <row r="124" spans="2:34" ht="18">
      <c r="B124" s="94" t="str">
        <f>INDEX(Cadastro_Mantimentos[[#All],[Colunas4]],MATCH(ROW()-5,Cadastro_Mantimentos[[#All],[Colunas2]],0))</f>
        <v>Suco de Acerola</v>
      </c>
      <c r="C12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4" s="103" t="e">
        <f ca="1">ROUNDUP(SUMIF($C$4:$AG$4,"&lt;="&amp;$B$3,Previsao_Mantimentos[[#This Row],[Colunas2]:[Colunas32]]),0)</f>
        <v>#VALUE!</v>
      </c>
    </row>
    <row r="125" spans="2:34" ht="18">
      <c r="B125" s="94" t="str">
        <f>INDEX(Cadastro_Mantimentos[[#All],[Colunas4]],MATCH(ROW()-5,Cadastro_Mantimentos[[#All],[Colunas2]],0))</f>
        <v>Suco De Cajú</v>
      </c>
      <c r="C12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5" s="103" t="e">
        <f ca="1">ROUNDUP(SUMIF($C$4:$AG$4,"&lt;="&amp;$B$3,Previsao_Mantimentos[[#This Row],[Colunas2]:[Colunas32]]),0)</f>
        <v>#VALUE!</v>
      </c>
    </row>
    <row r="126" spans="2:34" ht="18">
      <c r="B126" s="94" t="str">
        <f>INDEX(Cadastro_Mantimentos[[#All],[Colunas4]],MATCH(ROW()-5,Cadastro_Mantimentos[[#All],[Colunas2]],0))</f>
        <v>Suco De Goiaba</v>
      </c>
      <c r="C12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6" s="103" t="e">
        <f ca="1">ROUNDUP(SUMIF($C$4:$AG$4,"&lt;="&amp;$B$3,Previsao_Mantimentos[[#This Row],[Colunas2]:[Colunas32]]),0)</f>
        <v>#VALUE!</v>
      </c>
    </row>
    <row r="127" spans="2:34" ht="18">
      <c r="B127" s="94" t="str">
        <f>INDEX(Cadastro_Mantimentos[[#All],[Colunas4]],MATCH(ROW()-5,Cadastro_Mantimentos[[#All],[Colunas2]],0))</f>
        <v>Suco De Laranja</v>
      </c>
      <c r="C12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7" s="103" t="e">
        <f ca="1">ROUNDUP(SUMIF($C$4:$AG$4,"&lt;="&amp;$B$3,Previsao_Mantimentos[[#This Row],[Colunas2]:[Colunas32]]),0)</f>
        <v>#VALUE!</v>
      </c>
    </row>
    <row r="128" spans="2:34" ht="18">
      <c r="B128" s="94" t="str">
        <f>INDEX(Cadastro_Mantimentos[[#All],[Colunas4]],MATCH(ROW()-5,Cadastro_Mantimentos[[#All],[Colunas2]],0))</f>
        <v>Suco de Manga</v>
      </c>
      <c r="C128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8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8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8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8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8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8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8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8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8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8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8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8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8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8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8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8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8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8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8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8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8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8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8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8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8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8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8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8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8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8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8" s="103" t="e">
        <f ca="1">ROUNDUP(SUMIF($C$4:$AG$4,"&lt;="&amp;$B$3,Previsao_Mantimentos[[#This Row],[Colunas2]:[Colunas32]]),0)</f>
        <v>#VALUE!</v>
      </c>
    </row>
    <row r="129" spans="2:39" ht="18">
      <c r="B129" s="94" t="str">
        <f>INDEX(Cadastro_Mantimentos[[#All],[Colunas4]],MATCH(ROW()-5,Cadastro_Mantimentos[[#All],[Colunas2]],0))</f>
        <v>Suco De Maracujá</v>
      </c>
      <c r="C129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9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9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9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9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9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9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9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9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9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9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9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9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9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9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9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9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9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9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9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9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9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9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9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9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9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9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9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9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9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9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9" s="103" t="e">
        <f ca="1">ROUNDUP(SUMIF($C$4:$AG$4,"&lt;="&amp;$B$3,Previsao_Mantimentos[[#This Row],[Colunas2]:[Colunas32]]),0)</f>
        <v>#VALUE!</v>
      </c>
    </row>
    <row r="130" spans="2:39" ht="18">
      <c r="B130" s="133" t="str">
        <f>INDEX(Cadastro_Mantimentos[[#All],[Colunas4]],MATCH(ROW()-5,Cadastro_Mantimentos[[#All],[Colunas2]],0))</f>
        <v>Suco De Tangerina</v>
      </c>
      <c r="C130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0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0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0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0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0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0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0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0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0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0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0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0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0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0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0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0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0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0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0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0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0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0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0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0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0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0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0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0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0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0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0" s="134" t="e">
        <f ca="1">ROUNDUP(SUMIF($C$4:$AG$4,"&lt;="&amp;$B$3,Previsao_Mantimentos[[#This Row],[Colunas2]:[Colunas32]]),0)</f>
        <v>#VALUE!</v>
      </c>
    </row>
    <row r="131" spans="2:39" ht="18">
      <c r="B131" s="133" t="str">
        <f>INDEX(Cadastro_Mantimentos[[#All],[Colunas4]],MATCH(ROW()-5,Cadastro_Mantimentos[[#All],[Colunas2]],0))</f>
        <v>Suco de Uva</v>
      </c>
      <c r="C131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1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1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1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1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1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1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1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1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1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1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1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1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1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1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1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1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1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1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1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1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1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1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1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1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1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1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1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1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1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1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1" s="134" t="e">
        <f ca="1">ROUNDUP(SUMIF($C$4:$AG$4,"&lt;="&amp;$B$3,Previsao_Mantimentos[[#This Row],[Colunas2]:[Colunas32]]),0)</f>
        <v>#VALUE!</v>
      </c>
    </row>
    <row r="132" spans="2:39" ht="18">
      <c r="B132" s="94" t="str">
        <f>INDEX(Cadastro_Mantimentos[[#All],[Colunas4]],MATCH(ROW()-5,Cadastro_Mantimentos[[#All],[Colunas2]],0))</f>
        <v>Tempero Fondor</v>
      </c>
      <c r="C132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2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2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2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2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2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2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2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2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2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2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2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2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2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2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2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2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2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2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2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2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2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2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2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2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2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2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2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2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2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2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2" s="103" t="e">
        <f ca="1">ROUNDUP(SUMIF($C$4:$AG$4,"&lt;="&amp;$B$3,Previsao_Mantimentos[[#This Row],[Colunas2]:[Colunas32]]),0)</f>
        <v>#VALUE!</v>
      </c>
    </row>
    <row r="133" spans="2:39" ht="18">
      <c r="B133" s="151" t="str">
        <f>INDEX(Cadastro_Mantimentos[[#All],[Colunas4]],MATCH(ROW()-5,Cadastro_Mantimentos[[#All],[Colunas2]],0))</f>
        <v xml:space="preserve">Trigo Para Kibe </v>
      </c>
      <c r="C133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3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3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3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3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3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3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3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3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3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3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3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3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3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3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3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3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3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3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3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3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3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3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3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3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3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3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3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3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3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3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3" s="154" t="e">
        <f ca="1">ROUNDUP(SUMIF($C$4:$AG$4,"&lt;="&amp;$B$3,Previsao_Mantimentos[[#This Row],[Colunas2]:[Colunas32]]),0)</f>
        <v>#VALUE!</v>
      </c>
    </row>
    <row r="134" spans="2:39" ht="18">
      <c r="B134" s="151" t="str">
        <f>INDEX(Cadastro_Mantimentos[[#All],[Colunas4]],MATCH(ROW()-5,Cadastro_Mantimentos[[#All],[Colunas2]],0))</f>
        <v>Uva Passa Preta</v>
      </c>
      <c r="C134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4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4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4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4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4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4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4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4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4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4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4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4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4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4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4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4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4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4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4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4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4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4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4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4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4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4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4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4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4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4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4" s="154" t="e">
        <f ca="1">ROUNDUP(SUMIF($C$4:$AG$4,"&lt;="&amp;$B$3,Previsao_Mantimentos[[#This Row],[Colunas2]:[Colunas32]]),0)</f>
        <v>#VALUE!</v>
      </c>
    </row>
    <row r="135" spans="2:39" ht="18">
      <c r="B135" s="151" t="str">
        <f>INDEX(Cadastro_Mantimentos[[#All],[Colunas4]],MATCH(ROW()-5,Cadastro_Mantimentos[[#All],[Colunas2]],0))</f>
        <v xml:space="preserve">Vinagre </v>
      </c>
      <c r="C135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5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5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5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5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5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5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5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5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5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5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5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5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5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5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5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5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5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5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5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5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5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5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5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5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5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5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5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5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5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5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5" s="154" t="e">
        <f ca="1">ROUNDUP(SUMIF($C$4:$AG$4,"&lt;="&amp;$B$3,Previsao_Mantimentos[[#This Row],[Colunas2]:[Colunas32]]),0)</f>
        <v>#VALUE!</v>
      </c>
    </row>
    <row r="136" spans="2:39" ht="18">
      <c r="B136" s="151" t="str">
        <f>INDEX(Cadastro_Mantimentos[[#All],[Colunas4]],MATCH(ROW()-5,Cadastro_Mantimentos[[#All],[Colunas2]],0))</f>
        <v>Vinagre Sachê</v>
      </c>
      <c r="C136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6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6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6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6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6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6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6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6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6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6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6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6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6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6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6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6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6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6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6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6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6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6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6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6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6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6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6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6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6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6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6" s="154" t="e">
        <f ca="1">ROUNDUP(SUMIF($C$4:$AG$4,"&lt;="&amp;$B$3,Previsao_Mantimentos[[#This Row],[Colunas2]:[Colunas32]]),0)</f>
        <v>#VALUE!</v>
      </c>
    </row>
    <row r="137" spans="2:39" ht="18">
      <c r="B137" s="94" t="str">
        <f>INDEX(Cadastro_Mantimentos[[#All],[Colunas4]],MATCH(ROW()-5,Cadastro_Mantimentos[[#All],[Colunas2]],0))</f>
        <v>Vinho</v>
      </c>
      <c r="C137" s="99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7" s="99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7" s="99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7" s="99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7" s="99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7" s="99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7" s="99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7" s="99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7" s="99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7" s="99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7" s="99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7" s="99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7" s="99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7" s="99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7" s="99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7" s="99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7" s="99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7" s="99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7" s="99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7" s="99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7" s="99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7" s="99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7" s="99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7" s="99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7" s="99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7" s="99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7" s="99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7" s="99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7" s="99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7" s="99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7" s="99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7" s="103" t="e">
        <f ca="1">ROUNDUP(SUMIF($C$4:$AG$4,"&lt;="&amp;$B$3,Previsao_Mantimentos[[#This Row],[Colunas2]:[Colunas32]]),0)</f>
        <v>#VALUE!</v>
      </c>
      <c r="AM137" s="61"/>
    </row>
    <row r="138" spans="2:39" ht="15.75" thickBot="1"/>
    <row r="139" spans="2:39" ht="24" thickBot="1">
      <c r="B139" s="419" t="s">
        <v>205</v>
      </c>
      <c r="C139" s="420"/>
      <c r="D139" s="420"/>
      <c r="E139" s="420"/>
      <c r="F139" s="420"/>
      <c r="G139" s="420"/>
      <c r="H139" s="420"/>
      <c r="I139" s="420"/>
      <c r="J139" s="420"/>
      <c r="K139" s="420"/>
      <c r="L139" s="420"/>
      <c r="M139" s="420"/>
      <c r="N139" s="420"/>
      <c r="O139" s="420"/>
      <c r="P139" s="420"/>
      <c r="Q139" s="420"/>
      <c r="R139" s="420"/>
      <c r="S139" s="420"/>
      <c r="T139" s="420"/>
      <c r="U139" s="420"/>
      <c r="V139" s="420"/>
      <c r="W139" s="420"/>
      <c r="X139" s="420"/>
      <c r="Y139" s="420"/>
      <c r="Z139" s="420"/>
      <c r="AA139" s="420"/>
      <c r="AB139" s="420"/>
      <c r="AC139" s="420"/>
      <c r="AD139" s="420"/>
      <c r="AE139" s="420"/>
      <c r="AF139" s="420"/>
      <c r="AG139" s="420"/>
      <c r="AH139" s="420"/>
    </row>
    <row r="140" spans="2:39" ht="18">
      <c r="B140" s="94" t="str">
        <f>INDEX(Cadastro_Carnes[[#All],[Colunas4]],MATCH(ROW()-5,Cadastro_Carnes[[#All],[Colunas2]],0))</f>
        <v>Almondega</v>
      </c>
      <c r="C140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0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0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0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0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0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0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0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0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0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0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0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0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0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0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0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0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0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0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0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0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0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0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0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0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0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0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0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0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0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0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0" s="105" t="e">
        <f ca="1">ROUNDUP(SUMIF($C$4:$AG$4,"&lt;="&amp;$B$3,Previsao_Carnes[[#This Row],[Colunas2]:[Colunas32]]),0)</f>
        <v>#VALUE!</v>
      </c>
    </row>
    <row r="141" spans="2:39" ht="18">
      <c r="B141" s="94" t="s">
        <v>187</v>
      </c>
      <c r="C141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1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1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1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1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1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1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1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1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1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1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1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1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1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1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1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1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1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1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1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1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1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1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1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1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1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1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1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1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1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1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1" s="105" t="e">
        <f ca="1">ROUNDUP(SUMIF($C$4:$AG$4,"&lt;="&amp;$B$3,Previsao_Carnes[[#This Row],[Colunas2]:[Colunas32]]),0)</f>
        <v>#VALUE!</v>
      </c>
    </row>
    <row r="142" spans="2:39" ht="18">
      <c r="B142" s="94" t="s">
        <v>33</v>
      </c>
      <c r="C142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2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2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2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2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2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2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2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2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2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2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2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2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2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2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2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2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2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2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2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2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2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2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2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2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2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2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2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2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2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2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2" s="105" t="e">
        <f ca="1">ROUNDUP(SUMIF($C$4:$AG$4,"&lt;="&amp;$B$3,Previsao_Carnes[[#This Row],[Colunas2]:[Colunas32]]),0)</f>
        <v>#VALUE!</v>
      </c>
    </row>
    <row r="143" spans="2:39" ht="18">
      <c r="B143" s="94" t="s">
        <v>34</v>
      </c>
      <c r="C143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3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3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3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3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3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3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3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3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3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3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3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3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3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3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3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3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3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3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3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3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3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3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3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3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3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3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3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3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3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3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3" s="105" t="e">
        <f ca="1">ROUNDUP(SUMIF($C$4:$AG$4,"&lt;="&amp;$B$3,Previsao_Carnes[[#This Row],[Colunas2]:[Colunas32]]),0)</f>
        <v>#VALUE!</v>
      </c>
    </row>
    <row r="144" spans="2:39" ht="18">
      <c r="B144" s="94" t="s">
        <v>35</v>
      </c>
      <c r="C144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4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4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4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4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4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4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4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4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4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4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4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4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4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4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4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4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4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4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4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4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4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4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4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4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4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4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4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4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4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4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4" s="105" t="e">
        <f ca="1">ROUNDUP(SUMIF($C$4:$AG$4,"&lt;="&amp;$B$3,Previsao_Carnes[[#This Row],[Colunas2]:[Colunas32]]),0)</f>
        <v>#VALUE!</v>
      </c>
    </row>
    <row r="145" spans="2:34" ht="18">
      <c r="B145" s="94" t="s">
        <v>103</v>
      </c>
      <c r="C145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5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5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5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5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5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5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5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5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5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5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5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5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5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5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5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5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5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5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5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5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5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5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5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5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5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5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5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5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5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5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5" s="105" t="e">
        <f ca="1">ROUNDUP(SUMIF($C$4:$AG$4,"&lt;="&amp;$B$3,Previsao_Carnes[[#This Row],[Colunas2]:[Colunas32]]),0)</f>
        <v>#VALUE!</v>
      </c>
    </row>
    <row r="146" spans="2:34" ht="18">
      <c r="B146" s="94" t="s">
        <v>104</v>
      </c>
      <c r="C146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6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6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6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6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6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6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6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6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6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6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6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6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6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6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6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6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6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6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6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6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6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6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6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6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6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6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6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6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6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6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6" s="105" t="e">
        <f ca="1">ROUNDUP(SUMIF($C$4:$AG$4,"&lt;="&amp;$B$3,Previsao_Carnes[[#This Row],[Colunas2]:[Colunas32]]),0)</f>
        <v>#VALUE!</v>
      </c>
    </row>
    <row r="147" spans="2:34" ht="18">
      <c r="B147" s="94" t="s">
        <v>180</v>
      </c>
      <c r="C147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7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7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7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7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7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7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7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7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7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7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7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7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7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7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7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7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7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7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7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7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7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7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7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7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7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7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7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7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7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7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7" s="105" t="e">
        <f ca="1">ROUNDUP(SUMIF($C$4:$AG$4,"&lt;="&amp;$B$3,Previsao_Carnes[[#This Row],[Colunas2]:[Colunas32]]),0)</f>
        <v>#VALUE!</v>
      </c>
    </row>
    <row r="148" spans="2:34" ht="18">
      <c r="B148" s="94" t="s">
        <v>105</v>
      </c>
      <c r="C148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8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8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8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8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8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8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8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8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8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8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8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8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8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8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8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8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8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8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8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8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8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8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8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8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8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8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8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8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8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8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8" s="105" t="e">
        <f ca="1">ROUNDUP(SUMIF($C$4:$AG$4,"&lt;="&amp;$B$3,Previsao_Carnes[[#This Row],[Colunas2]:[Colunas32]]),0)</f>
        <v>#VALUE!</v>
      </c>
    </row>
    <row r="149" spans="2:34" ht="18">
      <c r="B149" s="94" t="s">
        <v>36</v>
      </c>
      <c r="C149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9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9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9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9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9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9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9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9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9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9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9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9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9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9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9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9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9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9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9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9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9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9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9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9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9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9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9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9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9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9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9" s="105" t="e">
        <f ca="1">ROUNDUP(SUMIF($C$4:$AG$4,"&lt;="&amp;$B$3,Previsao_Carnes[[#This Row],[Colunas2]:[Colunas32]]),0)</f>
        <v>#VALUE!</v>
      </c>
    </row>
    <row r="150" spans="2:34" ht="18">
      <c r="B150" s="94" t="s">
        <v>37</v>
      </c>
      <c r="C150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0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0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0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0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0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0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0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0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0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0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0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0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0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0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0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0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0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0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0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0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0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0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0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0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0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0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0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0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0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0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0" s="105" t="e">
        <f ca="1">ROUNDUP(SUMIF($C$4:$AG$4,"&lt;="&amp;$B$3,Previsao_Carnes[[#This Row],[Colunas2]:[Colunas32]]),0)</f>
        <v>#VALUE!</v>
      </c>
    </row>
    <row r="151" spans="2:34" ht="18">
      <c r="B151" s="94" t="s">
        <v>106</v>
      </c>
      <c r="C151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1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1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1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1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1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1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1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1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1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1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1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1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1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1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1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1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1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1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1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1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1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1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1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1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1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1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1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1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1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1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1" s="105" t="e">
        <f ca="1">ROUNDUP(SUMIF($C$4:$AG$4,"&lt;="&amp;$B$3,Previsao_Carnes[[#This Row],[Colunas2]:[Colunas32]]),0)</f>
        <v>#VALUE!</v>
      </c>
    </row>
    <row r="152" spans="2:34" ht="18">
      <c r="B152" s="94" t="s">
        <v>107</v>
      </c>
      <c r="C152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2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2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2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2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2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2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2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2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2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2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2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2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2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2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2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2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2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2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2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2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2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2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2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2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2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2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2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2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2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2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2" s="105" t="e">
        <f ca="1">ROUNDUP(SUMIF($C$4:$AG$4,"&lt;="&amp;$B$3,Previsao_Carnes[[#This Row],[Colunas2]:[Colunas32]]),0)</f>
        <v>#VALUE!</v>
      </c>
    </row>
    <row r="153" spans="2:34" ht="18">
      <c r="B153" s="94" t="s">
        <v>108</v>
      </c>
      <c r="C153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3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3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3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3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3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3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3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3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3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3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3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3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3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3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3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3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3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3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3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3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3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3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3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3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3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3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3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3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3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3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3" s="105" t="e">
        <f ca="1">ROUNDUP(SUMIF($C$4:$AG$4,"&lt;="&amp;$B$3,Previsao_Carnes[[#This Row],[Colunas2]:[Colunas32]]),0)</f>
        <v>#VALUE!</v>
      </c>
    </row>
    <row r="154" spans="2:34" ht="18">
      <c r="B154" s="94" t="s">
        <v>172</v>
      </c>
      <c r="C154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4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4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4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4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4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4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4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4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4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4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4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4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4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4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4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4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4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4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4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4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4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4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4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4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4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4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4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4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4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4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4" s="105" t="e">
        <f ca="1">ROUNDUP(SUMIF($C$4:$AG$4,"&lt;="&amp;$B$3,Previsao_Carnes[[#This Row],[Colunas2]:[Colunas32]]),0)</f>
        <v>#VALUE!</v>
      </c>
    </row>
    <row r="155" spans="2:34" ht="18">
      <c r="B155" s="94" t="s">
        <v>109</v>
      </c>
      <c r="C155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5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5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5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5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5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5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5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5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5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5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5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5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5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5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5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5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5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5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5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5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5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5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5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5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5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5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5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5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5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5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5" s="105" t="e">
        <f ca="1">ROUNDUP(SUMIF($C$4:$AG$4,"&lt;="&amp;$B$3,Previsao_Carnes[[#This Row],[Colunas2]:[Colunas32]]),0)</f>
        <v>#VALUE!</v>
      </c>
    </row>
    <row r="156" spans="2:34" ht="18">
      <c r="B156" s="94" t="s">
        <v>38</v>
      </c>
      <c r="C156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6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6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6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6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6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6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6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6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6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6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6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6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6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6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6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6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6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6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6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6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6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6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6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6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6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6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6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6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6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6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6" s="105" t="e">
        <f ca="1">ROUNDUP(SUMIF($C$4:$AG$4,"&lt;="&amp;$B$3,Previsao_Carnes[[#This Row],[Colunas2]:[Colunas32]]),0)</f>
        <v>#VALUE!</v>
      </c>
    </row>
    <row r="157" spans="2:34" ht="18">
      <c r="B157" s="94" t="s">
        <v>39</v>
      </c>
      <c r="C157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7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7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7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7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7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7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7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7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7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7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7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7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7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7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7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7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7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7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7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7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7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7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7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7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7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7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7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7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7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7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7" s="105" t="e">
        <f ca="1">ROUNDUP(SUMIF($C$4:$AG$4,"&lt;="&amp;$B$3,Previsao_Carnes[[#This Row],[Colunas2]:[Colunas32]]),0)</f>
        <v>#VALUE!</v>
      </c>
    </row>
    <row r="158" spans="2:34" ht="18">
      <c r="B158" s="94" t="s">
        <v>179</v>
      </c>
      <c r="C158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8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8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8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8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8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8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8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8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8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8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8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8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8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8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8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8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8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8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8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8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8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8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8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8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8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8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8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8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8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8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8" s="105" t="e">
        <f ca="1">ROUNDUP(SUMIF($C$4:$AG$4,"&lt;="&amp;$B$3,Previsao_Carnes[[#This Row],[Colunas2]:[Colunas32]]),0)</f>
        <v>#VALUE!</v>
      </c>
    </row>
    <row r="159" spans="2:34" ht="18">
      <c r="B159" s="94" t="s">
        <v>178</v>
      </c>
      <c r="C159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9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9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9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9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9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9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9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9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9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9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9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9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9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9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9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9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9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9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9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9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9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9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9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9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9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9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9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9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9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9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9" s="105" t="e">
        <f ca="1">ROUNDUP(SUMIF($C$4:$AG$4,"&lt;="&amp;$B$3,Previsao_Carnes[[#This Row],[Colunas2]:[Colunas32]]),0)</f>
        <v>#VALUE!</v>
      </c>
    </row>
    <row r="160" spans="2:34" ht="18">
      <c r="B160" s="94" t="s">
        <v>177</v>
      </c>
      <c r="C160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0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0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0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0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0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0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0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0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0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0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0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0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0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0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0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0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0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0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0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0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0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0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0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0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0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0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0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0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0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0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0" s="105" t="e">
        <f ca="1">ROUNDUP(SUMIF($C$4:$AG$4,"&lt;="&amp;$B$3,Previsao_Carnes[[#This Row],[Colunas2]:[Colunas32]]),0)</f>
        <v>#VALUE!</v>
      </c>
    </row>
    <row r="161" spans="2:34" ht="18">
      <c r="B161" s="94" t="s">
        <v>110</v>
      </c>
      <c r="C161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1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1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1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1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1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1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1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1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1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1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1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1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1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1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1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1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1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1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1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1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1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1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1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1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1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1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1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1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1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1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1" s="105" t="e">
        <f ca="1">ROUNDUP(SUMIF($C$4:$AG$4,"&lt;="&amp;$B$3,Previsao_Carnes[[#This Row],[Colunas2]:[Colunas32]]),0)</f>
        <v>#VALUE!</v>
      </c>
    </row>
    <row r="162" spans="2:34" ht="18">
      <c r="B162" s="94" t="s">
        <v>40</v>
      </c>
      <c r="C162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2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2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2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2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2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2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2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2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2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2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2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2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2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2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2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2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2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2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2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2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2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2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2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2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2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2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2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2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2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2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2" s="105" t="e">
        <f ca="1">ROUNDUP(SUMIF($C$4:$AG$4,"&lt;="&amp;$B$3,Previsao_Carnes[[#This Row],[Colunas2]:[Colunas32]]),0)</f>
        <v>#VALUE!</v>
      </c>
    </row>
    <row r="163" spans="2:34" ht="18">
      <c r="B163" s="94" t="s">
        <v>41</v>
      </c>
      <c r="C163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3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3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3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3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3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3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3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3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3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3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3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3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3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3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3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3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3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3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3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3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3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3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3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3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3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3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3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3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3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3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3" s="105" t="e">
        <f ca="1">ROUNDUP(SUMIF($C$4:$AG$4,"&lt;="&amp;$B$3,Previsao_Carnes[[#This Row],[Colunas2]:[Colunas32]]),0)</f>
        <v>#VALUE!</v>
      </c>
    </row>
    <row r="164" spans="2:34" ht="18">
      <c r="B164" s="94" t="s">
        <v>42</v>
      </c>
      <c r="C164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4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4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4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4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4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4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4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4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4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4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4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4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4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4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4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4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4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4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4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4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4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4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4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4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4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4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4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4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4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4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4" s="105" t="e">
        <f ca="1">ROUNDUP(SUMIF($C$4:$AG$4,"&lt;="&amp;$B$3,Previsao_Carnes[[#This Row],[Colunas2]:[Colunas32]]),0)</f>
        <v>#VALUE!</v>
      </c>
    </row>
    <row r="165" spans="2:34" ht="18">
      <c r="B165" s="94" t="s">
        <v>43</v>
      </c>
      <c r="C165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5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5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5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5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5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5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5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5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5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5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5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5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5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5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5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5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5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5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5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5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5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5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5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5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5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5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5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5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5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5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5" s="105" t="e">
        <f ca="1">ROUNDUP(SUMIF($C$4:$AG$4,"&lt;="&amp;$B$3,Previsao_Carnes[[#This Row],[Colunas2]:[Colunas32]]),0)</f>
        <v>#VALUE!</v>
      </c>
    </row>
    <row r="166" spans="2:34" ht="18">
      <c r="B166" s="94" t="s">
        <v>44</v>
      </c>
      <c r="C166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6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6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6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6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6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6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6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6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6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6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6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6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6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6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6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6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6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6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6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6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6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6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6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6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6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6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6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6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6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6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6" s="105" t="e">
        <f ca="1">ROUNDUP(SUMIF($C$4:$AG$4,"&lt;="&amp;$B$3,Previsao_Carnes[[#This Row],[Colunas2]:[Colunas32]]),0)</f>
        <v>#VALUE!</v>
      </c>
    </row>
    <row r="167" spans="2:34" ht="18">
      <c r="B167" s="94" t="s">
        <v>45</v>
      </c>
      <c r="C167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7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7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7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7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7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7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7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7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7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7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7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7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7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7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7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7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7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7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7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7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7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7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7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7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7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7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7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7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7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7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7" s="105" t="e">
        <f ca="1">ROUNDUP(SUMIF($C$4:$AG$4,"&lt;="&amp;$B$3,Previsao_Carnes[[#This Row],[Colunas2]:[Colunas32]]),0)</f>
        <v>#VALUE!</v>
      </c>
    </row>
    <row r="168" spans="2:34" ht="18">
      <c r="B168" s="94" t="s">
        <v>168</v>
      </c>
      <c r="C168" s="99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8" s="99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8" s="99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8" s="99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8" s="99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8" s="99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8" s="99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8" s="99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8" s="99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8" s="99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8" s="99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8" s="99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8" s="99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8" s="99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8" s="99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8" s="99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8" s="99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8" s="99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8" s="99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8" s="99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8" s="99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8" s="99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8" s="99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8" s="99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8" s="99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8" s="99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8" s="99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8" s="99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8" s="99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8" s="99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8" s="99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8" s="105" t="e">
        <f ca="1">ROUNDUP(SUMIF($C$4:$AG$4,"&lt;="&amp;$B$3,Previsao_Carnes[[#This Row],[Colunas2]:[Colunas32]]),0)</f>
        <v>#VALUE!</v>
      </c>
    </row>
    <row r="169" spans="2:34" ht="15.75" thickBot="1">
      <c r="B169" s="62"/>
      <c r="C169" s="62"/>
      <c r="D169" s="62"/>
      <c r="E169" s="62"/>
    </row>
    <row r="170" spans="2:34" ht="24" thickBot="1">
      <c r="B170" s="429" t="s">
        <v>206</v>
      </c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30"/>
      <c r="AE170" s="430"/>
      <c r="AF170" s="430"/>
      <c r="AG170" s="430"/>
      <c r="AH170" s="430"/>
    </row>
    <row r="171" spans="2:34" ht="18">
      <c r="B171" s="94" t="str">
        <f>INDEX(Cadastro_Queijo[[#All],[Colunas4]],MATCH(ROW()-5,Cadastro_Queijo[[#All],[Colunas2]],0))</f>
        <v>Queijo Branco/Fresco</v>
      </c>
      <c r="C171" s="99" t="e">
        <f ca="1"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1" s="99" t="e">
        <f ca="1"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1" s="99" t="e">
        <f ca="1"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1" s="99" t="e">
        <f ca="1"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1" s="99" t="e">
        <f ca="1"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1" s="99" t="e">
        <f ca="1"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1" s="99" t="e">
        <f ca="1"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1" s="99" t="e">
        <f ca="1"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1" s="99" t="e">
        <f ca="1"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1" s="99" t="e">
        <f ca="1"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1" s="99" t="e">
        <f ca="1"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1" s="99" t="e">
        <f ca="1"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1" s="99" t="e">
        <f ca="1"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1" s="99" t="e">
        <f ca="1"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1" s="99" t="e">
        <f ca="1"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1" s="99" t="e">
        <f ca="1"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1" s="99" t="e">
        <f ca="1"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1" s="99" t="e">
        <f ca="1"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1" s="99" t="e">
        <f ca="1"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1" s="99" t="e">
        <f ca="1"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1" s="99" t="e">
        <f ca="1"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1" s="99" t="e">
        <f ca="1"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1" s="99" t="e">
        <f ca="1"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1" s="99" t="e">
        <f ca="1"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1" s="99" t="e">
        <f ca="1"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1" s="99" t="e">
        <f ca="1"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1" s="99" t="e">
        <f ca="1"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1" s="99" t="e">
        <f ca="1"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1" s="99" t="e">
        <f ca="1"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1" s="99" t="e">
        <f ca="1"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1" s="99" t="e">
        <f ca="1"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1" s="104" t="e">
        <f ca="1">ROUNDUP(SUMIF($C$4:$AG$4,"&lt;="&amp;$B$3,Previsao_Laticinios[[#This Row],[Colunas2]:[Colunas32]]),0)</f>
        <v>#VALUE!</v>
      </c>
    </row>
    <row r="172" spans="2:34" ht="18">
      <c r="B172" s="94" t="str">
        <f>INDEX(Cadastro_Queijo[[#All],[Colunas4]],MATCH(ROW()-5,Cadastro_Queijo[[#All],[Colunas2]],0))</f>
        <v>Queijo Mussarela</v>
      </c>
      <c r="C172" s="99" t="e">
        <f ca="1"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2" s="99" t="e">
        <f ca="1"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2" s="99" t="e">
        <f ca="1"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2" s="99" t="e">
        <f ca="1"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2" s="99" t="e">
        <f ca="1"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2" s="99" t="e">
        <f ca="1"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2" s="99" t="e">
        <f ca="1"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2" s="99" t="e">
        <f ca="1"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2" s="99" t="e">
        <f ca="1"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2" s="99" t="e">
        <f ca="1"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2" s="99" t="e">
        <f ca="1"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2" s="99" t="e">
        <f ca="1"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2" s="99" t="e">
        <f ca="1"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2" s="99" t="e">
        <f ca="1"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2" s="99" t="e">
        <f ca="1"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2" s="99" t="e">
        <f ca="1"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2" s="99" t="e">
        <f ca="1"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2" s="99" t="e">
        <f ca="1"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2" s="99" t="e">
        <f ca="1"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2" s="99" t="e">
        <f ca="1"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2" s="99" t="e">
        <f ca="1"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2" s="99" t="e">
        <f ca="1"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2" s="99" t="e">
        <f ca="1"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2" s="99" t="e">
        <f ca="1"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2" s="99" t="e">
        <f ca="1"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2" s="99" t="e">
        <f ca="1"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2" s="99" t="e">
        <f ca="1"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2" s="99" t="e">
        <f ca="1"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2" s="99" t="e">
        <f ca="1"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2" s="99" t="e">
        <f ca="1"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2" s="99" t="e">
        <f ca="1"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2" s="104" t="e">
        <f ca="1">ROUNDUP(SUM(C172:AG172)*1.06,0)</f>
        <v>#VALUE!</v>
      </c>
    </row>
    <row r="173" spans="2:34" ht="18">
      <c r="B173" s="94" t="str">
        <f>INDEX(Cadastro_Queijo[[#All],[Colunas4]],MATCH(ROW()-5,Cadastro_Queijo[[#All],[Colunas2]],0))</f>
        <v>Queijo Ralado</v>
      </c>
      <c r="C173" s="99" t="e">
        <f ca="1"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3" s="99" t="e">
        <f ca="1"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3" s="100" t="e">
        <f ca="1"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3" s="99" t="e">
        <f ca="1"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3" s="100" t="e">
        <f ca="1"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3" s="99" t="e">
        <f ca="1"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3" s="100" t="e">
        <f ca="1"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3" s="99" t="e">
        <f ca="1"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3" s="100" t="e">
        <f ca="1"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3" s="99" t="e">
        <f ca="1"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3" s="100" t="e">
        <f ca="1"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3" s="99" t="e">
        <f ca="1"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3" s="100" t="e">
        <f ca="1"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3" s="99" t="e">
        <f ca="1"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3" s="100" t="e">
        <f ca="1"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3" s="99" t="e">
        <f ca="1"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3" s="100" t="e">
        <f ca="1"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3" s="99" t="e">
        <f ca="1"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3" s="100" t="e">
        <f ca="1"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3" s="101" t="e">
        <f ca="1"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3" s="102" t="e">
        <f ca="1"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3" s="99" t="e">
        <f ca="1"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3" s="100" t="e">
        <f ca="1"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3" s="99" t="e">
        <f ca="1"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3" s="100" t="e">
        <f ca="1"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3" s="99" t="e">
        <f ca="1"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3" s="100" t="e">
        <f ca="1"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3" s="99" t="e">
        <f ca="1"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3" s="100" t="e">
        <f ca="1"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3" s="99" t="e">
        <f ca="1"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3" s="100" t="e">
        <f ca="1"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3" s="104" t="e">
        <f ca="1">ROUNDUP(SUM(C173:AG173)*1.06,0)</f>
        <v>#VALUE!</v>
      </c>
    </row>
    <row r="174" spans="2:34" ht="15.75" thickBot="1">
      <c r="B174" s="62"/>
      <c r="C174" s="62"/>
      <c r="D174" s="62"/>
      <c r="E174" s="62"/>
    </row>
    <row r="175" spans="2:34" ht="24" thickBot="1">
      <c r="B175" s="426" t="s">
        <v>207</v>
      </c>
      <c r="C175" s="427"/>
      <c r="D175" s="427"/>
      <c r="E175" s="427"/>
      <c r="F175" s="427"/>
      <c r="G175" s="427"/>
      <c r="H175" s="427"/>
      <c r="I175" s="427"/>
      <c r="J175" s="427"/>
      <c r="K175" s="427"/>
      <c r="L175" s="427"/>
      <c r="M175" s="427"/>
      <c r="N175" s="427"/>
      <c r="O175" s="427"/>
      <c r="P175" s="427"/>
      <c r="Q175" s="427"/>
      <c r="R175" s="427"/>
      <c r="S175" s="427"/>
      <c r="T175" s="427"/>
      <c r="U175" s="427"/>
      <c r="V175" s="427"/>
      <c r="W175" s="427"/>
      <c r="X175" s="427"/>
      <c r="Y175" s="427"/>
      <c r="Z175" s="427"/>
      <c r="AA175" s="427"/>
      <c r="AB175" s="427"/>
      <c r="AC175" s="427"/>
      <c r="AD175" s="427"/>
      <c r="AE175" s="427"/>
      <c r="AF175" s="427"/>
      <c r="AG175" s="427"/>
      <c r="AH175" s="427"/>
    </row>
    <row r="176" spans="2:34" ht="18">
      <c r="B176" s="94" t="str">
        <f>INDEX(Cadastro_Peixes[[#All],[Colunas4]],MATCH(ROW()-5,Cadastro_Peixes[[#All],[Colunas2]],0))</f>
        <v>Camarão</v>
      </c>
      <c r="C176" s="99" t="e">
        <f ca="1"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6" s="99" t="e">
        <f ca="1"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6" s="99" t="e">
        <f ca="1"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6" s="99" t="e">
        <f ca="1"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6" s="99" t="e">
        <f ca="1"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6" s="99" t="e">
        <f ca="1"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6" s="99" t="e">
        <f ca="1"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6" s="99" t="e">
        <f ca="1"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6" s="99" t="e">
        <f ca="1"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6" s="99" t="e">
        <f ca="1"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6" s="99" t="e">
        <f ca="1"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6" s="99" t="e">
        <f ca="1"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6" s="99" t="e">
        <f ca="1"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6" s="99" t="e">
        <f ca="1"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6" s="99" t="e">
        <f ca="1"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6" s="99" t="e">
        <f ca="1"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6" s="99" t="e">
        <f ca="1"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6" s="99" t="e">
        <f ca="1"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6" s="99" t="e">
        <f ca="1"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6" s="99" t="e">
        <f ca="1"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6" s="99" t="e">
        <f ca="1"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6" s="99" t="e">
        <f ca="1"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6" s="99" t="e">
        <f ca="1"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6" s="99" t="e">
        <f ca="1"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6" s="99" t="e">
        <f ca="1"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6" s="99" t="e">
        <f ca="1"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6" s="99" t="e">
        <f ca="1"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6" s="99" t="e">
        <f ca="1"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6" s="99" t="e">
        <f ca="1"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6" s="99" t="e">
        <f ca="1"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6" s="99" t="e">
        <f ca="1"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6" s="122" t="e">
        <f ca="1">ROUNDUP(SUMIF($C$4:$AG$4,"&lt;="&amp;$B$3,Previsao_Peixes[[#This Row],[Colunas2]:[Colunas32]]),0)</f>
        <v>#VALUE!</v>
      </c>
    </row>
    <row r="177" spans="2:34" ht="18">
      <c r="B177" s="94" t="str">
        <f>INDEX(Cadastro_Peixes[[#All],[Colunas4]],MATCH(ROW()-5,Cadastro_Peixes[[#All],[Colunas2]],0))</f>
        <v>Filé de Merluza</v>
      </c>
      <c r="C177" s="99" t="e">
        <f ca="1"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7" s="99" t="e">
        <f ca="1"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7" s="99" t="e">
        <f ca="1"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7" s="99" t="e">
        <f ca="1"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7" s="99" t="e">
        <f ca="1"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7" s="99" t="e">
        <f ca="1"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7" s="99" t="e">
        <f ca="1"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7" s="99" t="e">
        <f ca="1"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7" s="99" t="e">
        <f ca="1"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7" s="99" t="e">
        <f ca="1"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7" s="99" t="e">
        <f ca="1"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7" s="99" t="e">
        <f ca="1"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7" s="99" t="e">
        <f ca="1"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7" s="99" t="e">
        <f ca="1"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7" s="99" t="e">
        <f ca="1"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7" s="99" t="e">
        <f ca="1"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7" s="99" t="e">
        <f ca="1"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7" s="99" t="e">
        <f ca="1"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7" s="99" t="e">
        <f ca="1"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7" s="99" t="e">
        <f ca="1"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7" s="99" t="e">
        <f ca="1"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7" s="99" t="e">
        <f ca="1"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7" s="99" t="e">
        <f ca="1"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7" s="99" t="e">
        <f ca="1"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7" s="99" t="e">
        <f ca="1"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7" s="99" t="e">
        <f ca="1"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7" s="99" t="e">
        <f ca="1"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7" s="99" t="e">
        <f ca="1"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7" s="99" t="e">
        <f ca="1"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7" s="99" t="e">
        <f ca="1"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7" s="99" t="e">
        <f ca="1"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7" s="122" t="e">
        <f ca="1">ROUNDUP(SUMIF($C$4:$AG$4,"&lt;="&amp;$B$3,Previsao_Peixes[[#This Row],[Colunas2]:[Colunas32]]),0)</f>
        <v>#VALUE!</v>
      </c>
    </row>
    <row r="178" spans="2:34" ht="18">
      <c r="B178" s="94" t="str">
        <f>INDEX(Cadastro_Peixes[[#All],[Colunas4]],MATCH(ROW()-5,Cadastro_Peixes[[#All],[Colunas2]],0))</f>
        <v>Kani</v>
      </c>
      <c r="C178" s="99" t="e">
        <f ca="1"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8" s="99" t="e">
        <f ca="1"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8" s="99" t="e">
        <f ca="1"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8" s="99" t="e">
        <f ca="1"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8" s="99" t="e">
        <f ca="1"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8" s="99" t="e">
        <f ca="1"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8" s="99" t="e">
        <f ca="1"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8" s="99" t="e">
        <f ca="1"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8" s="99" t="e">
        <f ca="1"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8" s="99" t="e">
        <f ca="1"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8" s="99" t="e">
        <f ca="1"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8" s="99" t="e">
        <f ca="1"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8" s="99" t="e">
        <f ca="1"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8" s="99" t="e">
        <f ca="1"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8" s="99" t="e">
        <f ca="1"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8" s="99" t="e">
        <f ca="1"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8" s="99" t="e">
        <f ca="1"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8" s="99" t="e">
        <f ca="1"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8" s="99" t="e">
        <f ca="1"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8" s="99" t="e">
        <f ca="1"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8" s="99" t="e">
        <f ca="1"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8" s="99" t="e">
        <f ca="1"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8" s="99" t="e">
        <f ca="1"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8" s="99" t="e">
        <f ca="1"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8" s="99" t="e">
        <f ca="1"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8" s="99" t="e">
        <f ca="1"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8" s="99" t="e">
        <f ca="1"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8" s="99" t="e">
        <f ca="1"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8" s="99" t="e">
        <f ca="1"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8" s="99" t="e">
        <f ca="1"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8" s="99" t="e">
        <f ca="1"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8" s="122" t="e">
        <f ca="1">ROUNDUP(SUMIF($C$4:$AG$4,"&lt;="&amp;$B$3,Previsao_Peixes[[#This Row],[Colunas2]:[Colunas32]]),0)</f>
        <v>#VALUE!</v>
      </c>
    </row>
    <row r="179" spans="2:34" ht="18">
      <c r="B179" s="94" t="str">
        <f>INDEX(Cadastro_Peixes[[#All],[Colunas4]],MATCH(ROW()-5,Cadastro_Peixes[[#All],[Colunas2]],0))</f>
        <v>Pangasius</v>
      </c>
      <c r="C179" s="99" t="e">
        <f ca="1"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9" s="99" t="e">
        <f ca="1"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9" s="99" t="e">
        <f ca="1"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9" s="99" t="e">
        <f ca="1"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9" s="99" t="e">
        <f ca="1"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9" s="99" t="e">
        <f ca="1"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9" s="99" t="e">
        <f ca="1"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9" s="99" t="e">
        <f ca="1"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9" s="99" t="e">
        <f ca="1"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9" s="99" t="e">
        <f ca="1"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9" s="99" t="e">
        <f ca="1"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9" s="99" t="e">
        <f ca="1"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9" s="99" t="e">
        <f ca="1"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9" s="99" t="e">
        <f ca="1"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9" s="99" t="e">
        <f ca="1"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9" s="99" t="e">
        <f ca="1"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9" s="99" t="e">
        <f ca="1"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9" s="99" t="e">
        <f ca="1"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9" s="99" t="e">
        <f ca="1"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9" s="99" t="e">
        <f ca="1"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9" s="99" t="e">
        <f ca="1"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9" s="99" t="e">
        <f ca="1"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9" s="99" t="e">
        <f ca="1"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9" s="99" t="e">
        <f ca="1"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9" s="99" t="e">
        <f ca="1"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9" s="99" t="e">
        <f ca="1"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9" s="99" t="e">
        <f ca="1"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9" s="99" t="e">
        <f ca="1"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9" s="99" t="e">
        <f ca="1"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9" s="99" t="e">
        <f ca="1"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9" s="99" t="e">
        <f ca="1"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9" s="122" t="e">
        <f ca="1">ROUNDUP(SUMIF($C$4:$AG$4,"&lt;="&amp;$B$3,Previsao_Peixes[[#This Row],[Colunas2]:[Colunas32]]),0)</f>
        <v>#VALUE!</v>
      </c>
    </row>
    <row r="180" spans="2:34" ht="18">
      <c r="B180" s="94" t="str">
        <f>INDEX(Cadastro_Peixes[[#All],[Colunas4]],MATCH(ROW()-5,Cadastro_Peixes[[#All],[Colunas2]],0))</f>
        <v>Peixe cação</v>
      </c>
      <c r="C180" s="99" t="e">
        <f ca="1"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80" s="99" t="e">
        <f ca="1"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80" s="99" t="e">
        <f ca="1"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80" s="99" t="e">
        <f ca="1"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80" s="99" t="e">
        <f ca="1"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80" s="99" t="e">
        <f ca="1"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80" s="99" t="e">
        <f ca="1"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80" s="99" t="e">
        <f ca="1"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80" s="99" t="e">
        <f ca="1"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80" s="99" t="e">
        <f ca="1"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80" s="99" t="e">
        <f ca="1"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80" s="99" t="e">
        <f ca="1"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80" s="99" t="e">
        <f ca="1"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80" s="99" t="e">
        <f ca="1"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80" s="99" t="e">
        <f ca="1"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80" s="99" t="e">
        <f ca="1"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80" s="99" t="e">
        <f ca="1"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80" s="99" t="e">
        <f ca="1"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80" s="99" t="e">
        <f ca="1"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80" s="99" t="e">
        <f ca="1"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80" s="99" t="e">
        <f ca="1"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80" s="99" t="e">
        <f ca="1"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80" s="99" t="e">
        <f ca="1"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80" s="99" t="e">
        <f ca="1"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80" s="99" t="e">
        <f ca="1"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80" s="99" t="e">
        <f ca="1"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80" s="99" t="e">
        <f ca="1"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80" s="99" t="e">
        <f ca="1"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80" s="99" t="e">
        <f ca="1"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80" s="99" t="e">
        <f ca="1"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80" s="99" t="e">
        <f ca="1"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80" s="122" t="e">
        <f ca="1">ROUNDUP(SUMIF($C$4:$AG$4,"&lt;="&amp;$B$3,Previsao_Peixes[[#This Row],[Colunas2]:[Colunas32]]),0)</f>
        <v>#VALUE!</v>
      </c>
    </row>
    <row r="181" spans="2:34" ht="15.75" thickBot="1"/>
    <row r="182" spans="2:34" ht="24" thickBot="1">
      <c r="B182" s="422" t="s">
        <v>208</v>
      </c>
      <c r="C182" s="423"/>
      <c r="D182" s="423"/>
      <c r="E182" s="423"/>
      <c r="F182" s="423"/>
      <c r="G182" s="423"/>
      <c r="H182" s="423"/>
      <c r="I182" s="423"/>
      <c r="J182" s="423"/>
      <c r="K182" s="423"/>
      <c r="L182" s="423"/>
      <c r="M182" s="423"/>
      <c r="N182" s="423"/>
      <c r="O182" s="423"/>
      <c r="P182" s="423"/>
      <c r="Q182" s="423"/>
      <c r="R182" s="423"/>
      <c r="S182" s="423"/>
      <c r="T182" s="423"/>
      <c r="U182" s="423"/>
      <c r="V182" s="423"/>
      <c r="W182" s="423"/>
      <c r="X182" s="423"/>
      <c r="Y182" s="423"/>
      <c r="Z182" s="423"/>
      <c r="AA182" s="423"/>
      <c r="AB182" s="423"/>
      <c r="AC182" s="423"/>
      <c r="AD182" s="423"/>
      <c r="AE182" s="423"/>
      <c r="AF182" s="423"/>
      <c r="AG182" s="423"/>
      <c r="AH182" s="423"/>
    </row>
    <row r="183" spans="2:34" ht="18">
      <c r="B183" s="94" t="str">
        <f>INDEX(Cadastro_Hortfrut[[#All],[Colunas4]],MATCH(ROW()-5,Cadastro_Hortfrut[[#All],[Colunas2]],0))</f>
        <v xml:space="preserve">Abacaxi </v>
      </c>
      <c r="C183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3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3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3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3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3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3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3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3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3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3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3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3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3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3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3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3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3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3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3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3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3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3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3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3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3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3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3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3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3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3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3" s="121" t="e">
        <f ca="1">ROUNDUP(SUMIF($C$4:$AG$4,"&lt;="&amp;$B$3,Previsao_Hortfrut[[#This Row],[Colunas2]:[Colunas32]]),0)</f>
        <v>#VALUE!</v>
      </c>
    </row>
    <row r="184" spans="2:34" ht="18">
      <c r="B184" s="94" t="str">
        <f>INDEX(Cadastro_Hortfrut[[#All],[Colunas4]],MATCH(ROW()-5,Cadastro_Hortfrut[[#All],[Colunas2]],0))</f>
        <v>Abobora</v>
      </c>
      <c r="C184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4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4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4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4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4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4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4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4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4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4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4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4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4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4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4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4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4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4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4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4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4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4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4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4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4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4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4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4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4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4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4" s="121" t="e">
        <f ca="1">ROUNDUP(SUMIF($C$4:$AG$4,"&lt;="&amp;$B$3,Previsao_Hortfrut[[#This Row],[Colunas2]:[Colunas32]]),0)</f>
        <v>#VALUE!</v>
      </c>
    </row>
    <row r="185" spans="2:34" ht="18">
      <c r="B185" s="94" t="str">
        <f>INDEX(Cadastro_Hortfrut[[#All],[Colunas4]],MATCH(ROW()-5,Cadastro_Hortfrut[[#All],[Colunas2]],0))</f>
        <v>Abobrinha</v>
      </c>
      <c r="C185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5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5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5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5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5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5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5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5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5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5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5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5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5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5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5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5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5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5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5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5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5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5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5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5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5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5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5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5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5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5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5" s="121" t="e">
        <f ca="1">ROUNDUP(SUMIF($C$4:$AG$4,"&lt;="&amp;$B$3,Previsao_Hortfrut[[#This Row],[Colunas2]:[Colunas32]]),0)</f>
        <v>#VALUE!</v>
      </c>
    </row>
    <row r="186" spans="2:34" ht="18">
      <c r="B186" s="94" t="str">
        <f>INDEX(Cadastro_Hortfrut[[#All],[Colunas4]],MATCH(ROW()-5,Cadastro_Hortfrut[[#All],[Colunas2]],0))</f>
        <v>Acelga</v>
      </c>
      <c r="C186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6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6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6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6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6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6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6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6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6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6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6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6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6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6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6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6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6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6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6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6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6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6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6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6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6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6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6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6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6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6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6" s="121" t="e">
        <f ca="1">ROUNDUP(SUMIF($C$4:$AG$4,"&lt;="&amp;$B$3,Previsao_Hortfrut[[#This Row],[Colunas2]:[Colunas32]]),0)</f>
        <v>#VALUE!</v>
      </c>
    </row>
    <row r="187" spans="2:34" ht="18">
      <c r="B187" s="94" t="str">
        <f>INDEX(Cadastro_Hortfrut[[#All],[Colunas4]],MATCH(ROW()-5,Cadastro_Hortfrut[[#All],[Colunas2]],0))</f>
        <v>Agrião</v>
      </c>
      <c r="C187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7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7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7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7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7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7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7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7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7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7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7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7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7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7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7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7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7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7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7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7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7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7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7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7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7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7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7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7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7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7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7" s="121" t="e">
        <f ca="1">ROUNDUP(SUMIF($C$4:$AG$4,"&lt;="&amp;$B$3,Previsao_Hortfrut[[#This Row],[Colunas2]:[Colunas32]]),0)</f>
        <v>#VALUE!</v>
      </c>
    </row>
    <row r="188" spans="2:34" ht="18">
      <c r="B188" s="94" t="str">
        <f>INDEX(Cadastro_Hortfrut[[#All],[Colunas4]],MATCH(ROW()-5,Cadastro_Hortfrut[[#All],[Colunas2]],0))</f>
        <v>Alface Americana</v>
      </c>
      <c r="C188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8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8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8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8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8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8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8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8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8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8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8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8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8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8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8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8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8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8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8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8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8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8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8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8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8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8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8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8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8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8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8" s="121" t="e">
        <f ca="1">ROUNDUP(SUMIF($C$4:$AG$4,"&lt;="&amp;$B$3,Previsao_Hortfrut[[#This Row],[Colunas2]:[Colunas32]]),0)</f>
        <v>#VALUE!</v>
      </c>
    </row>
    <row r="189" spans="2:34" ht="18">
      <c r="B189" s="94" t="str">
        <f>INDEX(Cadastro_Hortfrut[[#All],[Colunas4]],MATCH(ROW()-5,Cadastro_Hortfrut[[#All],[Colunas2]],0))</f>
        <v>Alface Crespa</v>
      </c>
      <c r="C189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9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9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9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9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9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9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9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9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9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9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9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9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9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9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9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9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9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9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9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9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9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9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9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9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9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9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9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9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9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9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9" s="121" t="e">
        <f ca="1">ROUNDUP(SUMIF($C$4:$AG$4,"&lt;="&amp;$B$3,Previsao_Hortfrut[[#This Row],[Colunas2]:[Colunas32]]),0)</f>
        <v>#VALUE!</v>
      </c>
    </row>
    <row r="190" spans="2:34" ht="18">
      <c r="B190" s="94" t="str">
        <f>INDEX(Cadastro_Hortfrut[[#All],[Colunas4]],MATCH(ROW()-5,Cadastro_Hortfrut[[#All],[Colunas2]],0))</f>
        <v>Alface Lisa</v>
      </c>
      <c r="C190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0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0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0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0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0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0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0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0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0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0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0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0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0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0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0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0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0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0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0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0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0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0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0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0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0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0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0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0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0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0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0" s="121" t="e">
        <f ca="1">ROUNDUP(SUMIF($C$4:$AG$4,"&lt;="&amp;$B$3,Previsao_Hortfrut[[#This Row],[Colunas2]:[Colunas32]]),0)</f>
        <v>#VALUE!</v>
      </c>
    </row>
    <row r="191" spans="2:34" ht="18">
      <c r="B191" s="94" t="str">
        <f>INDEX(Cadastro_Hortfrut[[#All],[Colunas4]],MATCH(ROW()-5,Cadastro_Hortfrut[[#All],[Colunas2]],0))</f>
        <v>Alface Roxo</v>
      </c>
      <c r="C191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1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1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1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1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1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1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1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1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1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1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1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1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1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1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1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1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1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1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1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1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1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1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1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1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1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1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1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1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1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1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1" s="121" t="e">
        <f ca="1">ROUNDUP(SUMIF($C$4:$AG$4,"&lt;="&amp;$B$3,Previsao_Hortfrut[[#This Row],[Colunas2]:[Colunas32]]),0)</f>
        <v>#VALUE!</v>
      </c>
    </row>
    <row r="192" spans="2:34" ht="18">
      <c r="B192" s="94" t="str">
        <f>INDEX(Cadastro_Hortfrut[[#All],[Colunas4]],MATCH(ROW()-5,Cadastro_Hortfrut[[#All],[Colunas2]],0))</f>
        <v>Almeirão</v>
      </c>
      <c r="C192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2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2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2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2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2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2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2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2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2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2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2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2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2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2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2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2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2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2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2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2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2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2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2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2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2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2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2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2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2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2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2" s="121" t="e">
        <f ca="1">ROUNDUP(SUMIF($C$4:$AG$4,"&lt;="&amp;$B$3,Previsao_Hortfrut[[#This Row],[Colunas2]:[Colunas32]]),0)</f>
        <v>#VALUE!</v>
      </c>
    </row>
    <row r="193" spans="2:34" ht="18">
      <c r="B193" s="94" t="str">
        <f>INDEX(Cadastro_Hortfrut[[#All],[Colunas4]],MATCH(ROW()-5,Cadastro_Hortfrut[[#All],[Colunas2]],0))</f>
        <v>Ameixa</v>
      </c>
      <c r="C193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3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3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3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3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3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3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3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3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3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3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3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3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3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3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3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3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3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3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3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3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3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3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3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3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3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3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3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3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3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3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3" s="121" t="e">
        <f ca="1">ROUNDUP(SUMIF($C$4:$AG$4,"&lt;="&amp;$B$3,Previsao_Hortfrut[[#This Row],[Colunas2]:[Colunas32]]),0)</f>
        <v>#VALUE!</v>
      </c>
    </row>
    <row r="194" spans="2:34" ht="18">
      <c r="B194" s="94" t="str">
        <f>INDEX(Cadastro_Hortfrut[[#All],[Colunas4]],MATCH(ROW()-5,Cadastro_Hortfrut[[#All],[Colunas2]],0))</f>
        <v xml:space="preserve">Banana </v>
      </c>
      <c r="C194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4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4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4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4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4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4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4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4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4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4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4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4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4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4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4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4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4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4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4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4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4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4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4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4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4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4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4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4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4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4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4" s="121" t="e">
        <f ca="1">ROUNDUP(SUMIF($C$4:$AG$4,"&lt;="&amp;$B$3,Previsao_Hortfrut[[#This Row],[Colunas2]:[Colunas32]]),0)</f>
        <v>#VALUE!</v>
      </c>
    </row>
    <row r="195" spans="2:34" ht="18">
      <c r="B195" s="94" t="str">
        <f>INDEX(Cadastro_Hortfrut[[#All],[Colunas4]],MATCH(ROW()-5,Cadastro_Hortfrut[[#All],[Colunas2]],0))</f>
        <v xml:space="preserve">Batata </v>
      </c>
      <c r="C195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5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5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5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5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5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5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5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5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5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5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5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5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5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5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5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5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5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5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5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5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5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5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5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5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5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5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5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5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5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5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5" s="121" t="e">
        <f ca="1">ROUNDUP(SUMIF($C$4:$AG$4,"&lt;="&amp;$B$3,Previsao_Hortfrut[[#This Row],[Colunas2]:[Colunas32]]),0)</f>
        <v>#VALUE!</v>
      </c>
    </row>
    <row r="196" spans="2:34" ht="18">
      <c r="B196" s="94" t="str">
        <f>INDEX(Cadastro_Hortfrut[[#All],[Colunas4]],MATCH(ROW()-5,Cadastro_Hortfrut[[#All],[Colunas2]],0))</f>
        <v>Berinjela</v>
      </c>
      <c r="C196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6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6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6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6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6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6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6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6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6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6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6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6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6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6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6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6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6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6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6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6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6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6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6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6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6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6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6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6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6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6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6" s="121" t="e">
        <f ca="1">ROUNDUP(SUMIF($C$4:$AG$4,"&lt;="&amp;$B$3,Previsao_Hortfrut[[#This Row],[Colunas2]:[Colunas32]]),0)</f>
        <v>#VALUE!</v>
      </c>
    </row>
    <row r="197" spans="2:34" ht="18">
      <c r="B197" s="94" t="str">
        <f>INDEX(Cadastro_Hortfrut[[#All],[Colunas4]],MATCH(ROW()-5,Cadastro_Hortfrut[[#All],[Colunas2]],0))</f>
        <v xml:space="preserve">Beterraba </v>
      </c>
      <c r="C197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7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7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7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7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7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7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7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7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7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7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7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7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7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7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7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7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7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7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7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7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7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7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7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7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7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7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7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7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7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7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7" s="121" t="e">
        <f ca="1">ROUNDUP(SUMIF($C$4:$AG$4,"&lt;="&amp;$B$3,Previsao_Hortfrut[[#This Row],[Colunas2]:[Colunas32]]),0)</f>
        <v>#VALUE!</v>
      </c>
    </row>
    <row r="198" spans="2:34" ht="18">
      <c r="B198" s="94" t="str">
        <f>INDEX(Cadastro_Hortfrut[[#All],[Colunas4]],MATCH(ROW()-5,Cadastro_Hortfrut[[#All],[Colunas2]],0))</f>
        <v>Brócolis</v>
      </c>
      <c r="C198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8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8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8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8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8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8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8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8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8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8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8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8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8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8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8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8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8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8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8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8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8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8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8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8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8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8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8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8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8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8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8" s="121" t="e">
        <f ca="1">ROUNDUP(SUMIF($C$4:$AG$4,"&lt;="&amp;$B$3,Previsao_Hortfrut[[#This Row],[Colunas2]:[Colunas32]]),0)</f>
        <v>#VALUE!</v>
      </c>
    </row>
    <row r="199" spans="2:34" ht="18">
      <c r="B199" s="94" t="str">
        <f>INDEX(Cadastro_Hortfrut[[#All],[Colunas4]],MATCH(ROW()-5,Cadastro_Hortfrut[[#All],[Colunas2]],0))</f>
        <v xml:space="preserve">Caquí </v>
      </c>
      <c r="C199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9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9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9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9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9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9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9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9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9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9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9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9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9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9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9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9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9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9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9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9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9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9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9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9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9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9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9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9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9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9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9" s="121" t="e">
        <f ca="1">ROUNDUP(SUMIF($C$4:$AG$4,"&lt;="&amp;$B$3,Previsao_Hortfrut[[#This Row],[Colunas2]:[Colunas32]]),0)</f>
        <v>#VALUE!</v>
      </c>
    </row>
    <row r="200" spans="2:34" ht="18">
      <c r="B200" s="94" t="str">
        <f>INDEX(Cadastro_Hortfrut[[#All],[Colunas4]],MATCH(ROW()-5,Cadastro_Hortfrut[[#All],[Colunas2]],0))</f>
        <v xml:space="preserve">Cebola </v>
      </c>
      <c r="C200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0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0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0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0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0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0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0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0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0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0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0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0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0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0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0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0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0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0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0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0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0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0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0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0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0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0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0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0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0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0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0" s="121" t="e">
        <f ca="1">ROUNDUP(SUMIF($C$4:$AG$4,"&lt;="&amp;$B$3,Previsao_Hortfrut[[#This Row],[Colunas2]:[Colunas32]]),0)</f>
        <v>#VALUE!</v>
      </c>
    </row>
    <row r="201" spans="2:34" ht="18">
      <c r="B201" s="94" t="str">
        <f>INDEX(Cadastro_Hortfrut[[#All],[Colunas4]],MATCH(ROW()-5,Cadastro_Hortfrut[[#All],[Colunas2]],0))</f>
        <v xml:space="preserve">Cenoura  </v>
      </c>
      <c r="C201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1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1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1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1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1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1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1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1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1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1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1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1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1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1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1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1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1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1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1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1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1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1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1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1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1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1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1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1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1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1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1" s="121" t="e">
        <f ca="1">ROUNDUP(SUMIF($C$4:$AG$4,"&lt;="&amp;$B$3,Previsao_Hortfrut[[#This Row],[Colunas2]:[Colunas32]]),0)</f>
        <v>#VALUE!</v>
      </c>
    </row>
    <row r="202" spans="2:34" ht="18">
      <c r="B202" s="94" t="str">
        <f>INDEX(Cadastro_Hortfrut[[#All],[Colunas4]],MATCH(ROW()-5,Cadastro_Hortfrut[[#All],[Colunas2]],0))</f>
        <v xml:space="preserve">Chuchu </v>
      </c>
      <c r="C202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2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2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2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2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2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2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2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2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2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2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2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2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2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2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2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2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2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2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2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2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2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2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2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2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2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2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2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2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2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2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2" s="121" t="e">
        <f ca="1">ROUNDUP(SUMIF($C$4:$AG$4,"&lt;="&amp;$B$3,Previsao_Hortfrut[[#This Row],[Colunas2]:[Colunas32]]),0)</f>
        <v>#VALUE!</v>
      </c>
    </row>
    <row r="203" spans="2:34" ht="18">
      <c r="B203" s="94" t="str">
        <f>INDEX(Cadastro_Hortfrut[[#All],[Colunas4]],MATCH(ROW()-5,Cadastro_Hortfrut[[#All],[Colunas2]],0))</f>
        <v>Coentro</v>
      </c>
      <c r="C203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3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3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3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3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3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3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3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3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3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3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3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3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3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3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3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3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3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3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3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3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3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3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3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3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3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3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3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3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3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3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3" s="121" t="e">
        <f ca="1">ROUNDUP(SUMIF($C$4:$AG$4,"&lt;="&amp;$B$3,Previsao_Hortfrut[[#This Row],[Colunas2]:[Colunas32]]),0)</f>
        <v>#VALUE!</v>
      </c>
    </row>
    <row r="204" spans="2:34" ht="18">
      <c r="B204" s="94" t="str">
        <f>INDEX(Cadastro_Hortfrut[[#All],[Colunas4]],MATCH(ROW()-5,Cadastro_Hortfrut[[#All],[Colunas2]],0))</f>
        <v>Couve</v>
      </c>
      <c r="C204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4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4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4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4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4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4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4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4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4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4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4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4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4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4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4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4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4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4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4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4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4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4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4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4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4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4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4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4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4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4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4" s="121" t="e">
        <f ca="1">ROUNDUP(SUMIF($C$4:$AG$4,"&lt;="&amp;$B$3,Previsao_Hortfrut[[#This Row],[Colunas2]:[Colunas32]]),0)</f>
        <v>#VALUE!</v>
      </c>
    </row>
    <row r="205" spans="2:34" ht="18">
      <c r="B205" s="94" t="str">
        <f>INDEX(Cadastro_Hortfrut[[#All],[Colunas4]],MATCH(ROW()-5,Cadastro_Hortfrut[[#All],[Colunas2]],0))</f>
        <v>Couve-flor</v>
      </c>
      <c r="C205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5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5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5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5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5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5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5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5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5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5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5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5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5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5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5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5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5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5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5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5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5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5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5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5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5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5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5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5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5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5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5" s="121" t="e">
        <f ca="1">ROUNDUP(SUMIF($C$4:$AG$4,"&lt;="&amp;$B$3,Previsao_Hortfrut[[#This Row],[Colunas2]:[Colunas32]]),0)</f>
        <v>#VALUE!</v>
      </c>
    </row>
    <row r="206" spans="2:34" ht="18">
      <c r="B206" s="94" t="str">
        <f>INDEX(Cadastro_Hortfrut[[#All],[Colunas4]],MATCH(ROW()-5,Cadastro_Hortfrut[[#All],[Colunas2]],0))</f>
        <v xml:space="preserve">Escarola </v>
      </c>
      <c r="C206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6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6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6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6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6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6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6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6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6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6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6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6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6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6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6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6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6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6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6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6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6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6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6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6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6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6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6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6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6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6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6" s="121" t="e">
        <f ca="1">ROUNDUP(SUMIF($C$4:$AG$4,"&lt;="&amp;$B$3,Previsao_Hortfrut[[#This Row],[Colunas2]:[Colunas32]]),0)</f>
        <v>#VALUE!</v>
      </c>
    </row>
    <row r="207" spans="2:34" ht="18">
      <c r="B207" s="94" t="str">
        <f>INDEX(Cadastro_Hortfrut[[#All],[Colunas4]],MATCH(ROW()-5,Cadastro_Hortfrut[[#All],[Colunas2]],0))</f>
        <v>Goiaba</v>
      </c>
      <c r="C207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7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7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7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7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7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7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7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7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7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7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7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7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7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7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7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7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7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7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7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7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7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7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7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7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7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7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7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7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7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7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7" s="121" t="e">
        <f ca="1">ROUNDUP(SUMIF($C$4:$AG$4,"&lt;="&amp;$B$3,Previsao_Hortfrut[[#This Row],[Colunas2]:[Colunas32]]),0)</f>
        <v>#VALUE!</v>
      </c>
    </row>
    <row r="208" spans="2:34" ht="18">
      <c r="B208" s="94" t="str">
        <f>INDEX(Cadastro_Hortfrut[[#All],[Colunas4]],MATCH(ROW()-5,Cadastro_Hortfrut[[#All],[Colunas2]],0))</f>
        <v>Hortelã</v>
      </c>
      <c r="C208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8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8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8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8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8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8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8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8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8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8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8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8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8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8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8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8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8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8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8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8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8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8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8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8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8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8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8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8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8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8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8" s="121" t="e">
        <f ca="1">ROUNDUP(SUMIF($C$4:$AG$4,"&lt;="&amp;$B$3,Previsao_Hortfrut[[#This Row],[Colunas2]:[Colunas32]]),0)</f>
        <v>#VALUE!</v>
      </c>
    </row>
    <row r="209" spans="2:102" ht="18">
      <c r="B209" s="94" t="str">
        <f>INDEX(Cadastro_Hortfrut[[#All],[Colunas4]],MATCH(ROW()-5,Cadastro_Hortfrut[[#All],[Colunas2]],0))</f>
        <v xml:space="preserve">Laranja </v>
      </c>
      <c r="C209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9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9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9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9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9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9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9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9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9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9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9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9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9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9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9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9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9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9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9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9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9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9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9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9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9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9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9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9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9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9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9" s="121" t="e">
        <f ca="1">ROUNDUP(SUMIF($C$4:$AG$4,"&lt;="&amp;$B$3,Previsao_Hortfrut[[#This Row],[Colunas2]:[Colunas32]]),0)</f>
        <v>#VALUE!</v>
      </c>
    </row>
    <row r="210" spans="2:102" ht="18">
      <c r="B210" s="94" t="str">
        <f>INDEX(Cadastro_Hortfrut[[#All],[Colunas4]],MATCH(ROW()-5,Cadastro_Hortfrut[[#All],[Colunas2]],0))</f>
        <v>Limão</v>
      </c>
      <c r="C210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0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0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0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0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0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0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0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0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0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0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0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0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0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0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0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0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0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0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0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0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0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0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0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0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0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0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0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0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0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0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0" s="121" t="e">
        <f ca="1">ROUNDUP(SUMIF($C$4:$AG$4,"&lt;="&amp;$B$3,Previsao_Hortfrut[[#This Row],[Colunas2]:[Colunas32]]),0)</f>
        <v>#VALUE!</v>
      </c>
    </row>
    <row r="211" spans="2:102" ht="18">
      <c r="B211" s="94" t="str">
        <f>INDEX(Cadastro_Hortfrut[[#All],[Colunas4]],MATCH(ROW()-5,Cadastro_Hortfrut[[#All],[Colunas2]],0))</f>
        <v>Louro maço</v>
      </c>
      <c r="C211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1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1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1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1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1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1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1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1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1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1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1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1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1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1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1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1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1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1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1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1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1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1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1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1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1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1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1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1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1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1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1" s="121" t="e">
        <f ca="1">ROUNDUP(SUMIF($C$4:$AG$4,"&lt;="&amp;$B$3,Previsao_Hortfrut[[#This Row],[Colunas2]:[Colunas32]]),0)</f>
        <v>#VALUE!</v>
      </c>
    </row>
    <row r="212" spans="2:102" ht="18">
      <c r="B212" s="94" t="str">
        <f>INDEX(Cadastro_Hortfrut[[#All],[Colunas4]],MATCH(ROW()-5,Cadastro_Hortfrut[[#All],[Colunas2]],0))</f>
        <v xml:space="preserve">Maçã </v>
      </c>
      <c r="C212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2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2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2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2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2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2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2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2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2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2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2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2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2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2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2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2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2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2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2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2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2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2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2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2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2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2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2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2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2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2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2" s="121" t="e">
        <f ca="1">ROUNDUP(SUMIF($C$4:$AG$4,"&lt;="&amp;$B$3,Previsao_Hortfrut[[#This Row],[Colunas2]:[Colunas32]]),0)</f>
        <v>#VALUE!</v>
      </c>
    </row>
    <row r="213" spans="2:102" ht="18">
      <c r="B213" s="94" t="str">
        <f>INDEX(Cadastro_Hortfrut[[#All],[Colunas4]],MATCH(ROW()-5,Cadastro_Hortfrut[[#All],[Colunas2]],0))</f>
        <v>Mamão Formosa</v>
      </c>
      <c r="C213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3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3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3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3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3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3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3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3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3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3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3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3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3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3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3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3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3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3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3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3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3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3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3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3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3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3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3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3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3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3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3" s="121" t="e">
        <f ca="1">ROUNDUP(SUMIF($C$4:$AG$4,"&lt;="&amp;$B$3,Previsao_Hortfrut[[#This Row],[Colunas2]:[Colunas32]]),0)</f>
        <v>#VALUE!</v>
      </c>
    </row>
    <row r="214" spans="2:102" ht="18">
      <c r="B214" s="94" t="str">
        <f>INDEX(Cadastro_Hortfrut[[#All],[Colunas4]],MATCH(ROW()-5,Cadastro_Hortfrut[[#All],[Colunas2]],0))</f>
        <v>Mamão Papaya</v>
      </c>
      <c r="C214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4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4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4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4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4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4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4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4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4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4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4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4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4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4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4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4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4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4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4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4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4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4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4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4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4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4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4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4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4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4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4" s="121" t="e">
        <f ca="1">ROUNDUP(SUMIF($C$4:$AG$4,"&lt;="&amp;$B$3,Previsao_Hortfrut[[#This Row],[Colunas2]:[Colunas32]]),0)</f>
        <v>#VALUE!</v>
      </c>
    </row>
    <row r="215" spans="2:102" ht="18">
      <c r="B215" s="94" t="str">
        <f>INDEX(Cadastro_Hortfrut[[#All],[Colunas4]],MATCH(ROW()-5,Cadastro_Hortfrut[[#All],[Colunas2]],0))</f>
        <v xml:space="preserve">Mandioca </v>
      </c>
      <c r="C215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5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5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5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5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5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5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5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5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5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5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5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5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5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5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5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5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5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5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5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5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5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5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5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5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5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5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5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5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5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5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5" s="121" t="e">
        <f ca="1">ROUNDUP(SUMIF($C$4:$AG$4,"&lt;="&amp;$B$3,Previsao_Hortfrut[[#This Row],[Colunas2]:[Colunas32]]),0)</f>
        <v>#VALUE!</v>
      </c>
    </row>
    <row r="216" spans="2:102" ht="18">
      <c r="B216" s="94" t="str">
        <f>INDEX(Cadastro_Hortfrut[[#All],[Colunas4]],MATCH(ROW()-5,Cadastro_Hortfrut[[#All],[Colunas2]],0))</f>
        <v>Mandioquinha</v>
      </c>
      <c r="C216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6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6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6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6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6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6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6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6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6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6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6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6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6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6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6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6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6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6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6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6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6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6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6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6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6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6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6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6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6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6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6" s="121" t="e">
        <f ca="1">ROUNDUP(SUMIF($C$4:$AG$4,"&lt;="&amp;$B$3,Previsao_Hortfrut[[#This Row],[Colunas2]:[Colunas32]]),0)</f>
        <v>#VALUE!</v>
      </c>
    </row>
    <row r="217" spans="2:102" ht="18">
      <c r="B217" s="94" t="str">
        <f>INDEX(Cadastro_Hortfrut[[#All],[Colunas4]],MATCH(ROW()-5,Cadastro_Hortfrut[[#All],[Colunas2]],0))</f>
        <v xml:space="preserve">Manga </v>
      </c>
      <c r="C217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7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7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7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7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7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7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7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7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7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7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7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7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7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7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7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7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7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7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7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7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7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7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7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7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7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7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7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7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7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7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7" s="121" t="e">
        <f ca="1">ROUNDUP(SUMIF($C$4:$AG$4,"&lt;="&amp;$B$3,Previsao_Hortfrut[[#This Row],[Colunas2]:[Colunas32]]),0)</f>
        <v>#VALUE!</v>
      </c>
    </row>
    <row r="218" spans="2:102" ht="18">
      <c r="B218" s="94" t="str">
        <f>INDEX(Cadastro_Hortfrut[[#All],[Colunas4]],MATCH(ROW()-5,Cadastro_Hortfrut[[#All],[Colunas2]],0))</f>
        <v>Maracujá</v>
      </c>
      <c r="C218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8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8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8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8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8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8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8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8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8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8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8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8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8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8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8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8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8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8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8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8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8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8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8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8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8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8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8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8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8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8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8" s="121" t="e">
        <f ca="1">ROUNDUP(SUMIF($C$4:$AG$4,"&lt;="&amp;$B$3,Previsao_Hortfrut[[#This Row],[Colunas2]:[Colunas32]]),0)</f>
        <v>#VALUE!</v>
      </c>
    </row>
    <row r="219" spans="2:102" ht="18">
      <c r="B219" s="94" t="str">
        <f>INDEX(Cadastro_Hortfrut[[#All],[Colunas4]],MATCH(ROW()-5,Cadastro_Hortfrut[[#All],[Colunas2]],0))</f>
        <v>Melancia</v>
      </c>
      <c r="C219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9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9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9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9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9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9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9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9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9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9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9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9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9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9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9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9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9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9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9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9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9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9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9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9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9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9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9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9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9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9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9" s="121" t="e">
        <f ca="1">ROUNDUP(SUMIF($C$4:$AG$4,"&lt;="&amp;$B$3,Previsao_Hortfrut[[#This Row],[Colunas2]:[Colunas32]]),0)</f>
        <v>#VALUE!</v>
      </c>
    </row>
    <row r="220" spans="2:102" ht="18">
      <c r="B220" s="94" t="str">
        <f>INDEX(Cadastro_Hortfrut[[#All],[Colunas4]],MATCH(ROW()-5,Cadastro_Hortfrut[[#All],[Colunas2]],0))</f>
        <v xml:space="preserve">Melão </v>
      </c>
      <c r="C220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0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0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0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0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0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0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0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0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0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0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0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0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0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0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0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0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0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0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0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0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0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0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0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0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0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0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0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0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0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0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0" s="121" t="e">
        <f ca="1">ROUNDUP(SUMIF($C$4:$AG$4,"&lt;="&amp;$B$3,Previsao_Hortfrut[[#This Row],[Colunas2]:[Colunas32]]),0)</f>
        <v>#VALUE!</v>
      </c>
    </row>
    <row r="221" spans="2:102" ht="18">
      <c r="B221" s="94" t="str">
        <f>INDEX(Cadastro_Hortfrut[[#All],[Colunas4]],MATCH(ROW()-5,Cadastro_Hortfrut[[#All],[Colunas2]],0))</f>
        <v xml:space="preserve">Mexerica </v>
      </c>
      <c r="C221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1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1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1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1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1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1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1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1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1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1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1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1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1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1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1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1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1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1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1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1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1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1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1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1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1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1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1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1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1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1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1" s="121" t="e">
        <f ca="1">ROUNDUP(SUMIF($C$4:$AG$4,"&lt;="&amp;$B$3,Previsao_Hortfrut[[#This Row],[Colunas2]:[Colunas32]]),0)</f>
        <v>#VALUE!</v>
      </c>
    </row>
    <row r="222" spans="2:102" ht="18">
      <c r="B222" s="94" t="str">
        <f>INDEX(Cadastro_Hortfrut[[#All],[Colunas4]],MATCH(ROW()-5,Cadastro_Hortfrut[[#All],[Colunas2]],0))</f>
        <v xml:space="preserve">Morango </v>
      </c>
      <c r="C222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2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2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2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2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2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2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2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2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2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2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2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2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2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2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2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2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2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2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2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2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2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2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2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2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2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2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2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2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2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2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2" s="121" t="e">
        <f ca="1">ROUNDUP(SUMIF($C$4:$AG$4,"&lt;="&amp;$B$3,Previsao_Hortfrut[[#This Row],[Colunas2]:[Colunas32]]),0)</f>
        <v>#VALUE!</v>
      </c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</row>
    <row r="223" spans="2:102" ht="18">
      <c r="B223" s="94" t="str">
        <f>INDEX(Cadastro_Hortfrut[[#All],[Colunas4]],MATCH(ROW()-5,Cadastro_Hortfrut[[#All],[Colunas2]],0))</f>
        <v>Nabo</v>
      </c>
      <c r="C223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3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3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3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3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3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3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3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3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3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3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3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3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3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3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3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3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3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3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3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3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3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3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3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3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3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3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3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3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3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3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3" s="121" t="e">
        <f ca="1">ROUNDUP(SUMIF($C$4:$AG$4,"&lt;="&amp;$B$3,Previsao_Hortfrut[[#This Row],[Colunas2]:[Colunas32]]),0)</f>
        <v>#VALUE!</v>
      </c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</row>
    <row r="224" spans="2:102" ht="18">
      <c r="B224" s="94" t="str">
        <f>INDEX(Cadastro_Hortfrut[[#All],[Colunas4]],MATCH(ROW()-5,Cadastro_Hortfrut[[#All],[Colunas2]],0))</f>
        <v xml:space="preserve">Ovos </v>
      </c>
      <c r="C224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4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4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4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4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4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4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4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4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4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4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4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4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4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4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4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4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4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4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4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4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4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4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4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4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4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4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4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4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4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4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4" s="121" t="e">
        <f ca="1">ROUNDUP(SUMIF($C$4:$AG$4,"&lt;="&amp;$B$3,Previsao_Hortfrut[[#This Row],[Colunas2]:[Colunas32]]),0)</f>
        <v>#VALUE!</v>
      </c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</row>
    <row r="225" spans="2:34" ht="18">
      <c r="B225" s="94" t="str">
        <f>INDEX(Cadastro_Hortfrut[[#All],[Colunas4]],MATCH(ROW()-5,Cadastro_Hortfrut[[#All],[Colunas2]],0))</f>
        <v>Pepino</v>
      </c>
      <c r="C225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5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5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5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5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5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5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5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5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5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5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5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5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5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5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5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5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5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5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5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5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5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5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5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5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5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5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5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5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5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5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5" s="121" t="e">
        <f ca="1">ROUNDUP(SUMIF($C$4:$AG$4,"&lt;="&amp;$B$3,Previsao_Hortfrut[[#This Row],[Colunas2]:[Colunas32]]),0)</f>
        <v>#VALUE!</v>
      </c>
    </row>
    <row r="226" spans="2:34" ht="18">
      <c r="B226" s="94" t="str">
        <f>INDEX(Cadastro_Hortfrut[[#All],[Colunas4]],MATCH(ROW()-5,Cadastro_Hortfrut[[#All],[Colunas2]],0))</f>
        <v>Pessego</v>
      </c>
      <c r="C226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6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6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6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6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6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6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6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6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6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6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6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6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6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6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6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6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6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6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6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6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6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6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6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6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6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6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6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6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6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6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6" s="121" t="e">
        <f ca="1">ROUNDUP(SUMIF($C$4:$AG$4,"&lt;="&amp;$B$3,Previsao_Hortfrut[[#This Row],[Colunas2]:[Colunas32]]),0)</f>
        <v>#VALUE!</v>
      </c>
    </row>
    <row r="227" spans="2:34" ht="18">
      <c r="B227" s="94" t="str">
        <f>INDEX(Cadastro_Hortfrut[[#All],[Colunas4]],MATCH(ROW()-5,Cadastro_Hortfrut[[#All],[Colunas2]],0))</f>
        <v xml:space="preserve">Pimentão Amarelo </v>
      </c>
      <c r="C227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7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7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7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7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7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7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7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7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7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7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7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7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7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7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7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7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7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7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7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7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7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7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7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7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7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7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7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7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7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7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7" s="121" t="e">
        <f ca="1">ROUNDUP(SUMIF($C$4:$AG$4,"&lt;="&amp;$B$3,Previsao_Hortfrut[[#This Row],[Colunas2]:[Colunas32]]),0)</f>
        <v>#VALUE!</v>
      </c>
    </row>
    <row r="228" spans="2:34" ht="18">
      <c r="B228" s="94" t="str">
        <f>INDEX(Cadastro_Hortfrut[[#All],[Colunas4]],MATCH(ROW()-5,Cadastro_Hortfrut[[#All],[Colunas2]],0))</f>
        <v xml:space="preserve">Pimentão Verde </v>
      </c>
      <c r="C228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8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8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8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8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8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8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8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8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8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8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8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8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8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8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8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8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8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8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8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8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8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8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8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8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8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8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8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8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8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8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8" s="121" t="e">
        <f ca="1">ROUNDUP(SUMIF($C$4:$AG$4,"&lt;="&amp;$B$3,Previsao_Hortfrut[[#This Row],[Colunas2]:[Colunas32]]),0)</f>
        <v>#VALUE!</v>
      </c>
    </row>
    <row r="229" spans="2:34" ht="18">
      <c r="B229" s="94" t="str">
        <f>INDEX(Cadastro_Hortfrut[[#All],[Colunas4]],MATCH(ROW()-5,Cadastro_Hortfrut[[#All],[Colunas2]],0))</f>
        <v xml:space="preserve">Pimentão Vermelho </v>
      </c>
      <c r="C229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9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9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9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9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9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9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9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9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9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9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9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9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9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9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9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9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9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9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9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9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9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9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9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9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9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9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9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9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9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9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9" s="121" t="e">
        <f ca="1">ROUNDUP(SUMIF($C$4:$AG$4,"&lt;="&amp;$B$3,Previsao_Hortfrut[[#This Row],[Colunas2]:[Colunas32]]),0)</f>
        <v>#VALUE!</v>
      </c>
    </row>
    <row r="230" spans="2:34" ht="18">
      <c r="B230" s="94" t="str">
        <f>INDEX(Cadastro_Hortfrut[[#All],[Colunas4]],MATCH(ROW()-5,Cadastro_Hortfrut[[#All],[Colunas2]],0))</f>
        <v>Quiabo</v>
      </c>
      <c r="C230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0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0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0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0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0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0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0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0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0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0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0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0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0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0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0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0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0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0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0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0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0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0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0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0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0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0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0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0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0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0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0" s="121" t="e">
        <f ca="1">ROUNDUP(SUMIF($C$4:$AG$4,"&lt;="&amp;$B$3,Previsao_Hortfrut[[#This Row],[Colunas2]:[Colunas32]]),0)</f>
        <v>#VALUE!</v>
      </c>
    </row>
    <row r="231" spans="2:34" ht="18">
      <c r="B231" s="94" t="str">
        <f>INDEX(Cadastro_Hortfrut[[#All],[Colunas4]],MATCH(ROW()-5,Cadastro_Hortfrut[[#All],[Colunas2]],0))</f>
        <v>Rabanete</v>
      </c>
      <c r="C231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1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1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1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1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1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1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1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1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1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1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1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1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1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1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1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1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1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1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1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1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1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1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1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1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1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1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1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1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1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1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1" s="121" t="e">
        <f ca="1">ROUNDUP(SUMIF($C$4:$AG$4,"&lt;="&amp;$B$3,Previsao_Hortfrut[[#This Row],[Colunas2]:[Colunas32]]),0)</f>
        <v>#VALUE!</v>
      </c>
    </row>
    <row r="232" spans="2:34" ht="18">
      <c r="B232" s="133" t="str">
        <f>INDEX(Cadastro_Hortfrut[[#All],[Colunas4]],MATCH(ROW()-5,Cadastro_Hortfrut[[#All],[Colunas2]],0))</f>
        <v xml:space="preserve">Repolho </v>
      </c>
      <c r="C232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2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2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2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2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2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2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2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2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2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2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2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2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2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2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2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2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2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2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2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2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2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2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2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2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2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2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2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2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2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2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2" s="135" t="e">
        <f ca="1">ROUNDUP(SUMIF($C$4:$AG$4,"&lt;="&amp;$B$3,Previsao_Hortfrut[[#This Row],[Colunas2]:[Colunas32]]),0)</f>
        <v>#VALUE!</v>
      </c>
    </row>
    <row r="233" spans="2:34" ht="18">
      <c r="B233" s="133" t="str">
        <f>INDEX(Cadastro_Hortfrut[[#All],[Colunas4]],MATCH(ROW()-5,Cadastro_Hortfrut[[#All],[Colunas2]],0))</f>
        <v>Repolho roxo</v>
      </c>
      <c r="C233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3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3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3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3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3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3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3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3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3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3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3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3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3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3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3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3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3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3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3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3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3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3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3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3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3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3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3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3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3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3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3" s="135" t="e">
        <f ca="1">ROUNDUP(SUMIF($C$4:$AG$4,"&lt;="&amp;$B$3,Previsao_Hortfrut[[#This Row],[Colunas2]:[Colunas32]]),0)</f>
        <v>#VALUE!</v>
      </c>
    </row>
    <row r="234" spans="2:34" ht="18">
      <c r="B234" s="133" t="str">
        <f>INDEX(Cadastro_Hortfrut[[#All],[Colunas4]],MATCH(ROW()-5,Cadastro_Hortfrut[[#All],[Colunas2]],0))</f>
        <v>Rúcula</v>
      </c>
      <c r="C234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4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4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4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4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4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4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4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4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4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4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4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4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4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4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4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4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4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4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4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4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4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4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4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4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4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4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4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4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4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4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4" s="135" t="e">
        <f ca="1">ROUNDUP(SUMIF($C$4:$AG$4,"&lt;="&amp;$B$3,Previsao_Hortfrut[[#This Row],[Colunas2]:[Colunas32]]),0)</f>
        <v>#VALUE!</v>
      </c>
    </row>
    <row r="235" spans="2:34" ht="18">
      <c r="B235" s="151" t="str">
        <f>INDEX(Cadastro_Hortfrut[[#All],[Colunas4]],MATCH(ROW()-5,Cadastro_Hortfrut[[#All],[Colunas2]],0))</f>
        <v>Salsa</v>
      </c>
      <c r="C235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5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5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5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5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5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5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5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5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5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5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5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5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5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5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5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5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5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5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5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5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5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5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5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5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5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5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5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5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5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5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5" s="155" t="e">
        <f ca="1">ROUNDUP(SUMIF($C$4:$AG$4,"&lt;="&amp;$B$3,Previsao_Hortfrut[[#This Row],[Colunas2]:[Colunas32]]),0)</f>
        <v>#VALUE!</v>
      </c>
    </row>
    <row r="236" spans="2:34" ht="18">
      <c r="B236" s="151" t="str">
        <f>INDEX(Cadastro_Hortfrut[[#All],[Colunas4]],MATCH(ROW()-5,Cadastro_Hortfrut[[#All],[Colunas2]],0))</f>
        <v>Salsão</v>
      </c>
      <c r="C236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6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6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6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6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6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6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6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6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6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6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6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6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6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6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6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6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6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6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6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6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6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6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6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6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6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6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6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6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6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6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6" s="155" t="e">
        <f ca="1">ROUNDUP(SUMIF($C$4:$AG$4,"&lt;="&amp;$B$3,Previsao_Hortfrut[[#This Row],[Colunas2]:[Colunas32]]),0)</f>
        <v>#VALUE!</v>
      </c>
    </row>
    <row r="237" spans="2:34" ht="18">
      <c r="B237" s="151" t="str">
        <f>INDEX(Cadastro_Hortfrut[[#All],[Colunas4]],MATCH(ROW()-5,Cadastro_Hortfrut[[#All],[Colunas2]],0))</f>
        <v>Tomate Cereja</v>
      </c>
      <c r="C237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7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7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7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7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7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7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7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7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7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7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7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7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7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7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7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7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7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7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7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7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7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7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7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7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7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7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7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7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7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7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7" s="155" t="e">
        <f ca="1">ROUNDUP(SUMIF($C$4:$AG$4,"&lt;="&amp;$B$3,Previsao_Hortfrut[[#This Row],[Colunas2]:[Colunas32]]),0)</f>
        <v>#VALUE!</v>
      </c>
    </row>
    <row r="238" spans="2:34" ht="18">
      <c r="B238" s="151" t="str">
        <f>INDEX(Cadastro_Hortfrut[[#All],[Colunas4]],MATCH(ROW()-5,Cadastro_Hortfrut[[#All],[Colunas2]],0))</f>
        <v>Tomate Molho</v>
      </c>
      <c r="C238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8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8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8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8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8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8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8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8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8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8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8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8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8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8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8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8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8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8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8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8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8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8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8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8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8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8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8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8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8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8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8" s="155" t="e">
        <f ca="1">ROUNDUP(SUMIF($C$4:$AG$4,"&lt;="&amp;$B$3,Previsao_Hortfrut[[#This Row],[Colunas2]:[Colunas32]]),0)</f>
        <v>#VALUE!</v>
      </c>
    </row>
    <row r="239" spans="2:34" ht="18">
      <c r="B239" s="151" t="str">
        <f>INDEX(Cadastro_Hortfrut[[#All],[Colunas4]],MATCH(ROW()-5,Cadastro_Hortfrut[[#All],[Colunas2]],0))</f>
        <v xml:space="preserve">Tomate Salada </v>
      </c>
      <c r="C239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9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9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9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9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9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9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9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9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9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9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9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9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9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9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9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9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9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9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9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9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9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9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9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9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9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9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9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9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9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9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9" s="155" t="e">
        <f ca="1">ROUNDUP(SUMIF($C$4:$AG$4,"&lt;="&amp;$B$3,Previsao_Hortfrut[[#This Row],[Colunas2]:[Colunas32]]),0)</f>
        <v>#VALUE!</v>
      </c>
    </row>
    <row r="240" spans="2:34" ht="18">
      <c r="B240" s="151" t="str">
        <f>INDEX(Cadastro_Hortfrut[[#All],[Colunas4]],MATCH(ROW()-5,Cadastro_Hortfrut[[#All],[Colunas2]],0))</f>
        <v>Uva</v>
      </c>
      <c r="C240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40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40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40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40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40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40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40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40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40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40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40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40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40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40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40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40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40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40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40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40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40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40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40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40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40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40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40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40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40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40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40" s="155" t="e">
        <f ca="1">ROUNDUP(SUMIF($C$4:$AG$4,"&lt;="&amp;$B$3,Previsao_Hortfrut[[#This Row],[Colunas2]:[Colunas32]]),0)</f>
        <v>#VALUE!</v>
      </c>
    </row>
    <row r="241" spans="2:34" ht="18">
      <c r="B241" s="94" t="str">
        <f>INDEX(Cadastro_Hortfrut[[#All],[Colunas4]],MATCH(ROW()-5,Cadastro_Hortfrut[[#All],[Colunas2]],0))</f>
        <v xml:space="preserve">Vagem </v>
      </c>
      <c r="C241" s="99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41" s="99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41" s="99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41" s="99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41" s="99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41" s="99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41" s="99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41" s="99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41" s="99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41" s="99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41" s="99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41" s="99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41" s="99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41" s="99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41" s="99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41" s="99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41" s="99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41" s="99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41" s="99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41" s="99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41" s="99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41" s="99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41" s="99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41" s="99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41" s="99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41" s="99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41" s="99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41" s="99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41" s="99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41" s="99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41" s="99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41" s="121" t="e">
        <f ca="1">ROUNDUP(SUMIF($C$4:$AG$4,"&lt;="&amp;$B$3,Previsao_Hortfrut[[#This Row],[Colunas2]:[Colunas32]]),0)</f>
        <v>#VALUE!</v>
      </c>
    </row>
  </sheetData>
  <sheetProtection password="C6E3" sheet="1" objects="1" scenarios="1"/>
  <mergeCells count="5">
    <mergeCell ref="B182:AH182"/>
    <mergeCell ref="B5:AH5"/>
    <mergeCell ref="B139:AH139"/>
    <mergeCell ref="B170:AH170"/>
    <mergeCell ref="B175:AH175"/>
  </mergeCells>
  <conditionalFormatting sqref="C4:AG4">
    <cfRule type="cellIs" dxfId="386" priority="14" operator="equal">
      <formula>$B$3</formula>
    </cfRule>
  </conditionalFormatting>
  <conditionalFormatting sqref="B6:B137 B140:B168 B171:B173 B176:B180 B183:B241 AH183:AH241 AH176:AH180 AH171:AH173 AH140:AH168 AH6:AH137">
    <cfRule type="expression" dxfId="385" priority="8">
      <formula>CELL("lin")=ROW()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"/>
  <dimension ref="B1:Q29"/>
  <sheetViews>
    <sheetView showGridLines="0" zoomScale="90" zoomScaleNormal="90" workbookViewId="0">
      <selection activeCell="G9" sqref="G9"/>
    </sheetView>
  </sheetViews>
  <sheetFormatPr defaultRowHeight="15"/>
  <cols>
    <col min="1" max="1" width="9.140625" style="22"/>
    <col min="2" max="2" width="25.140625" style="22" bestFit="1" customWidth="1"/>
    <col min="3" max="3" width="12" style="22" bestFit="1" customWidth="1"/>
    <col min="4" max="5" width="9.140625" style="22"/>
    <col min="6" max="6" width="19.85546875" style="22" bestFit="1" customWidth="1"/>
    <col min="7" max="7" width="11.28515625" style="22" bestFit="1" customWidth="1"/>
    <col min="8" max="9" width="9.140625" style="22"/>
    <col min="10" max="10" width="11" style="22" bestFit="1" customWidth="1"/>
    <col min="11" max="11" width="10.85546875" style="22" bestFit="1" customWidth="1"/>
    <col min="12" max="16" width="9.28515625" style="22" bestFit="1" customWidth="1"/>
    <col min="17" max="16384" width="9.140625" style="22"/>
  </cols>
  <sheetData>
    <row r="1" spans="2:17" ht="15.75" thickBot="1"/>
    <row r="2" spans="2:17" ht="29.25" thickBot="1">
      <c r="B2" s="497" t="s">
        <v>136</v>
      </c>
      <c r="C2" s="498"/>
      <c r="F2" s="490" t="s">
        <v>156</v>
      </c>
      <c r="G2" s="491"/>
      <c r="J2" s="23">
        <v>1</v>
      </c>
      <c r="K2" s="23">
        <v>2</v>
      </c>
      <c r="L2" s="23">
        <v>3</v>
      </c>
      <c r="M2" s="23">
        <v>4</v>
      </c>
      <c r="N2" s="23">
        <v>5</v>
      </c>
      <c r="O2" s="23">
        <v>6</v>
      </c>
      <c r="P2" s="23">
        <v>7</v>
      </c>
    </row>
    <row r="3" spans="2:17" ht="15.75" thickBot="1">
      <c r="B3" s="160" t="s">
        <v>126</v>
      </c>
      <c r="C3" s="161"/>
      <c r="F3" s="492"/>
      <c r="G3" s="493"/>
      <c r="J3" s="23">
        <f t="shared" ref="J3:P3" ca="1" si="0">COUNT(J5:J10)</f>
        <v>4</v>
      </c>
      <c r="K3" s="23">
        <f t="shared" ca="1" si="0"/>
        <v>4</v>
      </c>
      <c r="L3" s="23">
        <f t="shared" ca="1" si="0"/>
        <v>5</v>
      </c>
      <c r="M3" s="23">
        <f t="shared" ca="1" si="0"/>
        <v>5</v>
      </c>
      <c r="N3" s="23">
        <f t="shared" ca="1" si="0"/>
        <v>5</v>
      </c>
      <c r="O3" s="23">
        <f t="shared" ca="1" si="0"/>
        <v>4</v>
      </c>
      <c r="P3" s="23">
        <f t="shared" ca="1" si="0"/>
        <v>4</v>
      </c>
    </row>
    <row r="4" spans="2:17" ht="15.75" thickBot="1">
      <c r="B4" s="24" t="s">
        <v>137</v>
      </c>
      <c r="C4" s="25">
        <f ca="1">TODAY()</f>
        <v>44193</v>
      </c>
      <c r="D4" s="89"/>
      <c r="F4" s="26" t="s">
        <v>157</v>
      </c>
      <c r="G4" s="48" t="s">
        <v>167</v>
      </c>
      <c r="J4" s="27" t="s">
        <v>143</v>
      </c>
      <c r="K4" s="28" t="s">
        <v>144</v>
      </c>
      <c r="L4" s="28" t="s">
        <v>145</v>
      </c>
      <c r="M4" s="28" t="s">
        <v>146</v>
      </c>
      <c r="N4" s="28" t="s">
        <v>146</v>
      </c>
      <c r="O4" s="27" t="s">
        <v>144</v>
      </c>
      <c r="P4" s="27" t="s">
        <v>144</v>
      </c>
    </row>
    <row r="5" spans="2:17" ht="15.75" thickBot="1">
      <c r="B5" s="24" t="s">
        <v>139</v>
      </c>
      <c r="C5" s="248">
        <f t="array" aca="1" ref="C5" ca="1">IF(G8="Ligado",
          IF(DATE(YEAR(C4),MONTH(C4),1)&gt;DATE(C7,C6,C14),
              C14,
              IF(Configurações!C3=0,IF($G$9="Ligado",LARGE(BAIXAS!C2:AH2,1),
                   IF(COUNTIF(BAIXAS!D3:AH3,"&lt;"&amp;Configurações!C8) &lt; DAY(C4),
                         IF(COUNTIF(BAIXAS!D3:AH3,"&lt;"&amp;Configurações!C8)=0,
                         COUNTIF(BAIXAS!D3:AH3,"&lt;"&amp;Configurações!C8)+1,
                         COUNTIF(BAIXAS!D3:AH3,"&lt;"&amp;Configurações!C8)
                         ),
                         DAY(C4)
                     )),
                      IF(C3&lt;=DAY(C4),
                          C3,
                           DAY(C4)
                        )
               )
          )
    )</f>
        <v>24</v>
      </c>
      <c r="D5" s="89"/>
      <c r="F5" s="29"/>
      <c r="G5" s="29"/>
      <c r="J5" s="30" t="str">
        <f ca="1">IF(WEEKDAY($J$12)=J2,$J$12,IF(WEEKDAY($J$12)&gt;J2,"",I7+1))</f>
        <v/>
      </c>
      <c r="K5" s="31" t="str">
        <f t="shared" ref="K5:P5" ca="1" si="1">IF(WEEKDAY($J$12)=K2,$J$12,IF(WEEKDAY($J$12)&gt;K2,"",J5+1))</f>
        <v/>
      </c>
      <c r="L5" s="31">
        <f t="shared" ca="1" si="1"/>
        <v>44166</v>
      </c>
      <c r="M5" s="31">
        <f t="shared" ca="1" si="1"/>
        <v>44167</v>
      </c>
      <c r="N5" s="31">
        <f t="shared" ca="1" si="1"/>
        <v>44168</v>
      </c>
      <c r="O5" s="31">
        <f t="shared" ca="1" si="1"/>
        <v>44169</v>
      </c>
      <c r="P5" s="32">
        <f t="shared" ca="1" si="1"/>
        <v>44170</v>
      </c>
      <c r="Q5" s="209">
        <f t="shared" ref="Q5:Q10" ca="1" si="2">IFERROR(IF(DAY($C$4)&gt;=DAY(SMALL(J5:P5,1)),1,""),"")</f>
        <v>1</v>
      </c>
    </row>
    <row r="6" spans="2:17">
      <c r="B6" s="24" t="s">
        <v>140</v>
      </c>
      <c r="C6" s="66">
        <f t="array" aca="1" ref="C6" ca="1">VALUE(LEFT(MID(CELL("filename"),SEARCH("[",CELL("filename"))+1,SEARCH("]",CELL("filename"))-SEARCH("[",CELL("filename"))-1),2))</f>
        <v>12</v>
      </c>
      <c r="D6" s="89"/>
      <c r="F6" s="490" t="s">
        <v>149</v>
      </c>
      <c r="G6" s="491"/>
      <c r="J6" s="33">
        <f ca="1">P5+1</f>
        <v>44171</v>
      </c>
      <c r="K6" s="34">
        <f t="shared" ref="K6:P6" ca="1" si="3">J6+1</f>
        <v>44172</v>
      </c>
      <c r="L6" s="34">
        <f t="shared" ca="1" si="3"/>
        <v>44173</v>
      </c>
      <c r="M6" s="34">
        <f t="shared" ca="1" si="3"/>
        <v>44174</v>
      </c>
      <c r="N6" s="34">
        <f ca="1">M6+1</f>
        <v>44175</v>
      </c>
      <c r="O6" s="34">
        <f t="shared" ca="1" si="3"/>
        <v>44176</v>
      </c>
      <c r="P6" s="35">
        <f t="shared" ca="1" si="3"/>
        <v>44177</v>
      </c>
      <c r="Q6" s="209">
        <f t="shared" ca="1" si="2"/>
        <v>1</v>
      </c>
    </row>
    <row r="7" spans="2:17" ht="15.75" thickBot="1">
      <c r="B7" s="24" t="s">
        <v>142</v>
      </c>
      <c r="C7" s="162">
        <f t="array" aca="1" ref="C7" ca="1">VALUE(RIGHT(MID(MID(CELL("filename"),SEARCH("[",CELL("filename")),SEARCH("]",CELL("filename"))-SEARCH("[",CELL("filename"))-1),FIND(" - ",MID(CELL("filename"),SEARCH("[",CELL("filename")),SEARCH("]",CELL("filename"))-SEARCH("[",CELL("filename"))-1)),7),4))</f>
        <v>2020</v>
      </c>
      <c r="F7" s="492"/>
      <c r="G7" s="493"/>
      <c r="J7" s="33">
        <f ca="1">P6+1</f>
        <v>44178</v>
      </c>
      <c r="K7" s="34">
        <f t="shared" ref="K7:P7" ca="1" si="4">J7+1</f>
        <v>44179</v>
      </c>
      <c r="L7" s="34">
        <f t="shared" ca="1" si="4"/>
        <v>44180</v>
      </c>
      <c r="M7" s="34">
        <f t="shared" ca="1" si="4"/>
        <v>44181</v>
      </c>
      <c r="N7" s="34">
        <f t="shared" ca="1" si="4"/>
        <v>44182</v>
      </c>
      <c r="O7" s="34">
        <f t="shared" ca="1" si="4"/>
        <v>44183</v>
      </c>
      <c r="P7" s="35">
        <f t="shared" ca="1" si="4"/>
        <v>44184</v>
      </c>
      <c r="Q7" s="209">
        <f t="shared" ca="1" si="2"/>
        <v>1</v>
      </c>
    </row>
    <row r="8" spans="2:17" ht="15.75" thickBot="1">
      <c r="B8" s="36" t="s">
        <v>138</v>
      </c>
      <c r="C8" s="37">
        <v>342</v>
      </c>
      <c r="F8" s="38" t="s">
        <v>150</v>
      </c>
      <c r="G8" s="49" t="s">
        <v>158</v>
      </c>
      <c r="J8" s="33">
        <f ca="1">P7+1</f>
        <v>44185</v>
      </c>
      <c r="K8" s="34">
        <f t="shared" ref="K8:P8" ca="1" si="5">J8+1</f>
        <v>44186</v>
      </c>
      <c r="L8" s="34">
        <f t="shared" ca="1" si="5"/>
        <v>44187</v>
      </c>
      <c r="M8" s="34">
        <f t="shared" ca="1" si="5"/>
        <v>44188</v>
      </c>
      <c r="N8" s="34">
        <f t="shared" ca="1" si="5"/>
        <v>44189</v>
      </c>
      <c r="O8" s="34">
        <f t="shared" ca="1" si="5"/>
        <v>44190</v>
      </c>
      <c r="P8" s="35">
        <f t="shared" ca="1" si="5"/>
        <v>44191</v>
      </c>
      <c r="Q8" s="209">
        <f t="shared" ca="1" si="2"/>
        <v>1</v>
      </c>
    </row>
    <row r="9" spans="2:17">
      <c r="F9" s="38" t="s">
        <v>191</v>
      </c>
      <c r="G9" s="49" t="s">
        <v>158</v>
      </c>
      <c r="J9" s="33">
        <f ca="1">IFERROR(IF(MONTH(P8+1)&lt;&gt;MONTH(P8),"",P8+1),"")</f>
        <v>44192</v>
      </c>
      <c r="K9" s="34">
        <f t="shared" ref="K9:P10" ca="1" si="6">IFERROR(IF(MONTH(J9+1)&lt;&gt;MONTH(J9),"",J9+1),"")</f>
        <v>44193</v>
      </c>
      <c r="L9" s="34">
        <f t="shared" ca="1" si="6"/>
        <v>44194</v>
      </c>
      <c r="M9" s="34">
        <f t="shared" ca="1" si="6"/>
        <v>44195</v>
      </c>
      <c r="N9" s="34">
        <f t="shared" ca="1" si="6"/>
        <v>44196</v>
      </c>
      <c r="O9" s="34" t="str">
        <f t="shared" ca="1" si="6"/>
        <v/>
      </c>
      <c r="P9" s="35" t="str">
        <f t="shared" ca="1" si="6"/>
        <v/>
      </c>
      <c r="Q9" s="209">
        <f t="shared" ca="1" si="2"/>
        <v>1</v>
      </c>
    </row>
    <row r="10" spans="2:17" ht="15.75" thickBot="1">
      <c r="F10" s="39" t="s">
        <v>122</v>
      </c>
      <c r="G10" s="50" t="s">
        <v>158</v>
      </c>
      <c r="J10" s="41" t="str">
        <f ca="1">IFERROR(IF(MONTH(P9+1)&lt;&gt;MONTH(P9),"",P9+1),"")</f>
        <v/>
      </c>
      <c r="K10" s="42" t="str">
        <f t="shared" ca="1" si="6"/>
        <v/>
      </c>
      <c r="L10" s="42" t="str">
        <f t="shared" ca="1" si="6"/>
        <v/>
      </c>
      <c r="M10" s="42" t="str">
        <f t="shared" ca="1" si="6"/>
        <v/>
      </c>
      <c r="N10" s="42" t="str">
        <f t="shared" ca="1" si="6"/>
        <v/>
      </c>
      <c r="O10" s="42" t="str">
        <f t="shared" ca="1" si="6"/>
        <v/>
      </c>
      <c r="P10" s="43" t="str">
        <f t="shared" ca="1" si="6"/>
        <v/>
      </c>
      <c r="Q10" s="209" t="str">
        <f t="shared" ca="1" si="2"/>
        <v/>
      </c>
    </row>
    <row r="11" spans="2:17" ht="15.75" thickBot="1">
      <c r="F11" s="40" t="s">
        <v>162</v>
      </c>
      <c r="G11" s="51" t="s">
        <v>126</v>
      </c>
      <c r="J11" s="23">
        <f ca="1">COUNTIF(J5:J10,"&gt;0")</f>
        <v>4</v>
      </c>
      <c r="K11" s="23">
        <f t="shared" ref="K11:P11" ca="1" si="7">COUNTIF(K5:K10,"&gt;0")</f>
        <v>4</v>
      </c>
      <c r="L11" s="23">
        <f t="shared" ca="1" si="7"/>
        <v>5</v>
      </c>
      <c r="M11" s="23">
        <f t="shared" ca="1" si="7"/>
        <v>5</v>
      </c>
      <c r="N11" s="23">
        <f t="shared" ca="1" si="7"/>
        <v>5</v>
      </c>
      <c r="O11" s="23">
        <f t="shared" ca="1" si="7"/>
        <v>4</v>
      </c>
      <c r="P11" s="23">
        <f t="shared" ca="1" si="7"/>
        <v>4</v>
      </c>
      <c r="Q11" s="46">
        <f ca="1">SUM(Q5:Q10)</f>
        <v>5</v>
      </c>
    </row>
    <row r="12" spans="2:17" ht="23.25" thickBot="1">
      <c r="B12" s="499" t="s">
        <v>141</v>
      </c>
      <c r="C12" s="500"/>
      <c r="F12" s="44" t="s">
        <v>152</v>
      </c>
      <c r="G12" s="52" t="s">
        <v>158</v>
      </c>
      <c r="J12" s="494">
        <f ca="1">DATE(IF(C7="",YEAR(C4),C7),IF(C6="",MONTH(C4),C6),1)</f>
        <v>44166</v>
      </c>
      <c r="K12" s="495"/>
      <c r="L12" s="495"/>
      <c r="M12" s="495"/>
      <c r="N12" s="495"/>
      <c r="O12" s="495"/>
      <c r="P12" s="496"/>
    </row>
    <row r="13" spans="2:17" ht="15" customHeight="1" thickBot="1">
      <c r="B13" s="503"/>
      <c r="C13" s="504"/>
      <c r="F13" s="29"/>
      <c r="G13" s="29"/>
      <c r="J13" s="55"/>
      <c r="K13" s="46"/>
    </row>
    <row r="14" spans="2:17">
      <c r="B14" s="147" t="s">
        <v>325</v>
      </c>
      <c r="C14" s="20">
        <f ca="1">DAY(LARGE(J5:P10,1))</f>
        <v>31</v>
      </c>
      <c r="F14" s="490" t="s">
        <v>151</v>
      </c>
      <c r="G14" s="491"/>
    </row>
    <row r="15" spans="2:17" ht="15.75" thickBot="1">
      <c r="B15" s="501"/>
      <c r="C15" s="502"/>
      <c r="F15" s="492"/>
      <c r="G15" s="493"/>
      <c r="J15" s="55"/>
    </row>
    <row r="16" spans="2:17">
      <c r="B16" s="45" t="s">
        <v>147</v>
      </c>
      <c r="C16" s="19">
        <f ca="1">EOMONTH(DATE(IF($C$7="",YEAR($C$4),$C$7),IF($C$6="",MONTH($C$3),$C$6),1),11)</f>
        <v>44530</v>
      </c>
      <c r="F16" s="38" t="s">
        <v>150</v>
      </c>
      <c r="G16" s="49" t="s">
        <v>158</v>
      </c>
    </row>
    <row r="17" spans="2:11" ht="15" customHeight="1">
      <c r="B17" s="501"/>
      <c r="C17" s="502"/>
      <c r="F17" s="39" t="s">
        <v>122</v>
      </c>
      <c r="G17" s="50" t="s">
        <v>158</v>
      </c>
      <c r="K17" s="46"/>
    </row>
    <row r="18" spans="2:11" ht="15" customHeight="1">
      <c r="B18" s="45" t="s">
        <v>148</v>
      </c>
      <c r="C18" s="20">
        <f ca="1">INT((DATE(IF($C$7="",YEAR($C$4),$C$7),IF($C$6="",MONTH($C$3),$C$6)+1,0)-DATE(IF($C$7="",YEAR($C$4),$C$7),IF($C$6="",MONTH($C$3),$C$6),1))/7)</f>
        <v>4</v>
      </c>
      <c r="F18" s="40" t="s">
        <v>162</v>
      </c>
      <c r="G18" s="50" t="s">
        <v>163</v>
      </c>
    </row>
    <row r="19" spans="2:11">
      <c r="B19" s="45" t="s">
        <v>165</v>
      </c>
      <c r="C19" s="21">
        <f ca="1">WEEKNUM(DATE(C7,C6,DAY(C4)))-WEEKNUM(DATE(C7,C6,1))</f>
        <v>4</v>
      </c>
      <c r="F19" s="40" t="s">
        <v>188</v>
      </c>
      <c r="G19" s="51" t="s">
        <v>189</v>
      </c>
    </row>
    <row r="20" spans="2:11" ht="15.75" customHeight="1" thickBot="1">
      <c r="B20" s="54" t="s">
        <v>190</v>
      </c>
      <c r="C20" s="56">
        <f ca="1">WEEKNUM(DATE(C7,C6,DAY(C5)))-WEEKNUM(DATE(C7,C6,1))</f>
        <v>3</v>
      </c>
      <c r="F20" s="44" t="s">
        <v>152</v>
      </c>
      <c r="G20" s="52" t="s">
        <v>158</v>
      </c>
    </row>
    <row r="21" spans="2:11" ht="15.75" customHeight="1" thickBot="1">
      <c r="B21" s="501"/>
      <c r="C21" s="502"/>
    </row>
    <row r="22" spans="2:11" ht="15.75" customHeight="1">
      <c r="B22" s="45" t="s">
        <v>159</v>
      </c>
      <c r="C22" s="16">
        <f ca="1">ROUNDDOWN(AVERAGE(K3:N3),0)</f>
        <v>4</v>
      </c>
      <c r="F22" s="490" t="s">
        <v>153</v>
      </c>
      <c r="G22" s="491"/>
    </row>
    <row r="23" spans="2:11" ht="15.75" thickBot="1">
      <c r="B23" s="45" t="s">
        <v>160</v>
      </c>
      <c r="C23" s="16">
        <f ca="1">ROUNDDOWN(AVERAGE(J3,O3,P3),0)</f>
        <v>4</v>
      </c>
      <c r="F23" s="492"/>
      <c r="G23" s="493"/>
    </row>
    <row r="24" spans="2:11" ht="15.75" thickBot="1">
      <c r="B24" s="47" t="s">
        <v>161</v>
      </c>
      <c r="C24" s="15">
        <f ca="1">SUM(C22:C23)</f>
        <v>8</v>
      </c>
      <c r="F24" s="38" t="s">
        <v>154</v>
      </c>
      <c r="G24" s="49" t="s">
        <v>167</v>
      </c>
    </row>
    <row r="25" spans="2:11" ht="15" customHeight="1">
      <c r="F25" s="38" t="s">
        <v>192</v>
      </c>
      <c r="G25" s="49" t="s">
        <v>218</v>
      </c>
    </row>
    <row r="26" spans="2:11" ht="15" customHeight="1" thickBot="1">
      <c r="F26" s="44" t="s">
        <v>155</v>
      </c>
      <c r="G26" s="52" t="s">
        <v>167</v>
      </c>
    </row>
    <row r="29" spans="2:11" ht="15.75" customHeight="1"/>
  </sheetData>
  <sheetProtection password="C6E3" sheet="1" objects="1" scenarios="1" selectLockedCells="1"/>
  <dataConsolidate/>
  <mergeCells count="11">
    <mergeCell ref="F6:G7"/>
    <mergeCell ref="F14:G15"/>
    <mergeCell ref="J12:P12"/>
    <mergeCell ref="F22:G23"/>
    <mergeCell ref="B2:C2"/>
    <mergeCell ref="B12:C12"/>
    <mergeCell ref="B21:C21"/>
    <mergeCell ref="B17:C17"/>
    <mergeCell ref="B15:C15"/>
    <mergeCell ref="B13:C13"/>
    <mergeCell ref="F2:G3"/>
  </mergeCells>
  <conditionalFormatting sqref="G24 G26 G20 G16:G17 G12 G4 G8:G10">
    <cfRule type="cellIs" dxfId="50" priority="6" stopIfTrue="1" operator="equal">
      <formula>"Desligado"</formula>
    </cfRule>
    <cfRule type="cellIs" dxfId="49" priority="7" stopIfTrue="1" operator="equal">
      <formula>"Ligado"</formula>
    </cfRule>
  </conditionalFormatting>
  <dataValidations count="5">
    <dataValidation type="list" allowBlank="1" showInputMessage="1" showErrorMessage="1" sqref="G8:G10 G20 G16:G17 G12 G4 G24 G26">
      <formula1>"Ligado,Desligado"</formula1>
    </dataValidation>
    <dataValidation type="list" allowBlank="1" showInputMessage="1" showErrorMessage="1" sqref="G18">
      <formula1>"Semana,Ocorrencia"</formula1>
    </dataValidation>
    <dataValidation type="list" allowBlank="1" showInputMessage="1" showErrorMessage="1" sqref="G11">
      <formula1>"Dia,Ocorrencia"</formula1>
    </dataValidation>
    <dataValidation type="list" allowBlank="1" showInputMessage="1" showErrorMessage="1" sqref="G19">
      <formula1>"Contar, Não Contar"</formula1>
    </dataValidation>
    <dataValidation type="list" allowBlank="1" showInputMessage="1" showErrorMessage="1" sqref="G25">
      <formula1>"Funcionario,Hospedes,Ambos"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webPublishItems count="1">
    <webPublishItem id="2128" divId="Branco_2128" sourceType="sheet" destinationFile="C:\Users\NARAUJO\Desktop\Branco.htm" title="43"/>
  </webPublishItems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6"/>
  <dimension ref="A1:O1725"/>
  <sheetViews>
    <sheetView showGridLines="0" zoomScaleNormal="100" workbookViewId="0">
      <pane ySplit="1" topLeftCell="A23" activePane="bottomLeft" state="frozen"/>
      <selection activeCell="G219" sqref="G219"/>
      <selection pane="bottomLeft" activeCell="K88" sqref="K88"/>
    </sheetView>
  </sheetViews>
  <sheetFormatPr defaultRowHeight="12.75"/>
  <cols>
    <col min="1" max="1" width="16.7109375" style="203" bestFit="1" customWidth="1"/>
    <col min="2" max="2" width="19.28515625" style="204" bestFit="1" customWidth="1"/>
    <col min="3" max="3" width="14.5703125" style="204" bestFit="1" customWidth="1"/>
    <col min="4" max="4" width="20.7109375" style="204" bestFit="1" customWidth="1"/>
    <col min="5" max="5" width="19" style="205" bestFit="1" customWidth="1"/>
    <col min="6" max="6" width="20" style="205" bestFit="1" customWidth="1"/>
    <col min="7" max="7" width="20.42578125" style="205" bestFit="1" customWidth="1"/>
    <col min="8" max="8" width="11.5703125" style="203" bestFit="1" customWidth="1"/>
    <col min="9" max="256" width="9.140625" style="148"/>
    <col min="257" max="257" width="31.42578125" style="148" customWidth="1"/>
    <col min="258" max="258" width="9.140625" style="148"/>
    <col min="259" max="259" width="19.85546875" style="148" customWidth="1"/>
    <col min="260" max="260" width="20.5703125" style="148" customWidth="1"/>
    <col min="261" max="512" width="9.140625" style="148"/>
    <col min="513" max="513" width="31.42578125" style="148" customWidth="1"/>
    <col min="514" max="514" width="9.140625" style="148"/>
    <col min="515" max="515" width="19.85546875" style="148" customWidth="1"/>
    <col min="516" max="516" width="20.5703125" style="148" customWidth="1"/>
    <col min="517" max="768" width="9.140625" style="148"/>
    <col min="769" max="769" width="31.42578125" style="148" customWidth="1"/>
    <col min="770" max="770" width="9.140625" style="148"/>
    <col min="771" max="771" width="19.85546875" style="148" customWidth="1"/>
    <col min="772" max="772" width="20.5703125" style="148" customWidth="1"/>
    <col min="773" max="1024" width="9.140625" style="148"/>
    <col min="1025" max="1025" width="31.42578125" style="148" customWidth="1"/>
    <col min="1026" max="1026" width="9.140625" style="148"/>
    <col min="1027" max="1027" width="19.85546875" style="148" customWidth="1"/>
    <col min="1028" max="1028" width="20.5703125" style="148" customWidth="1"/>
    <col min="1029" max="1280" width="9.140625" style="148"/>
    <col min="1281" max="1281" width="31.42578125" style="148" customWidth="1"/>
    <col min="1282" max="1282" width="9.140625" style="148"/>
    <col min="1283" max="1283" width="19.85546875" style="148" customWidth="1"/>
    <col min="1284" max="1284" width="20.5703125" style="148" customWidth="1"/>
    <col min="1285" max="1536" width="9.140625" style="148"/>
    <col min="1537" max="1537" width="31.42578125" style="148" customWidth="1"/>
    <col min="1538" max="1538" width="9.140625" style="148"/>
    <col min="1539" max="1539" width="19.85546875" style="148" customWidth="1"/>
    <col min="1540" max="1540" width="20.5703125" style="148" customWidth="1"/>
    <col min="1541" max="1792" width="9.140625" style="148"/>
    <col min="1793" max="1793" width="31.42578125" style="148" customWidth="1"/>
    <col min="1794" max="1794" width="9.140625" style="148"/>
    <col min="1795" max="1795" width="19.85546875" style="148" customWidth="1"/>
    <col min="1796" max="1796" width="20.5703125" style="148" customWidth="1"/>
    <col min="1797" max="2048" width="9.140625" style="148"/>
    <col min="2049" max="2049" width="31.42578125" style="148" customWidth="1"/>
    <col min="2050" max="2050" width="9.140625" style="148"/>
    <col min="2051" max="2051" width="19.85546875" style="148" customWidth="1"/>
    <col min="2052" max="2052" width="20.5703125" style="148" customWidth="1"/>
    <col min="2053" max="2304" width="9.140625" style="148"/>
    <col min="2305" max="2305" width="31.42578125" style="148" customWidth="1"/>
    <col min="2306" max="2306" width="9.140625" style="148"/>
    <col min="2307" max="2307" width="19.85546875" style="148" customWidth="1"/>
    <col min="2308" max="2308" width="20.5703125" style="148" customWidth="1"/>
    <col min="2309" max="2560" width="9.140625" style="148"/>
    <col min="2561" max="2561" width="31.42578125" style="148" customWidth="1"/>
    <col min="2562" max="2562" width="9.140625" style="148"/>
    <col min="2563" max="2563" width="19.85546875" style="148" customWidth="1"/>
    <col min="2564" max="2564" width="20.5703125" style="148" customWidth="1"/>
    <col min="2565" max="2816" width="9.140625" style="148"/>
    <col min="2817" max="2817" width="31.42578125" style="148" customWidth="1"/>
    <col min="2818" max="2818" width="9.140625" style="148"/>
    <col min="2819" max="2819" width="19.85546875" style="148" customWidth="1"/>
    <col min="2820" max="2820" width="20.5703125" style="148" customWidth="1"/>
    <col min="2821" max="3072" width="9.140625" style="148"/>
    <col min="3073" max="3073" width="31.42578125" style="148" customWidth="1"/>
    <col min="3074" max="3074" width="9.140625" style="148"/>
    <col min="3075" max="3075" width="19.85546875" style="148" customWidth="1"/>
    <col min="3076" max="3076" width="20.5703125" style="148" customWidth="1"/>
    <col min="3077" max="3328" width="9.140625" style="148"/>
    <col min="3329" max="3329" width="31.42578125" style="148" customWidth="1"/>
    <col min="3330" max="3330" width="9.140625" style="148"/>
    <col min="3331" max="3331" width="19.85546875" style="148" customWidth="1"/>
    <col min="3332" max="3332" width="20.5703125" style="148" customWidth="1"/>
    <col min="3333" max="3584" width="9.140625" style="148"/>
    <col min="3585" max="3585" width="31.42578125" style="148" customWidth="1"/>
    <col min="3586" max="3586" width="9.140625" style="148"/>
    <col min="3587" max="3587" width="19.85546875" style="148" customWidth="1"/>
    <col min="3588" max="3588" width="20.5703125" style="148" customWidth="1"/>
    <col min="3589" max="3840" width="9.140625" style="148"/>
    <col min="3841" max="3841" width="31.42578125" style="148" customWidth="1"/>
    <col min="3842" max="3842" width="9.140625" style="148"/>
    <col min="3843" max="3843" width="19.85546875" style="148" customWidth="1"/>
    <col min="3844" max="3844" width="20.5703125" style="148" customWidth="1"/>
    <col min="3845" max="4096" width="9.140625" style="148"/>
    <col min="4097" max="4097" width="31.42578125" style="148" customWidth="1"/>
    <col min="4098" max="4098" width="9.140625" style="148"/>
    <col min="4099" max="4099" width="19.85546875" style="148" customWidth="1"/>
    <col min="4100" max="4100" width="20.5703125" style="148" customWidth="1"/>
    <col min="4101" max="4352" width="9.140625" style="148"/>
    <col min="4353" max="4353" width="31.42578125" style="148" customWidth="1"/>
    <col min="4354" max="4354" width="9.140625" style="148"/>
    <col min="4355" max="4355" width="19.85546875" style="148" customWidth="1"/>
    <col min="4356" max="4356" width="20.5703125" style="148" customWidth="1"/>
    <col min="4357" max="4608" width="9.140625" style="148"/>
    <col min="4609" max="4609" width="31.42578125" style="148" customWidth="1"/>
    <col min="4610" max="4610" width="9.140625" style="148"/>
    <col min="4611" max="4611" width="19.85546875" style="148" customWidth="1"/>
    <col min="4612" max="4612" width="20.5703125" style="148" customWidth="1"/>
    <col min="4613" max="4864" width="9.140625" style="148"/>
    <col min="4865" max="4865" width="31.42578125" style="148" customWidth="1"/>
    <col min="4866" max="4866" width="9.140625" style="148"/>
    <col min="4867" max="4867" width="19.85546875" style="148" customWidth="1"/>
    <col min="4868" max="4868" width="20.5703125" style="148" customWidth="1"/>
    <col min="4869" max="5120" width="9.140625" style="148"/>
    <col min="5121" max="5121" width="31.42578125" style="148" customWidth="1"/>
    <col min="5122" max="5122" width="9.140625" style="148"/>
    <col min="5123" max="5123" width="19.85546875" style="148" customWidth="1"/>
    <col min="5124" max="5124" width="20.5703125" style="148" customWidth="1"/>
    <col min="5125" max="5376" width="9.140625" style="148"/>
    <col min="5377" max="5377" width="31.42578125" style="148" customWidth="1"/>
    <col min="5378" max="5378" width="9.140625" style="148"/>
    <col min="5379" max="5379" width="19.85546875" style="148" customWidth="1"/>
    <col min="5380" max="5380" width="20.5703125" style="148" customWidth="1"/>
    <col min="5381" max="5632" width="9.140625" style="148"/>
    <col min="5633" max="5633" width="31.42578125" style="148" customWidth="1"/>
    <col min="5634" max="5634" width="9.140625" style="148"/>
    <col min="5635" max="5635" width="19.85546875" style="148" customWidth="1"/>
    <col min="5636" max="5636" width="20.5703125" style="148" customWidth="1"/>
    <col min="5637" max="5888" width="9.140625" style="148"/>
    <col min="5889" max="5889" width="31.42578125" style="148" customWidth="1"/>
    <col min="5890" max="5890" width="9.140625" style="148"/>
    <col min="5891" max="5891" width="19.85546875" style="148" customWidth="1"/>
    <col min="5892" max="5892" width="20.5703125" style="148" customWidth="1"/>
    <col min="5893" max="6144" width="9.140625" style="148"/>
    <col min="6145" max="6145" width="31.42578125" style="148" customWidth="1"/>
    <col min="6146" max="6146" width="9.140625" style="148"/>
    <col min="6147" max="6147" width="19.85546875" style="148" customWidth="1"/>
    <col min="6148" max="6148" width="20.5703125" style="148" customWidth="1"/>
    <col min="6149" max="6400" width="9.140625" style="148"/>
    <col min="6401" max="6401" width="31.42578125" style="148" customWidth="1"/>
    <col min="6402" max="6402" width="9.140625" style="148"/>
    <col min="6403" max="6403" width="19.85546875" style="148" customWidth="1"/>
    <col min="6404" max="6404" width="20.5703125" style="148" customWidth="1"/>
    <col min="6405" max="6656" width="9.140625" style="148"/>
    <col min="6657" max="6657" width="31.42578125" style="148" customWidth="1"/>
    <col min="6658" max="6658" width="9.140625" style="148"/>
    <col min="6659" max="6659" width="19.85546875" style="148" customWidth="1"/>
    <col min="6660" max="6660" width="20.5703125" style="148" customWidth="1"/>
    <col min="6661" max="6912" width="9.140625" style="148"/>
    <col min="6913" max="6913" width="31.42578125" style="148" customWidth="1"/>
    <col min="6914" max="6914" width="9.140625" style="148"/>
    <col min="6915" max="6915" width="19.85546875" style="148" customWidth="1"/>
    <col min="6916" max="6916" width="20.5703125" style="148" customWidth="1"/>
    <col min="6917" max="7168" width="9.140625" style="148"/>
    <col min="7169" max="7169" width="31.42578125" style="148" customWidth="1"/>
    <col min="7170" max="7170" width="9.140625" style="148"/>
    <col min="7171" max="7171" width="19.85546875" style="148" customWidth="1"/>
    <col min="7172" max="7172" width="20.5703125" style="148" customWidth="1"/>
    <col min="7173" max="7424" width="9.140625" style="148"/>
    <col min="7425" max="7425" width="31.42578125" style="148" customWidth="1"/>
    <col min="7426" max="7426" width="9.140625" style="148"/>
    <col min="7427" max="7427" width="19.85546875" style="148" customWidth="1"/>
    <col min="7428" max="7428" width="20.5703125" style="148" customWidth="1"/>
    <col min="7429" max="7680" width="9.140625" style="148"/>
    <col min="7681" max="7681" width="31.42578125" style="148" customWidth="1"/>
    <col min="7682" max="7682" width="9.140625" style="148"/>
    <col min="7683" max="7683" width="19.85546875" style="148" customWidth="1"/>
    <col min="7684" max="7684" width="20.5703125" style="148" customWidth="1"/>
    <col min="7685" max="7936" width="9.140625" style="148"/>
    <col min="7937" max="7937" width="31.42578125" style="148" customWidth="1"/>
    <col min="7938" max="7938" width="9.140625" style="148"/>
    <col min="7939" max="7939" width="19.85546875" style="148" customWidth="1"/>
    <col min="7940" max="7940" width="20.5703125" style="148" customWidth="1"/>
    <col min="7941" max="8192" width="9.140625" style="148"/>
    <col min="8193" max="8193" width="31.42578125" style="148" customWidth="1"/>
    <col min="8194" max="8194" width="9.140625" style="148"/>
    <col min="8195" max="8195" width="19.85546875" style="148" customWidth="1"/>
    <col min="8196" max="8196" width="20.5703125" style="148" customWidth="1"/>
    <col min="8197" max="8448" width="9.140625" style="148"/>
    <col min="8449" max="8449" width="31.42578125" style="148" customWidth="1"/>
    <col min="8450" max="8450" width="9.140625" style="148"/>
    <col min="8451" max="8451" width="19.85546875" style="148" customWidth="1"/>
    <col min="8452" max="8452" width="20.5703125" style="148" customWidth="1"/>
    <col min="8453" max="8704" width="9.140625" style="148"/>
    <col min="8705" max="8705" width="31.42578125" style="148" customWidth="1"/>
    <col min="8706" max="8706" width="9.140625" style="148"/>
    <col min="8707" max="8707" width="19.85546875" style="148" customWidth="1"/>
    <col min="8708" max="8708" width="20.5703125" style="148" customWidth="1"/>
    <col min="8709" max="8960" width="9.140625" style="148"/>
    <col min="8961" max="8961" width="31.42578125" style="148" customWidth="1"/>
    <col min="8962" max="8962" width="9.140625" style="148"/>
    <col min="8963" max="8963" width="19.85546875" style="148" customWidth="1"/>
    <col min="8964" max="8964" width="20.5703125" style="148" customWidth="1"/>
    <col min="8965" max="9216" width="9.140625" style="148"/>
    <col min="9217" max="9217" width="31.42578125" style="148" customWidth="1"/>
    <col min="9218" max="9218" width="9.140625" style="148"/>
    <col min="9219" max="9219" width="19.85546875" style="148" customWidth="1"/>
    <col min="9220" max="9220" width="20.5703125" style="148" customWidth="1"/>
    <col min="9221" max="9472" width="9.140625" style="148"/>
    <col min="9473" max="9473" width="31.42578125" style="148" customWidth="1"/>
    <col min="9474" max="9474" width="9.140625" style="148"/>
    <col min="9475" max="9475" width="19.85546875" style="148" customWidth="1"/>
    <col min="9476" max="9476" width="20.5703125" style="148" customWidth="1"/>
    <col min="9477" max="9728" width="9.140625" style="148"/>
    <col min="9729" max="9729" width="31.42578125" style="148" customWidth="1"/>
    <col min="9730" max="9730" width="9.140625" style="148"/>
    <col min="9731" max="9731" width="19.85546875" style="148" customWidth="1"/>
    <col min="9732" max="9732" width="20.5703125" style="148" customWidth="1"/>
    <col min="9733" max="9984" width="9.140625" style="148"/>
    <col min="9985" max="9985" width="31.42578125" style="148" customWidth="1"/>
    <col min="9986" max="9986" width="9.140625" style="148"/>
    <col min="9987" max="9987" width="19.85546875" style="148" customWidth="1"/>
    <col min="9988" max="9988" width="20.5703125" style="148" customWidth="1"/>
    <col min="9989" max="10240" width="9.140625" style="148"/>
    <col min="10241" max="10241" width="31.42578125" style="148" customWidth="1"/>
    <col min="10242" max="10242" width="9.140625" style="148"/>
    <col min="10243" max="10243" width="19.85546875" style="148" customWidth="1"/>
    <col min="10244" max="10244" width="20.5703125" style="148" customWidth="1"/>
    <col min="10245" max="10496" width="9.140625" style="148"/>
    <col min="10497" max="10497" width="31.42578125" style="148" customWidth="1"/>
    <col min="10498" max="10498" width="9.140625" style="148"/>
    <col min="10499" max="10499" width="19.85546875" style="148" customWidth="1"/>
    <col min="10500" max="10500" width="20.5703125" style="148" customWidth="1"/>
    <col min="10501" max="10752" width="9.140625" style="148"/>
    <col min="10753" max="10753" width="31.42578125" style="148" customWidth="1"/>
    <col min="10754" max="10754" width="9.140625" style="148"/>
    <col min="10755" max="10755" width="19.85546875" style="148" customWidth="1"/>
    <col min="10756" max="10756" width="20.5703125" style="148" customWidth="1"/>
    <col min="10757" max="11008" width="9.140625" style="148"/>
    <col min="11009" max="11009" width="31.42578125" style="148" customWidth="1"/>
    <col min="11010" max="11010" width="9.140625" style="148"/>
    <col min="11011" max="11011" width="19.85546875" style="148" customWidth="1"/>
    <col min="11012" max="11012" width="20.5703125" style="148" customWidth="1"/>
    <col min="11013" max="11264" width="9.140625" style="148"/>
    <col min="11265" max="11265" width="31.42578125" style="148" customWidth="1"/>
    <col min="11266" max="11266" width="9.140625" style="148"/>
    <col min="11267" max="11267" width="19.85546875" style="148" customWidth="1"/>
    <col min="11268" max="11268" width="20.5703125" style="148" customWidth="1"/>
    <col min="11269" max="11520" width="9.140625" style="148"/>
    <col min="11521" max="11521" width="31.42578125" style="148" customWidth="1"/>
    <col min="11522" max="11522" width="9.140625" style="148"/>
    <col min="11523" max="11523" width="19.85546875" style="148" customWidth="1"/>
    <col min="11524" max="11524" width="20.5703125" style="148" customWidth="1"/>
    <col min="11525" max="11776" width="9.140625" style="148"/>
    <col min="11777" max="11777" width="31.42578125" style="148" customWidth="1"/>
    <col min="11778" max="11778" width="9.140625" style="148"/>
    <col min="11779" max="11779" width="19.85546875" style="148" customWidth="1"/>
    <col min="11780" max="11780" width="20.5703125" style="148" customWidth="1"/>
    <col min="11781" max="12032" width="9.140625" style="148"/>
    <col min="12033" max="12033" width="31.42578125" style="148" customWidth="1"/>
    <col min="12034" max="12034" width="9.140625" style="148"/>
    <col min="12035" max="12035" width="19.85546875" style="148" customWidth="1"/>
    <col min="12036" max="12036" width="20.5703125" style="148" customWidth="1"/>
    <col min="12037" max="12288" width="9.140625" style="148"/>
    <col min="12289" max="12289" width="31.42578125" style="148" customWidth="1"/>
    <col min="12290" max="12290" width="9.140625" style="148"/>
    <col min="12291" max="12291" width="19.85546875" style="148" customWidth="1"/>
    <col min="12292" max="12292" width="20.5703125" style="148" customWidth="1"/>
    <col min="12293" max="12544" width="9.140625" style="148"/>
    <col min="12545" max="12545" width="31.42578125" style="148" customWidth="1"/>
    <col min="12546" max="12546" width="9.140625" style="148"/>
    <col min="12547" max="12547" width="19.85546875" style="148" customWidth="1"/>
    <col min="12548" max="12548" width="20.5703125" style="148" customWidth="1"/>
    <col min="12549" max="12800" width="9.140625" style="148"/>
    <col min="12801" max="12801" width="31.42578125" style="148" customWidth="1"/>
    <col min="12802" max="12802" width="9.140625" style="148"/>
    <col min="12803" max="12803" width="19.85546875" style="148" customWidth="1"/>
    <col min="12804" max="12804" width="20.5703125" style="148" customWidth="1"/>
    <col min="12805" max="13056" width="9.140625" style="148"/>
    <col min="13057" max="13057" width="31.42578125" style="148" customWidth="1"/>
    <col min="13058" max="13058" width="9.140625" style="148"/>
    <col min="13059" max="13059" width="19.85546875" style="148" customWidth="1"/>
    <col min="13060" max="13060" width="20.5703125" style="148" customWidth="1"/>
    <col min="13061" max="13312" width="9.140625" style="148"/>
    <col min="13313" max="13313" width="31.42578125" style="148" customWidth="1"/>
    <col min="13314" max="13314" width="9.140625" style="148"/>
    <col min="13315" max="13315" width="19.85546875" style="148" customWidth="1"/>
    <col min="13316" max="13316" width="20.5703125" style="148" customWidth="1"/>
    <col min="13317" max="13568" width="9.140625" style="148"/>
    <col min="13569" max="13569" width="31.42578125" style="148" customWidth="1"/>
    <col min="13570" max="13570" width="9.140625" style="148"/>
    <col min="13571" max="13571" width="19.85546875" style="148" customWidth="1"/>
    <col min="13572" max="13572" width="20.5703125" style="148" customWidth="1"/>
    <col min="13573" max="13824" width="9.140625" style="148"/>
    <col min="13825" max="13825" width="31.42578125" style="148" customWidth="1"/>
    <col min="13826" max="13826" width="9.140625" style="148"/>
    <col min="13827" max="13827" width="19.85546875" style="148" customWidth="1"/>
    <col min="13828" max="13828" width="20.5703125" style="148" customWidth="1"/>
    <col min="13829" max="14080" width="9.140625" style="148"/>
    <col min="14081" max="14081" width="31.42578125" style="148" customWidth="1"/>
    <col min="14082" max="14082" width="9.140625" style="148"/>
    <col min="14083" max="14083" width="19.85546875" style="148" customWidth="1"/>
    <col min="14084" max="14084" width="20.5703125" style="148" customWidth="1"/>
    <col min="14085" max="14336" width="9.140625" style="148"/>
    <col min="14337" max="14337" width="31.42578125" style="148" customWidth="1"/>
    <col min="14338" max="14338" width="9.140625" style="148"/>
    <col min="14339" max="14339" width="19.85546875" style="148" customWidth="1"/>
    <col min="14340" max="14340" width="20.5703125" style="148" customWidth="1"/>
    <col min="14341" max="14592" width="9.140625" style="148"/>
    <col min="14593" max="14593" width="31.42578125" style="148" customWidth="1"/>
    <col min="14594" max="14594" width="9.140625" style="148"/>
    <col min="14595" max="14595" width="19.85546875" style="148" customWidth="1"/>
    <col min="14596" max="14596" width="20.5703125" style="148" customWidth="1"/>
    <col min="14597" max="14848" width="9.140625" style="148"/>
    <col min="14849" max="14849" width="31.42578125" style="148" customWidth="1"/>
    <col min="14850" max="14850" width="9.140625" style="148"/>
    <col min="14851" max="14851" width="19.85546875" style="148" customWidth="1"/>
    <col min="14852" max="14852" width="20.5703125" style="148" customWidth="1"/>
    <col min="14853" max="15104" width="9.140625" style="148"/>
    <col min="15105" max="15105" width="31.42578125" style="148" customWidth="1"/>
    <col min="15106" max="15106" width="9.140625" style="148"/>
    <col min="15107" max="15107" width="19.85546875" style="148" customWidth="1"/>
    <col min="15108" max="15108" width="20.5703125" style="148" customWidth="1"/>
    <col min="15109" max="15360" width="9.140625" style="148"/>
    <col min="15361" max="15361" width="31.42578125" style="148" customWidth="1"/>
    <col min="15362" max="15362" width="9.140625" style="148"/>
    <col min="15363" max="15363" width="19.85546875" style="148" customWidth="1"/>
    <col min="15364" max="15364" width="20.5703125" style="148" customWidth="1"/>
    <col min="15365" max="15616" width="9.140625" style="148"/>
    <col min="15617" max="15617" width="31.42578125" style="148" customWidth="1"/>
    <col min="15618" max="15618" width="9.140625" style="148"/>
    <col min="15619" max="15619" width="19.85546875" style="148" customWidth="1"/>
    <col min="15620" max="15620" width="20.5703125" style="148" customWidth="1"/>
    <col min="15621" max="15872" width="9.140625" style="148"/>
    <col min="15873" max="15873" width="31.42578125" style="148" customWidth="1"/>
    <col min="15874" max="15874" width="9.140625" style="148"/>
    <col min="15875" max="15875" width="19.85546875" style="148" customWidth="1"/>
    <col min="15876" max="15876" width="20.5703125" style="148" customWidth="1"/>
    <col min="15877" max="16128" width="9.140625" style="148"/>
    <col min="16129" max="16129" width="31.42578125" style="148" customWidth="1"/>
    <col min="16130" max="16130" width="9.140625" style="148"/>
    <col min="16131" max="16131" width="19.85546875" style="148" customWidth="1"/>
    <col min="16132" max="16132" width="20.5703125" style="148" customWidth="1"/>
    <col min="16133" max="16384" width="9.140625" style="148"/>
  </cols>
  <sheetData>
    <row r="1" spans="1:11" ht="18">
      <c r="A1" s="198" t="s">
        <v>324</v>
      </c>
      <c r="B1" s="198" t="s">
        <v>193</v>
      </c>
      <c r="C1" s="198" t="s">
        <v>194</v>
      </c>
      <c r="D1" s="198" t="s">
        <v>202</v>
      </c>
      <c r="E1" s="199" t="s">
        <v>126</v>
      </c>
      <c r="F1" s="199" t="s">
        <v>203</v>
      </c>
      <c r="G1" s="199" t="s">
        <v>195</v>
      </c>
      <c r="H1" s="200" t="s">
        <v>196</v>
      </c>
      <c r="I1" s="148">
        <v>1</v>
      </c>
      <c r="J1" s="148">
        <v>0</v>
      </c>
      <c r="K1" s="148">
        <v>0</v>
      </c>
    </row>
    <row r="2" spans="1:11">
      <c r="A2" s="201">
        <v>44174.639907407407</v>
      </c>
      <c r="B2" s="505" t="s">
        <v>452</v>
      </c>
      <c r="C2" s="506"/>
      <c r="D2" s="506"/>
      <c r="E2" s="506"/>
      <c r="F2" s="506"/>
      <c r="G2" s="507"/>
      <c r="H2" s="203" t="s">
        <v>327</v>
      </c>
    </row>
    <row r="3" spans="1:11">
      <c r="A3" s="201">
        <v>44174.640138888892</v>
      </c>
      <c r="B3" s="402" t="s">
        <v>453</v>
      </c>
      <c r="C3" s="403" t="s">
        <v>454</v>
      </c>
      <c r="D3" s="403"/>
      <c r="E3" s="403"/>
      <c r="F3" s="403"/>
      <c r="G3" s="404">
        <v>1</v>
      </c>
      <c r="H3" s="203" t="s">
        <v>327</v>
      </c>
    </row>
    <row r="4" spans="1:11">
      <c r="A4" s="201">
        <v>44174.640138888892</v>
      </c>
      <c r="B4" s="402" t="s">
        <v>455</v>
      </c>
      <c r="C4" s="403" t="s">
        <v>456</v>
      </c>
      <c r="D4" s="403" t="s">
        <v>248</v>
      </c>
      <c r="E4" s="403"/>
      <c r="F4" s="403"/>
      <c r="G4" s="404">
        <v>10</v>
      </c>
      <c r="H4" s="203" t="s">
        <v>327</v>
      </c>
    </row>
    <row r="5" spans="1:11">
      <c r="A5" s="201">
        <v>44174.640185185184</v>
      </c>
      <c r="B5" s="402" t="s">
        <v>455</v>
      </c>
      <c r="C5" s="403" t="s">
        <v>457</v>
      </c>
      <c r="D5" s="403" t="s">
        <v>392</v>
      </c>
      <c r="E5" s="403"/>
      <c r="F5" s="403"/>
      <c r="G5" s="404" t="s">
        <v>458</v>
      </c>
      <c r="H5" s="203" t="s">
        <v>327</v>
      </c>
    </row>
    <row r="6" spans="1:11">
      <c r="A6" s="201">
        <v>44174.640196759261</v>
      </c>
      <c r="B6" s="202" t="s">
        <v>455</v>
      </c>
      <c r="C6" s="202" t="s">
        <v>459</v>
      </c>
      <c r="D6" s="202" t="s">
        <v>347</v>
      </c>
      <c r="E6" s="250"/>
      <c r="F6" s="202"/>
      <c r="G6" s="250">
        <v>10</v>
      </c>
      <c r="H6" s="203" t="s">
        <v>327</v>
      </c>
    </row>
    <row r="7" spans="1:11">
      <c r="A7" s="208">
        <v>44174.640266203707</v>
      </c>
      <c r="B7" s="402" t="s">
        <v>455</v>
      </c>
      <c r="C7" s="403" t="s">
        <v>460</v>
      </c>
      <c r="D7" s="403" t="s">
        <v>336</v>
      </c>
      <c r="E7" s="403"/>
      <c r="F7" s="403"/>
      <c r="G7" s="404">
        <v>2</v>
      </c>
      <c r="H7" s="208" t="s">
        <v>327</v>
      </c>
    </row>
    <row r="8" spans="1:11">
      <c r="A8" s="208">
        <v>44174.640335648146</v>
      </c>
      <c r="B8" s="402" t="s">
        <v>455</v>
      </c>
      <c r="C8" s="403" t="s">
        <v>461</v>
      </c>
      <c r="D8" s="403" t="s">
        <v>350</v>
      </c>
      <c r="E8" s="403"/>
      <c r="F8" s="403"/>
      <c r="G8" s="404">
        <v>25</v>
      </c>
      <c r="H8" s="208" t="s">
        <v>327</v>
      </c>
    </row>
    <row r="9" spans="1:11">
      <c r="A9" s="201">
        <v>44174.640462962961</v>
      </c>
      <c r="B9" s="202" t="s">
        <v>455</v>
      </c>
      <c r="C9" s="202" t="s">
        <v>462</v>
      </c>
      <c r="D9" s="202" t="s">
        <v>338</v>
      </c>
      <c r="E9" s="202"/>
      <c r="F9" s="202"/>
      <c r="G9" s="202">
        <v>10</v>
      </c>
      <c r="H9" s="204" t="s">
        <v>327</v>
      </c>
    </row>
    <row r="10" spans="1:11">
      <c r="A10" s="201">
        <v>44174.640532407408</v>
      </c>
      <c r="B10" s="402" t="s">
        <v>455</v>
      </c>
      <c r="C10" s="403" t="s">
        <v>463</v>
      </c>
      <c r="D10" s="403" t="s">
        <v>353</v>
      </c>
      <c r="E10" s="403"/>
      <c r="F10" s="403"/>
      <c r="G10" s="404">
        <v>25</v>
      </c>
      <c r="H10" s="204" t="s">
        <v>327</v>
      </c>
    </row>
    <row r="11" spans="1:11">
      <c r="A11" s="201">
        <v>44174.640625</v>
      </c>
      <c r="B11" s="402" t="s">
        <v>455</v>
      </c>
      <c r="C11" s="403" t="s">
        <v>464</v>
      </c>
      <c r="D11" s="403" t="s">
        <v>355</v>
      </c>
      <c r="E11" s="403"/>
      <c r="F11" s="403"/>
      <c r="G11" s="404">
        <v>20</v>
      </c>
      <c r="H11" s="204" t="s">
        <v>327</v>
      </c>
    </row>
    <row r="12" spans="1:11">
      <c r="A12" s="201">
        <v>44174.640787037039</v>
      </c>
      <c r="B12" s="402" t="s">
        <v>455</v>
      </c>
      <c r="C12" s="403" t="s">
        <v>465</v>
      </c>
      <c r="D12" s="403" t="s">
        <v>339</v>
      </c>
      <c r="E12" s="403"/>
      <c r="F12" s="403"/>
      <c r="G12" s="404">
        <v>1</v>
      </c>
      <c r="H12" s="203" t="s">
        <v>327</v>
      </c>
    </row>
    <row r="13" spans="1:11">
      <c r="A13" s="201">
        <v>44174.640868055554</v>
      </c>
      <c r="B13" s="402" t="s">
        <v>455</v>
      </c>
      <c r="C13" s="403" t="s">
        <v>466</v>
      </c>
      <c r="D13" s="403" t="s">
        <v>357</v>
      </c>
      <c r="E13" s="403"/>
      <c r="F13" s="403"/>
      <c r="G13" s="404">
        <v>6</v>
      </c>
      <c r="H13" s="203" t="s">
        <v>327</v>
      </c>
    </row>
    <row r="14" spans="1:11">
      <c r="A14" s="201">
        <v>44174.640868055554</v>
      </c>
      <c r="B14" s="402" t="s">
        <v>455</v>
      </c>
      <c r="C14" s="403" t="s">
        <v>467</v>
      </c>
      <c r="D14" s="403" t="s">
        <v>341</v>
      </c>
      <c r="E14" s="403"/>
      <c r="F14" s="403"/>
      <c r="G14" s="404">
        <v>3</v>
      </c>
      <c r="H14" s="203" t="s">
        <v>327</v>
      </c>
    </row>
    <row r="15" spans="1:11">
      <c r="A15" s="201">
        <v>44174.641006944446</v>
      </c>
      <c r="B15" s="402" t="s">
        <v>455</v>
      </c>
      <c r="C15" s="403" t="s">
        <v>468</v>
      </c>
      <c r="D15" s="403" t="s">
        <v>358</v>
      </c>
      <c r="E15" s="403"/>
      <c r="F15" s="403"/>
      <c r="G15" s="404">
        <v>2</v>
      </c>
      <c r="H15" s="203" t="s">
        <v>327</v>
      </c>
    </row>
    <row r="16" spans="1:11">
      <c r="A16" s="201">
        <v>44174.641076388885</v>
      </c>
      <c r="B16" s="402" t="s">
        <v>455</v>
      </c>
      <c r="C16" s="403" t="s">
        <v>469</v>
      </c>
      <c r="D16" s="403" t="s">
        <v>359</v>
      </c>
      <c r="E16" s="403"/>
      <c r="F16" s="403"/>
      <c r="G16" s="404">
        <v>5</v>
      </c>
      <c r="H16" s="203" t="s">
        <v>327</v>
      </c>
    </row>
    <row r="17" spans="1:15">
      <c r="A17" s="201">
        <v>44174.641099537039</v>
      </c>
      <c r="B17" s="402" t="s">
        <v>455</v>
      </c>
      <c r="C17" s="403" t="s">
        <v>470</v>
      </c>
      <c r="D17" s="403" t="s">
        <v>360</v>
      </c>
      <c r="E17" s="403"/>
      <c r="F17" s="403"/>
      <c r="G17" s="404">
        <v>40</v>
      </c>
      <c r="H17" s="203" t="s">
        <v>327</v>
      </c>
    </row>
    <row r="18" spans="1:15">
      <c r="A18" s="201">
        <v>44174.641192129631</v>
      </c>
      <c r="B18" s="402" t="s">
        <v>455</v>
      </c>
      <c r="C18" s="403" t="s">
        <v>471</v>
      </c>
      <c r="D18" s="403" t="s">
        <v>362</v>
      </c>
      <c r="E18" s="403"/>
      <c r="F18" s="403"/>
      <c r="G18" s="404">
        <v>35</v>
      </c>
      <c r="H18" s="203" t="s">
        <v>327</v>
      </c>
    </row>
    <row r="19" spans="1:15">
      <c r="A19" s="201">
        <v>44174.641250000001</v>
      </c>
      <c r="B19" s="402" t="s">
        <v>455</v>
      </c>
      <c r="C19" s="403" t="s">
        <v>472</v>
      </c>
      <c r="D19" s="403" t="s">
        <v>363</v>
      </c>
      <c r="E19" s="403"/>
      <c r="F19" s="403"/>
      <c r="G19" s="404">
        <v>1</v>
      </c>
      <c r="H19" s="203" t="s">
        <v>327</v>
      </c>
    </row>
    <row r="20" spans="1:15">
      <c r="A20" s="201">
        <v>44174.641342592593</v>
      </c>
      <c r="B20" s="402" t="s">
        <v>455</v>
      </c>
      <c r="C20" s="403" t="s">
        <v>472</v>
      </c>
      <c r="D20" s="403" t="s">
        <v>363</v>
      </c>
      <c r="E20" s="403"/>
      <c r="F20" s="403"/>
      <c r="G20" s="404">
        <v>2</v>
      </c>
      <c r="H20" s="203" t="s">
        <v>327</v>
      </c>
    </row>
    <row r="21" spans="1:15">
      <c r="A21" s="208">
        <v>44174.64135416667</v>
      </c>
      <c r="B21" s="208" t="s">
        <v>455</v>
      </c>
      <c r="C21" s="208" t="s">
        <v>473</v>
      </c>
      <c r="D21" s="208" t="s">
        <v>342</v>
      </c>
      <c r="F21" s="208"/>
      <c r="G21" s="208">
        <v>1</v>
      </c>
      <c r="H21" s="208" t="s">
        <v>327</v>
      </c>
    </row>
    <row r="22" spans="1:15">
      <c r="A22" s="208">
        <v>44174.641412037039</v>
      </c>
      <c r="B22" s="251" t="s">
        <v>455</v>
      </c>
      <c r="C22" s="252" t="s">
        <v>473</v>
      </c>
      <c r="D22" s="252" t="s">
        <v>342</v>
      </c>
      <c r="E22" s="252"/>
      <c r="F22" s="252"/>
      <c r="G22" s="253">
        <v>8</v>
      </c>
      <c r="H22" s="208" t="s">
        <v>327</v>
      </c>
    </row>
    <row r="23" spans="1:15">
      <c r="A23" s="208">
        <v>44174.641458333332</v>
      </c>
      <c r="B23" s="251" t="s">
        <v>455</v>
      </c>
      <c r="C23" s="252" t="s">
        <v>472</v>
      </c>
      <c r="D23" s="252" t="s">
        <v>363</v>
      </c>
      <c r="E23" s="252"/>
      <c r="F23" s="252"/>
      <c r="G23" s="253">
        <v>8</v>
      </c>
      <c r="H23" s="208" t="s">
        <v>327</v>
      </c>
    </row>
    <row r="24" spans="1:15">
      <c r="A24" s="208">
        <v>44174.641469907408</v>
      </c>
      <c r="B24" s="208" t="s">
        <v>455</v>
      </c>
      <c r="C24" s="208" t="s">
        <v>473</v>
      </c>
      <c r="D24" s="208" t="s">
        <v>342</v>
      </c>
      <c r="F24" s="208"/>
      <c r="G24" s="208">
        <v>2</v>
      </c>
      <c r="H24" s="208" t="s">
        <v>327</v>
      </c>
    </row>
    <row r="25" spans="1:15">
      <c r="A25" s="208">
        <v>44174.641724537039</v>
      </c>
      <c r="B25" s="208" t="s">
        <v>455</v>
      </c>
      <c r="C25" s="208" t="s">
        <v>474</v>
      </c>
      <c r="D25" s="208" t="s">
        <v>367</v>
      </c>
      <c r="F25" s="208"/>
      <c r="G25" s="208">
        <v>7</v>
      </c>
      <c r="H25" s="208" t="s">
        <v>327</v>
      </c>
    </row>
    <row r="26" spans="1:15">
      <c r="A26" s="208">
        <v>44174.641851851855</v>
      </c>
      <c r="B26" s="208" t="s">
        <v>455</v>
      </c>
      <c r="C26" s="208" t="s">
        <v>475</v>
      </c>
      <c r="D26" s="208" t="s">
        <v>373</v>
      </c>
      <c r="F26" s="208"/>
      <c r="G26" s="208">
        <v>5</v>
      </c>
      <c r="H26" s="208" t="s">
        <v>327</v>
      </c>
    </row>
    <row r="27" spans="1:15">
      <c r="A27" s="208">
        <v>44174.641863425924</v>
      </c>
      <c r="B27" s="208" t="s">
        <v>455</v>
      </c>
      <c r="C27" s="208" t="s">
        <v>476</v>
      </c>
      <c r="D27" s="208" t="s">
        <v>374</v>
      </c>
      <c r="F27" s="208"/>
      <c r="G27" s="208">
        <v>5</v>
      </c>
      <c r="H27" s="208" t="s">
        <v>327</v>
      </c>
      <c r="N27" s="148">
        <v>1</v>
      </c>
      <c r="O27" s="148" t="s">
        <v>327</v>
      </c>
    </row>
    <row r="28" spans="1:15">
      <c r="A28" s="201">
        <v>44174.642013888886</v>
      </c>
      <c r="B28" s="402" t="s">
        <v>455</v>
      </c>
      <c r="C28" s="403" t="s">
        <v>477</v>
      </c>
      <c r="D28" s="403" t="s">
        <v>376</v>
      </c>
      <c r="E28" s="403"/>
      <c r="F28" s="403"/>
      <c r="G28" s="404">
        <v>3</v>
      </c>
      <c r="H28" s="203" t="s">
        <v>327</v>
      </c>
    </row>
    <row r="29" spans="1:15">
      <c r="A29" s="201">
        <v>44174.642048611109</v>
      </c>
      <c r="B29" s="402" t="s">
        <v>455</v>
      </c>
      <c r="C29" s="403" t="s">
        <v>478</v>
      </c>
      <c r="D29" s="403" t="s">
        <v>377</v>
      </c>
      <c r="E29" s="403"/>
      <c r="F29" s="403"/>
      <c r="G29" s="404">
        <v>2</v>
      </c>
      <c r="H29" s="203" t="s">
        <v>327</v>
      </c>
    </row>
    <row r="30" spans="1:15">
      <c r="A30" s="201">
        <v>44174.642152777778</v>
      </c>
      <c r="B30" s="204" t="s">
        <v>455</v>
      </c>
      <c r="C30" s="204" t="s">
        <v>479</v>
      </c>
      <c r="D30" s="204" t="s">
        <v>378</v>
      </c>
      <c r="G30" s="205">
        <v>3</v>
      </c>
      <c r="H30" s="203" t="s">
        <v>327</v>
      </c>
    </row>
    <row r="31" spans="1:15">
      <c r="A31" s="201">
        <v>44174.642164351855</v>
      </c>
      <c r="B31" s="204" t="s">
        <v>455</v>
      </c>
      <c r="C31" s="204" t="s">
        <v>480</v>
      </c>
      <c r="D31" s="204" t="s">
        <v>379</v>
      </c>
      <c r="G31" s="205">
        <v>3</v>
      </c>
      <c r="H31" s="203" t="s">
        <v>327</v>
      </c>
    </row>
    <row r="32" spans="1:15">
      <c r="A32" s="201">
        <v>44174.642245370371</v>
      </c>
      <c r="B32" s="204" t="s">
        <v>455</v>
      </c>
      <c r="C32" s="204" t="s">
        <v>481</v>
      </c>
      <c r="D32" s="204" t="s">
        <v>385</v>
      </c>
      <c r="G32" s="205">
        <v>5</v>
      </c>
      <c r="H32" s="203" t="s">
        <v>327</v>
      </c>
    </row>
    <row r="33" spans="1:8">
      <c r="A33" s="201">
        <v>44174.64234953704</v>
      </c>
      <c r="B33" s="204" t="s">
        <v>455</v>
      </c>
      <c r="C33" s="204" t="s">
        <v>482</v>
      </c>
      <c r="D33" s="204" t="s">
        <v>381</v>
      </c>
      <c r="G33" s="205">
        <v>9</v>
      </c>
      <c r="H33" s="203" t="s">
        <v>327</v>
      </c>
    </row>
    <row r="34" spans="1:8">
      <c r="A34" s="201">
        <v>44174.642361111109</v>
      </c>
      <c r="B34" s="402" t="s">
        <v>455</v>
      </c>
      <c r="C34" s="403" t="s">
        <v>483</v>
      </c>
      <c r="D34" s="403" t="s">
        <v>383</v>
      </c>
      <c r="E34" s="403"/>
      <c r="F34" s="403"/>
      <c r="G34" s="404">
        <v>6</v>
      </c>
      <c r="H34" s="203" t="s">
        <v>327</v>
      </c>
    </row>
    <row r="35" spans="1:8">
      <c r="A35" s="201">
        <v>44174.642372685186</v>
      </c>
      <c r="B35" s="204" t="s">
        <v>455</v>
      </c>
      <c r="C35" s="204" t="s">
        <v>484</v>
      </c>
      <c r="D35" s="204" t="s">
        <v>384</v>
      </c>
      <c r="G35" s="205">
        <v>5</v>
      </c>
      <c r="H35" s="203" t="s">
        <v>327</v>
      </c>
    </row>
    <row r="36" spans="1:8">
      <c r="A36" s="201">
        <v>44174.642395833333</v>
      </c>
      <c r="B36" s="204" t="s">
        <v>455</v>
      </c>
      <c r="C36" s="204" t="s">
        <v>485</v>
      </c>
      <c r="D36" s="204" t="s">
        <v>382</v>
      </c>
      <c r="G36" s="205">
        <v>7</v>
      </c>
      <c r="H36" s="203" t="s">
        <v>327</v>
      </c>
    </row>
    <row r="37" spans="1:8">
      <c r="A37" s="201">
        <v>44174.642453703702</v>
      </c>
      <c r="B37" s="204" t="s">
        <v>455</v>
      </c>
      <c r="C37" s="204" t="s">
        <v>485</v>
      </c>
      <c r="D37" s="204" t="s">
        <v>382</v>
      </c>
      <c r="G37" s="205">
        <v>6</v>
      </c>
      <c r="H37" s="203" t="s">
        <v>327</v>
      </c>
    </row>
    <row r="38" spans="1:8">
      <c r="A38" s="201">
        <v>44174.642523148148</v>
      </c>
      <c r="B38" s="204" t="s">
        <v>455</v>
      </c>
      <c r="C38" s="204" t="s">
        <v>483</v>
      </c>
      <c r="D38" s="204" t="s">
        <v>383</v>
      </c>
      <c r="G38" s="205">
        <v>5</v>
      </c>
      <c r="H38" s="203" t="s">
        <v>327</v>
      </c>
    </row>
    <row r="39" spans="1:8">
      <c r="A39" s="201">
        <v>44174.642569444448</v>
      </c>
      <c r="B39" s="204" t="s">
        <v>455</v>
      </c>
      <c r="C39" s="204" t="s">
        <v>484</v>
      </c>
      <c r="D39" s="204" t="s">
        <v>384</v>
      </c>
      <c r="G39" s="205">
        <v>7</v>
      </c>
      <c r="H39" s="203" t="s">
        <v>327</v>
      </c>
    </row>
    <row r="40" spans="1:8">
      <c r="A40" s="201">
        <v>44174.642627314817</v>
      </c>
      <c r="B40" s="402" t="s">
        <v>455</v>
      </c>
      <c r="C40" s="403" t="s">
        <v>482</v>
      </c>
      <c r="D40" s="403" t="s">
        <v>381</v>
      </c>
      <c r="E40" s="403"/>
      <c r="F40" s="403"/>
      <c r="G40" s="404">
        <v>9</v>
      </c>
      <c r="H40" s="203" t="s">
        <v>327</v>
      </c>
    </row>
    <row r="41" spans="1:8">
      <c r="A41" s="201">
        <v>44174.642974537041</v>
      </c>
      <c r="B41" s="402" t="s">
        <v>455</v>
      </c>
      <c r="C41" s="403" t="s">
        <v>486</v>
      </c>
      <c r="D41" s="403" t="s">
        <v>387</v>
      </c>
      <c r="E41" s="403"/>
      <c r="F41" s="403"/>
      <c r="G41" s="404">
        <v>8</v>
      </c>
      <c r="H41" s="203" t="s">
        <v>327</v>
      </c>
    </row>
    <row r="42" spans="1:8">
      <c r="A42" s="201">
        <v>44174.644247685188</v>
      </c>
      <c r="B42" s="402" t="s">
        <v>455</v>
      </c>
      <c r="C42" s="403" t="s">
        <v>487</v>
      </c>
      <c r="D42" s="403" t="s">
        <v>171</v>
      </c>
      <c r="E42" s="403"/>
      <c r="F42" s="403"/>
      <c r="G42" s="404">
        <v>15.215</v>
      </c>
      <c r="H42" s="203" t="s">
        <v>327</v>
      </c>
    </row>
    <row r="43" spans="1:8">
      <c r="A43" s="201">
        <v>44174.644282407404</v>
      </c>
      <c r="B43" s="402" t="s">
        <v>455</v>
      </c>
      <c r="C43" s="403" t="s">
        <v>488</v>
      </c>
      <c r="D43" s="403" t="s">
        <v>187</v>
      </c>
      <c r="E43" s="403"/>
      <c r="F43" s="403"/>
      <c r="G43" s="404">
        <v>10.922000000000001</v>
      </c>
      <c r="H43" s="203" t="s">
        <v>327</v>
      </c>
    </row>
    <row r="44" spans="1:8">
      <c r="A44" s="201">
        <v>44174.64434027778</v>
      </c>
      <c r="B44" s="204" t="s">
        <v>455</v>
      </c>
      <c r="C44" s="204" t="s">
        <v>489</v>
      </c>
      <c r="D44" s="204" t="s">
        <v>33</v>
      </c>
      <c r="G44" s="205">
        <v>38.97</v>
      </c>
      <c r="H44" s="203" t="s">
        <v>327</v>
      </c>
    </row>
    <row r="45" spans="1:8">
      <c r="A45" s="201">
        <v>44174.644386574073</v>
      </c>
      <c r="B45" s="204" t="s">
        <v>455</v>
      </c>
      <c r="C45" s="204" t="s">
        <v>490</v>
      </c>
      <c r="D45" s="204" t="s">
        <v>34</v>
      </c>
      <c r="G45" s="205">
        <v>40.15</v>
      </c>
      <c r="H45" s="203" t="s">
        <v>327</v>
      </c>
    </row>
    <row r="46" spans="1:8">
      <c r="A46" s="201">
        <v>44174.644479166665</v>
      </c>
      <c r="B46" s="204" t="s">
        <v>455</v>
      </c>
      <c r="C46" s="204" t="s">
        <v>491</v>
      </c>
      <c r="D46" s="204" t="s">
        <v>104</v>
      </c>
      <c r="G46" s="205">
        <v>10</v>
      </c>
      <c r="H46" s="203" t="s">
        <v>327</v>
      </c>
    </row>
    <row r="47" spans="1:8">
      <c r="A47" s="201">
        <v>44174.644537037035</v>
      </c>
      <c r="B47" s="204" t="s">
        <v>455</v>
      </c>
      <c r="C47" s="204" t="s">
        <v>491</v>
      </c>
      <c r="D47" s="204" t="s">
        <v>104</v>
      </c>
      <c r="G47" s="205">
        <v>18.68</v>
      </c>
      <c r="H47" s="203" t="s">
        <v>327</v>
      </c>
    </row>
    <row r="48" spans="1:8">
      <c r="A48" s="201">
        <v>44174.64472222222</v>
      </c>
      <c r="B48" s="204" t="s">
        <v>455</v>
      </c>
      <c r="C48" s="204" t="s">
        <v>492</v>
      </c>
      <c r="D48" s="204" t="s">
        <v>36</v>
      </c>
      <c r="G48" s="205">
        <v>22.67</v>
      </c>
      <c r="H48" s="203" t="s">
        <v>327</v>
      </c>
    </row>
    <row r="49" spans="1:8">
      <c r="A49" s="201">
        <v>44174.644768518519</v>
      </c>
      <c r="B49" s="204" t="s">
        <v>455</v>
      </c>
      <c r="C49" s="204" t="s">
        <v>493</v>
      </c>
      <c r="D49" s="204" t="s">
        <v>37</v>
      </c>
      <c r="G49" s="205">
        <v>20.39</v>
      </c>
      <c r="H49" s="203" t="s">
        <v>327</v>
      </c>
    </row>
    <row r="50" spans="1:8">
      <c r="A50" s="201">
        <v>44174.644895833335</v>
      </c>
      <c r="B50" s="204" t="s">
        <v>455</v>
      </c>
      <c r="C50" s="204" t="s">
        <v>494</v>
      </c>
      <c r="D50" s="204" t="s">
        <v>106</v>
      </c>
      <c r="G50" s="205">
        <v>53.67</v>
      </c>
      <c r="H50" s="203" t="s">
        <v>327</v>
      </c>
    </row>
    <row r="51" spans="1:8">
      <c r="A51" s="201">
        <v>44174.646643518521</v>
      </c>
      <c r="B51" s="204" t="s">
        <v>455</v>
      </c>
      <c r="C51" s="204" t="s">
        <v>495</v>
      </c>
      <c r="D51" s="204" t="s">
        <v>109</v>
      </c>
      <c r="G51" s="205">
        <v>74.38</v>
      </c>
      <c r="H51" s="203" t="s">
        <v>327</v>
      </c>
    </row>
    <row r="52" spans="1:8">
      <c r="A52" s="201">
        <v>44174.647048611114</v>
      </c>
      <c r="B52" s="402" t="s">
        <v>455</v>
      </c>
      <c r="C52" s="403" t="s">
        <v>496</v>
      </c>
      <c r="D52" s="403" t="s">
        <v>178</v>
      </c>
      <c r="E52" s="403"/>
      <c r="F52" s="403"/>
      <c r="G52" s="404">
        <v>10</v>
      </c>
      <c r="H52" s="203" t="s">
        <v>327</v>
      </c>
    </row>
    <row r="53" spans="1:8">
      <c r="A53" s="201">
        <v>44174.647256944445</v>
      </c>
      <c r="B53" s="204" t="s">
        <v>455</v>
      </c>
      <c r="C53" s="204" t="s">
        <v>497</v>
      </c>
      <c r="D53" s="204" t="s">
        <v>177</v>
      </c>
      <c r="G53" s="205" t="s">
        <v>458</v>
      </c>
      <c r="H53" s="203" t="s">
        <v>327</v>
      </c>
    </row>
    <row r="54" spans="1:8">
      <c r="A54" s="201">
        <v>44174.647337962961</v>
      </c>
      <c r="B54" s="204" t="s">
        <v>455</v>
      </c>
      <c r="C54" s="204" t="s">
        <v>498</v>
      </c>
      <c r="D54" s="204" t="s">
        <v>110</v>
      </c>
      <c r="G54" s="205">
        <v>42.24</v>
      </c>
      <c r="H54" s="203" t="s">
        <v>327</v>
      </c>
    </row>
    <row r="55" spans="1:8">
      <c r="A55" s="201">
        <v>44174.647997685184</v>
      </c>
      <c r="B55" s="204" t="s">
        <v>455</v>
      </c>
      <c r="C55" s="204" t="s">
        <v>499</v>
      </c>
      <c r="D55" s="204" t="s">
        <v>50</v>
      </c>
      <c r="G55" s="205" t="s">
        <v>458</v>
      </c>
      <c r="H55" s="203" t="s">
        <v>327</v>
      </c>
    </row>
    <row r="56" spans="1:8">
      <c r="A56" s="201">
        <v>44174.648113425923</v>
      </c>
      <c r="B56" s="204" t="s">
        <v>455</v>
      </c>
      <c r="C56" s="204" t="s">
        <v>500</v>
      </c>
      <c r="D56" s="204" t="s">
        <v>52</v>
      </c>
      <c r="G56" s="205">
        <v>24.86</v>
      </c>
      <c r="H56" s="203" t="s">
        <v>327</v>
      </c>
    </row>
    <row r="57" spans="1:8">
      <c r="A57" s="201">
        <v>44174.648136574076</v>
      </c>
      <c r="B57" s="204" t="s">
        <v>455</v>
      </c>
      <c r="C57" s="204" t="s">
        <v>501</v>
      </c>
      <c r="D57" s="204" t="s">
        <v>53</v>
      </c>
      <c r="G57" s="205" t="s">
        <v>458</v>
      </c>
      <c r="H57" s="203" t="s">
        <v>327</v>
      </c>
    </row>
    <row r="58" spans="1:8">
      <c r="A58" s="201">
        <v>44174.648831018516</v>
      </c>
      <c r="B58" s="204" t="s">
        <v>502</v>
      </c>
      <c r="C58" s="204" t="s">
        <v>503</v>
      </c>
      <c r="D58" s="204" t="s">
        <v>294</v>
      </c>
      <c r="E58" s="205">
        <v>1</v>
      </c>
      <c r="G58" s="205">
        <v>2</v>
      </c>
      <c r="H58" s="203" t="s">
        <v>327</v>
      </c>
    </row>
    <row r="59" spans="1:8">
      <c r="A59" s="201">
        <v>44174.648888888885</v>
      </c>
      <c r="B59" s="204" t="s">
        <v>502</v>
      </c>
      <c r="C59" s="204" t="s">
        <v>504</v>
      </c>
      <c r="D59" s="204" t="s">
        <v>304</v>
      </c>
      <c r="E59" s="205">
        <v>1</v>
      </c>
      <c r="G59" s="205">
        <v>0.76</v>
      </c>
      <c r="H59" s="203" t="s">
        <v>327</v>
      </c>
    </row>
    <row r="60" spans="1:8">
      <c r="A60" s="201">
        <v>44174.649016203701</v>
      </c>
      <c r="B60" s="402" t="s">
        <v>502</v>
      </c>
      <c r="C60" s="403" t="s">
        <v>505</v>
      </c>
      <c r="D60" s="403" t="s">
        <v>263</v>
      </c>
      <c r="E60" s="403">
        <v>1</v>
      </c>
      <c r="F60" s="403"/>
      <c r="G60" s="404">
        <v>0.5</v>
      </c>
      <c r="H60" s="203" t="s">
        <v>327</v>
      </c>
    </row>
    <row r="61" spans="1:8">
      <c r="A61" s="201">
        <v>44174.649247685185</v>
      </c>
      <c r="B61" s="204" t="s">
        <v>502</v>
      </c>
      <c r="C61" s="204" t="s">
        <v>506</v>
      </c>
      <c r="D61" s="204" t="s">
        <v>404</v>
      </c>
      <c r="E61" s="205">
        <v>1</v>
      </c>
      <c r="G61" s="205">
        <v>1</v>
      </c>
      <c r="H61" s="203" t="s">
        <v>327</v>
      </c>
    </row>
    <row r="62" spans="1:8">
      <c r="A62" s="201">
        <v>44174.654652777775</v>
      </c>
      <c r="B62" s="204" t="s">
        <v>507</v>
      </c>
      <c r="C62" s="204" t="s">
        <v>508</v>
      </c>
      <c r="D62" s="204" t="s">
        <v>254</v>
      </c>
      <c r="E62" s="205">
        <v>1</v>
      </c>
      <c r="G62" s="205">
        <v>22.745999999999999</v>
      </c>
      <c r="H62" s="203" t="s">
        <v>327</v>
      </c>
    </row>
    <row r="63" spans="1:8">
      <c r="A63" s="201">
        <v>44174.654803240737</v>
      </c>
      <c r="B63" s="204" t="s">
        <v>507</v>
      </c>
      <c r="C63" s="204" t="s">
        <v>509</v>
      </c>
      <c r="D63" s="204" t="s">
        <v>180</v>
      </c>
      <c r="E63" s="205">
        <v>1</v>
      </c>
      <c r="G63" s="205">
        <v>20</v>
      </c>
      <c r="H63" s="203" t="s">
        <v>327</v>
      </c>
    </row>
    <row r="64" spans="1:8">
      <c r="A64" s="201">
        <v>44174.654918981483</v>
      </c>
      <c r="B64" s="402" t="s">
        <v>507</v>
      </c>
      <c r="C64" s="403" t="s">
        <v>510</v>
      </c>
      <c r="D64" s="403" t="s">
        <v>107</v>
      </c>
      <c r="E64" s="403">
        <v>1</v>
      </c>
      <c r="F64" s="403"/>
      <c r="G64" s="404">
        <v>24.722000000000001</v>
      </c>
      <c r="H64" s="203" t="s">
        <v>327</v>
      </c>
    </row>
    <row r="65" spans="1:8">
      <c r="A65" s="201">
        <v>44174.655069444445</v>
      </c>
      <c r="B65" s="204" t="s">
        <v>507</v>
      </c>
      <c r="C65" s="204" t="s">
        <v>511</v>
      </c>
      <c r="D65" s="204" t="s">
        <v>219</v>
      </c>
      <c r="E65" s="205">
        <v>1</v>
      </c>
      <c r="G65" s="205">
        <v>23.341999999999999</v>
      </c>
      <c r="H65" s="203" t="s">
        <v>327</v>
      </c>
    </row>
    <row r="66" spans="1:8">
      <c r="A66" s="201">
        <v>44174.655162037037</v>
      </c>
      <c r="B66" s="204" t="s">
        <v>507</v>
      </c>
      <c r="C66" s="204" t="s">
        <v>512</v>
      </c>
      <c r="D66" s="204" t="s">
        <v>177</v>
      </c>
      <c r="E66" s="205">
        <v>1</v>
      </c>
      <c r="G66" s="205">
        <v>10</v>
      </c>
      <c r="H66" s="203" t="s">
        <v>327</v>
      </c>
    </row>
    <row r="67" spans="1:8">
      <c r="A67" s="201">
        <v>44174.655289351853</v>
      </c>
      <c r="B67" s="204" t="s">
        <v>507</v>
      </c>
      <c r="C67" s="204" t="s">
        <v>513</v>
      </c>
      <c r="D67" s="204" t="s">
        <v>178</v>
      </c>
      <c r="E67" s="205">
        <v>1</v>
      </c>
      <c r="G67" s="205">
        <v>15</v>
      </c>
      <c r="H67" s="203" t="s">
        <v>327</v>
      </c>
    </row>
    <row r="68" spans="1:8">
      <c r="A68" s="201">
        <v>44174.655462962961</v>
      </c>
      <c r="B68" s="204" t="s">
        <v>507</v>
      </c>
      <c r="C68" s="204" t="s">
        <v>514</v>
      </c>
      <c r="D68" s="204" t="s">
        <v>47</v>
      </c>
      <c r="E68" s="205">
        <v>1</v>
      </c>
      <c r="G68" s="205">
        <v>24.187999999999999</v>
      </c>
      <c r="H68" s="203" t="s">
        <v>327</v>
      </c>
    </row>
    <row r="69" spans="1:8">
      <c r="A69" s="201">
        <v>44174.657569444447</v>
      </c>
      <c r="B69" s="202" t="s">
        <v>507</v>
      </c>
      <c r="C69" s="202" t="s">
        <v>515</v>
      </c>
      <c r="D69" s="202" t="s">
        <v>404</v>
      </c>
      <c r="E69" s="215">
        <v>2</v>
      </c>
      <c r="F69" s="202"/>
      <c r="G69" s="202">
        <v>2</v>
      </c>
      <c r="H69" s="203" t="s">
        <v>327</v>
      </c>
    </row>
    <row r="70" spans="1:8">
      <c r="A70" s="201">
        <v>44174.657604166663</v>
      </c>
      <c r="B70" s="202" t="s">
        <v>507</v>
      </c>
      <c r="C70" s="202" t="s">
        <v>516</v>
      </c>
      <c r="D70" s="202" t="s">
        <v>383</v>
      </c>
      <c r="E70" s="215">
        <v>2</v>
      </c>
      <c r="F70" s="202"/>
      <c r="G70" s="202">
        <v>4</v>
      </c>
      <c r="H70" s="203" t="s">
        <v>327</v>
      </c>
    </row>
    <row r="71" spans="1:8">
      <c r="A71" s="201">
        <v>44174.65761574074</v>
      </c>
      <c r="B71" s="202" t="s">
        <v>507</v>
      </c>
      <c r="C71" s="202" t="s">
        <v>517</v>
      </c>
      <c r="D71" s="202" t="s">
        <v>384</v>
      </c>
      <c r="E71" s="215">
        <v>2</v>
      </c>
      <c r="F71" s="202"/>
      <c r="G71" s="202">
        <v>4</v>
      </c>
      <c r="H71" s="203" t="s">
        <v>327</v>
      </c>
    </row>
    <row r="72" spans="1:8">
      <c r="A72" s="201">
        <v>44174.65761574074</v>
      </c>
      <c r="B72" s="202" t="s">
        <v>507</v>
      </c>
      <c r="C72" s="202" t="s">
        <v>518</v>
      </c>
      <c r="D72" s="202" t="s">
        <v>382</v>
      </c>
      <c r="E72" s="215">
        <v>2</v>
      </c>
      <c r="F72" s="202"/>
      <c r="G72" s="202">
        <v>5</v>
      </c>
      <c r="H72" s="203" t="s">
        <v>327</v>
      </c>
    </row>
    <row r="73" spans="1:8">
      <c r="A73" s="201">
        <v>44174.659050925926</v>
      </c>
      <c r="B73" s="204" t="s">
        <v>502</v>
      </c>
      <c r="C73" s="204" t="s">
        <v>519</v>
      </c>
      <c r="D73" s="204" t="s">
        <v>19</v>
      </c>
      <c r="E73" s="205">
        <v>1</v>
      </c>
      <c r="G73" s="205">
        <v>1</v>
      </c>
      <c r="H73" s="203" t="s">
        <v>327</v>
      </c>
    </row>
    <row r="74" spans="1:8">
      <c r="A74" s="201">
        <v>44174.659062500003</v>
      </c>
      <c r="B74" s="204" t="s">
        <v>502</v>
      </c>
      <c r="C74" s="204" t="s">
        <v>520</v>
      </c>
      <c r="D74" s="204" t="s">
        <v>10</v>
      </c>
      <c r="E74" s="205">
        <v>1</v>
      </c>
      <c r="G74" s="205">
        <v>1</v>
      </c>
      <c r="H74" s="203" t="s">
        <v>327</v>
      </c>
    </row>
    <row r="75" spans="1:8">
      <c r="A75" s="201">
        <v>44174.661597222221</v>
      </c>
      <c r="B75" s="204" t="s">
        <v>502</v>
      </c>
      <c r="C75" s="204" t="s">
        <v>521</v>
      </c>
      <c r="D75" s="204" t="s">
        <v>445</v>
      </c>
      <c r="E75" s="205">
        <v>2</v>
      </c>
      <c r="G75" s="205">
        <v>2</v>
      </c>
      <c r="H75" s="203" t="s">
        <v>327</v>
      </c>
    </row>
    <row r="76" spans="1:8">
      <c r="A76" s="201">
        <v>44174.661620370367</v>
      </c>
      <c r="B76" s="202" t="s">
        <v>502</v>
      </c>
      <c r="C76" s="202" t="s">
        <v>521</v>
      </c>
      <c r="D76" s="202" t="s">
        <v>445</v>
      </c>
      <c r="E76" s="215">
        <v>2</v>
      </c>
      <c r="F76" s="202"/>
      <c r="G76" s="202" t="s">
        <v>458</v>
      </c>
      <c r="H76" s="203" t="s">
        <v>327</v>
      </c>
    </row>
    <row r="77" spans="1:8">
      <c r="A77" s="201">
        <v>44174.662638888891</v>
      </c>
      <c r="B77" s="202" t="s">
        <v>502</v>
      </c>
      <c r="C77" s="202" t="s">
        <v>522</v>
      </c>
      <c r="D77" s="202" t="s">
        <v>362</v>
      </c>
      <c r="E77" s="215">
        <v>1</v>
      </c>
      <c r="F77" s="202"/>
      <c r="G77" s="202">
        <v>1</v>
      </c>
      <c r="H77" s="203" t="s">
        <v>327</v>
      </c>
    </row>
    <row r="78" spans="1:8">
      <c r="A78" s="201">
        <v>44174.662685185183</v>
      </c>
      <c r="B78" s="202" t="s">
        <v>502</v>
      </c>
      <c r="C78" s="202" t="s">
        <v>523</v>
      </c>
      <c r="D78" s="202" t="s">
        <v>363</v>
      </c>
      <c r="E78" s="215">
        <v>1</v>
      </c>
      <c r="F78" s="202"/>
      <c r="G78" s="202">
        <v>1</v>
      </c>
      <c r="H78" s="203" t="s">
        <v>327</v>
      </c>
    </row>
    <row r="79" spans="1:8">
      <c r="A79" s="201">
        <v>44174.662789351853</v>
      </c>
      <c r="B79" s="202" t="s">
        <v>502</v>
      </c>
      <c r="C79" s="202" t="s">
        <v>524</v>
      </c>
      <c r="D79" s="202" t="s">
        <v>377</v>
      </c>
      <c r="E79" s="215">
        <v>1</v>
      </c>
      <c r="F79" s="202"/>
      <c r="G79" s="202">
        <v>1</v>
      </c>
      <c r="H79" s="203" t="s">
        <v>327</v>
      </c>
    </row>
    <row r="80" spans="1:8">
      <c r="A80" s="201">
        <v>44174.662847222222</v>
      </c>
      <c r="B80" s="204" t="s">
        <v>502</v>
      </c>
      <c r="C80" s="204" t="s">
        <v>525</v>
      </c>
      <c r="D80" s="204" t="s">
        <v>378</v>
      </c>
      <c r="E80" s="205">
        <v>1</v>
      </c>
      <c r="G80" s="205">
        <v>1</v>
      </c>
      <c r="H80" s="203" t="s">
        <v>327</v>
      </c>
    </row>
    <row r="81" spans="1:8">
      <c r="A81" s="201">
        <v>44174.662870370368</v>
      </c>
      <c r="B81" s="204" t="s">
        <v>502</v>
      </c>
      <c r="C81" s="204" t="s">
        <v>526</v>
      </c>
      <c r="D81" s="204" t="s">
        <v>379</v>
      </c>
      <c r="E81" s="205">
        <v>1</v>
      </c>
      <c r="G81" s="205">
        <v>1</v>
      </c>
      <c r="H81" s="203" t="s">
        <v>327</v>
      </c>
    </row>
    <row r="82" spans="1:8">
      <c r="A82" s="201">
        <v>44174.662962962961</v>
      </c>
      <c r="B82" s="204" t="s">
        <v>502</v>
      </c>
      <c r="C82" s="204" t="s">
        <v>526</v>
      </c>
      <c r="D82" s="204" t="s">
        <v>379</v>
      </c>
      <c r="E82" s="205">
        <v>1</v>
      </c>
      <c r="G82" s="205" t="s">
        <v>458</v>
      </c>
      <c r="H82" s="203" t="s">
        <v>327</v>
      </c>
    </row>
    <row r="83" spans="1:8">
      <c r="A83" s="201">
        <v>44174.662974537037</v>
      </c>
      <c r="B83" s="204" t="s">
        <v>502</v>
      </c>
      <c r="C83" s="204" t="s">
        <v>525</v>
      </c>
      <c r="D83" s="204" t="s">
        <v>378</v>
      </c>
      <c r="E83" s="205">
        <v>1</v>
      </c>
      <c r="G83" s="205" t="s">
        <v>458</v>
      </c>
      <c r="H83" s="203" t="s">
        <v>327</v>
      </c>
    </row>
    <row r="84" spans="1:8">
      <c r="A84" s="201">
        <v>44174.662974537037</v>
      </c>
      <c r="B84" s="204" t="s">
        <v>502</v>
      </c>
      <c r="C84" s="204" t="s">
        <v>524</v>
      </c>
      <c r="D84" s="204" t="s">
        <v>377</v>
      </c>
      <c r="E84" s="205">
        <v>1</v>
      </c>
      <c r="G84" s="205" t="s">
        <v>458</v>
      </c>
      <c r="H84" s="203" t="s">
        <v>327</v>
      </c>
    </row>
    <row r="85" spans="1:8">
      <c r="A85" s="201">
        <v>44174.662986111114</v>
      </c>
      <c r="B85" s="204" t="s">
        <v>502</v>
      </c>
      <c r="C85" s="204" t="s">
        <v>523</v>
      </c>
      <c r="D85" s="204" t="s">
        <v>363</v>
      </c>
      <c r="E85" s="205">
        <v>1</v>
      </c>
      <c r="G85" s="205" t="s">
        <v>458</v>
      </c>
      <c r="H85" s="203" t="s">
        <v>327</v>
      </c>
    </row>
    <row r="86" spans="1:8">
      <c r="A86" s="201">
        <v>44174.66300925926</v>
      </c>
      <c r="B86" s="204" t="s">
        <v>502</v>
      </c>
      <c r="C86" s="204" t="s">
        <v>522</v>
      </c>
      <c r="D86" s="204" t="s">
        <v>362</v>
      </c>
      <c r="E86" s="205">
        <v>1</v>
      </c>
      <c r="G86" s="205" t="s">
        <v>458</v>
      </c>
      <c r="H86" s="203" t="s">
        <v>327</v>
      </c>
    </row>
    <row r="87" spans="1:8">
      <c r="A87" s="201">
        <v>44174.663229166668</v>
      </c>
      <c r="B87" s="204" t="s">
        <v>502</v>
      </c>
      <c r="C87" s="204" t="s">
        <v>527</v>
      </c>
      <c r="D87" s="204" t="s">
        <v>362</v>
      </c>
      <c r="E87" s="205">
        <v>2</v>
      </c>
      <c r="G87" s="205">
        <v>1</v>
      </c>
      <c r="H87" s="203" t="s">
        <v>327</v>
      </c>
    </row>
    <row r="88" spans="1:8">
      <c r="A88" s="201">
        <v>44174.663229166668</v>
      </c>
      <c r="B88" s="402" t="s">
        <v>502</v>
      </c>
      <c r="C88" s="403" t="s">
        <v>528</v>
      </c>
      <c r="D88" s="403" t="s">
        <v>363</v>
      </c>
      <c r="E88" s="403">
        <v>2</v>
      </c>
      <c r="F88" s="403"/>
      <c r="G88" s="404">
        <v>1</v>
      </c>
      <c r="H88" s="203" t="s">
        <v>327</v>
      </c>
    </row>
    <row r="89" spans="1:8">
      <c r="A89" s="201">
        <v>44174.66333333333</v>
      </c>
      <c r="B89" s="402" t="s">
        <v>502</v>
      </c>
      <c r="C89" s="403" t="s">
        <v>529</v>
      </c>
      <c r="D89" s="403" t="s">
        <v>377</v>
      </c>
      <c r="E89" s="403">
        <v>2</v>
      </c>
      <c r="F89" s="403"/>
      <c r="G89" s="404">
        <v>1</v>
      </c>
      <c r="H89" s="203" t="s">
        <v>327</v>
      </c>
    </row>
    <row r="90" spans="1:8">
      <c r="A90" s="201">
        <v>44174.66333333333</v>
      </c>
      <c r="B90" s="204" t="s">
        <v>502</v>
      </c>
      <c r="C90" s="204" t="s">
        <v>530</v>
      </c>
      <c r="D90" s="204" t="s">
        <v>376</v>
      </c>
      <c r="E90" s="205">
        <v>2</v>
      </c>
      <c r="G90" s="205">
        <v>1</v>
      </c>
      <c r="H90" s="203" t="s">
        <v>327</v>
      </c>
    </row>
    <row r="91" spans="1:8">
      <c r="A91" s="201">
        <v>44174.663356481484</v>
      </c>
      <c r="B91" s="204" t="s">
        <v>502</v>
      </c>
      <c r="C91" s="204" t="s">
        <v>530</v>
      </c>
      <c r="D91" s="204" t="s">
        <v>376</v>
      </c>
      <c r="E91" s="205">
        <v>2</v>
      </c>
      <c r="G91" s="205" t="s">
        <v>458</v>
      </c>
      <c r="H91" s="203" t="s">
        <v>327</v>
      </c>
    </row>
    <row r="92" spans="1:8">
      <c r="A92" s="201">
        <v>44174.663391203707</v>
      </c>
      <c r="B92" s="204" t="s">
        <v>502</v>
      </c>
      <c r="C92" s="204" t="s">
        <v>531</v>
      </c>
      <c r="D92" s="204" t="s">
        <v>378</v>
      </c>
      <c r="E92" s="205">
        <v>2</v>
      </c>
      <c r="G92" s="205">
        <v>1</v>
      </c>
      <c r="H92" s="203" t="s">
        <v>327</v>
      </c>
    </row>
    <row r="93" spans="1:8">
      <c r="A93" s="201">
        <v>44174.663402777776</v>
      </c>
      <c r="B93" s="204" t="s">
        <v>502</v>
      </c>
      <c r="C93" s="204" t="s">
        <v>532</v>
      </c>
      <c r="D93" s="204" t="s">
        <v>379</v>
      </c>
      <c r="E93" s="205">
        <v>2</v>
      </c>
      <c r="G93" s="205">
        <v>1</v>
      </c>
      <c r="H93" s="203" t="s">
        <v>327</v>
      </c>
    </row>
    <row r="94" spans="1:8">
      <c r="A94" s="201">
        <v>44174.663472222222</v>
      </c>
      <c r="B94" s="204" t="s">
        <v>502</v>
      </c>
      <c r="C94" s="204" t="s">
        <v>515</v>
      </c>
      <c r="D94" s="204" t="s">
        <v>404</v>
      </c>
      <c r="E94" s="205">
        <v>2</v>
      </c>
      <c r="G94" s="205">
        <v>1</v>
      </c>
      <c r="H94" s="203" t="s">
        <v>327</v>
      </c>
    </row>
    <row r="95" spans="1:8">
      <c r="A95" s="201">
        <v>44174.664363425924</v>
      </c>
      <c r="B95" s="204" t="s">
        <v>502</v>
      </c>
      <c r="C95" s="204" t="s">
        <v>533</v>
      </c>
      <c r="D95" s="204" t="s">
        <v>291</v>
      </c>
      <c r="E95" s="205">
        <v>2</v>
      </c>
      <c r="G95" s="205">
        <v>0.30499999999999999</v>
      </c>
      <c r="H95" s="203" t="s">
        <v>327</v>
      </c>
    </row>
    <row r="96" spans="1:8">
      <c r="A96" s="201">
        <v>44174.664375</v>
      </c>
      <c r="B96" s="204" t="s">
        <v>502</v>
      </c>
      <c r="C96" s="204" t="s">
        <v>534</v>
      </c>
      <c r="D96" s="204" t="s">
        <v>322</v>
      </c>
      <c r="E96" s="205">
        <v>2</v>
      </c>
      <c r="G96" s="205">
        <v>2</v>
      </c>
      <c r="H96" s="203" t="s">
        <v>327</v>
      </c>
    </row>
    <row r="97" spans="1:8">
      <c r="A97" s="201">
        <v>44174.664571759262</v>
      </c>
      <c r="B97" s="204" t="s">
        <v>502</v>
      </c>
      <c r="C97" s="204" t="s">
        <v>535</v>
      </c>
      <c r="D97" s="204" t="s">
        <v>298</v>
      </c>
      <c r="E97" s="205">
        <v>2</v>
      </c>
      <c r="G97" s="205">
        <v>4.7</v>
      </c>
      <c r="H97" s="203" t="s">
        <v>327</v>
      </c>
    </row>
    <row r="98" spans="1:8">
      <c r="A98" s="201">
        <v>44174.664675925924</v>
      </c>
      <c r="B98" s="204" t="s">
        <v>502</v>
      </c>
      <c r="C98" s="204" t="s">
        <v>536</v>
      </c>
      <c r="D98" s="204" t="s">
        <v>303</v>
      </c>
      <c r="E98" s="205">
        <v>2</v>
      </c>
      <c r="G98" s="205">
        <v>1.69</v>
      </c>
      <c r="H98" s="203" t="s">
        <v>327</v>
      </c>
    </row>
    <row r="99" spans="1:8">
      <c r="A99" s="201">
        <v>44174.66479166667</v>
      </c>
      <c r="B99" s="204" t="s">
        <v>502</v>
      </c>
      <c r="C99" s="204" t="s">
        <v>537</v>
      </c>
      <c r="D99" s="204" t="s">
        <v>304</v>
      </c>
      <c r="E99" s="205">
        <v>2</v>
      </c>
      <c r="G99" s="205">
        <v>1.2</v>
      </c>
      <c r="H99" s="203" t="s">
        <v>327</v>
      </c>
    </row>
    <row r="100" spans="1:8">
      <c r="A100" s="201">
        <v>44174.664930555555</v>
      </c>
      <c r="B100" s="204" t="s">
        <v>502</v>
      </c>
      <c r="C100" s="204" t="s">
        <v>538</v>
      </c>
      <c r="D100" s="204" t="s">
        <v>305</v>
      </c>
      <c r="E100" s="205">
        <v>2</v>
      </c>
      <c r="G100" s="205">
        <v>3.73</v>
      </c>
      <c r="H100" s="203" t="s">
        <v>327</v>
      </c>
    </row>
    <row r="101" spans="1:8">
      <c r="A101" s="201">
        <v>44174.664988425924</v>
      </c>
      <c r="B101" s="204" t="s">
        <v>502</v>
      </c>
      <c r="C101" s="204" t="s">
        <v>539</v>
      </c>
      <c r="D101" s="204" t="s">
        <v>284</v>
      </c>
      <c r="E101" s="205">
        <v>2</v>
      </c>
      <c r="G101" s="205">
        <v>0.61499999999999999</v>
      </c>
      <c r="H101" s="203" t="s">
        <v>327</v>
      </c>
    </row>
    <row r="102" spans="1:8">
      <c r="A102" s="201">
        <v>44174.665081018517</v>
      </c>
      <c r="B102" s="204" t="s">
        <v>502</v>
      </c>
      <c r="C102" s="204" t="s">
        <v>540</v>
      </c>
      <c r="D102" s="204" t="s">
        <v>274</v>
      </c>
      <c r="E102" s="205">
        <v>2</v>
      </c>
      <c r="G102" s="205">
        <v>1.1499999999999999</v>
      </c>
      <c r="H102" s="203" t="s">
        <v>327</v>
      </c>
    </row>
    <row r="103" spans="1:8">
      <c r="A103" s="201">
        <v>44174.665162037039</v>
      </c>
      <c r="B103" s="204" t="s">
        <v>502</v>
      </c>
      <c r="C103" s="204" t="s">
        <v>541</v>
      </c>
      <c r="D103" s="204" t="s">
        <v>271</v>
      </c>
      <c r="E103" s="205">
        <v>2</v>
      </c>
      <c r="G103" s="205">
        <v>0.54500000000000004</v>
      </c>
      <c r="H103" s="203" t="s">
        <v>327</v>
      </c>
    </row>
    <row r="104" spans="1:8">
      <c r="A104" s="201">
        <v>44174.665231481478</v>
      </c>
      <c r="B104" s="204" t="s">
        <v>502</v>
      </c>
      <c r="C104" s="204" t="s">
        <v>542</v>
      </c>
      <c r="D104" s="204" t="s">
        <v>266</v>
      </c>
      <c r="E104" s="205">
        <v>2</v>
      </c>
      <c r="G104" s="205">
        <v>1</v>
      </c>
      <c r="H104" s="203" t="s">
        <v>327</v>
      </c>
    </row>
    <row r="105" spans="1:8">
      <c r="A105" s="201">
        <v>44174.665567129632</v>
      </c>
      <c r="B105" s="204" t="s">
        <v>502</v>
      </c>
      <c r="C105" s="204" t="s">
        <v>543</v>
      </c>
      <c r="D105" s="204" t="s">
        <v>263</v>
      </c>
      <c r="E105" s="205">
        <v>2</v>
      </c>
      <c r="G105" s="205">
        <v>4.7699999999999996</v>
      </c>
      <c r="H105" s="203" t="s">
        <v>327</v>
      </c>
    </row>
    <row r="106" spans="1:8">
      <c r="A106" s="201">
        <v>44174.66578703704</v>
      </c>
      <c r="B106" s="204" t="s">
        <v>502</v>
      </c>
      <c r="C106" s="204" t="s">
        <v>544</v>
      </c>
      <c r="D106" s="204" t="s">
        <v>4</v>
      </c>
      <c r="E106" s="205">
        <v>2</v>
      </c>
      <c r="G106" s="205">
        <v>3</v>
      </c>
      <c r="H106" s="203" t="s">
        <v>327</v>
      </c>
    </row>
    <row r="107" spans="1:8">
      <c r="A107" s="201">
        <v>44174.665833333333</v>
      </c>
      <c r="B107" s="204" t="s">
        <v>502</v>
      </c>
      <c r="C107" s="204" t="s">
        <v>545</v>
      </c>
      <c r="D107" s="204" t="s">
        <v>247</v>
      </c>
      <c r="E107" s="205">
        <v>2</v>
      </c>
      <c r="G107" s="205">
        <v>5</v>
      </c>
      <c r="H107" s="203" t="s">
        <v>327</v>
      </c>
    </row>
    <row r="108" spans="1:8">
      <c r="A108" s="201">
        <v>44174.665914351855</v>
      </c>
      <c r="B108" s="204" t="s">
        <v>502</v>
      </c>
      <c r="C108" s="204" t="s">
        <v>546</v>
      </c>
      <c r="D108" s="204" t="s">
        <v>240</v>
      </c>
      <c r="E108" s="205">
        <v>2</v>
      </c>
      <c r="G108" s="205">
        <v>1</v>
      </c>
      <c r="H108" s="203" t="s">
        <v>327</v>
      </c>
    </row>
    <row r="109" spans="1:8">
      <c r="A109" s="201">
        <v>44174.666018518517</v>
      </c>
      <c r="B109" s="204" t="s">
        <v>502</v>
      </c>
      <c r="C109" s="204" t="s">
        <v>547</v>
      </c>
      <c r="D109" s="204" t="s">
        <v>79</v>
      </c>
      <c r="E109" s="205">
        <v>2</v>
      </c>
      <c r="G109" s="205">
        <v>3</v>
      </c>
      <c r="H109" s="203" t="s">
        <v>327</v>
      </c>
    </row>
    <row r="110" spans="1:8">
      <c r="A110" s="201">
        <v>44174.666122685187</v>
      </c>
      <c r="B110" s="402" t="s">
        <v>502</v>
      </c>
      <c r="C110" s="403" t="s">
        <v>548</v>
      </c>
      <c r="D110" s="403" t="s">
        <v>84</v>
      </c>
      <c r="E110" s="403">
        <v>2</v>
      </c>
      <c r="F110" s="403"/>
      <c r="G110" s="404">
        <v>0.5</v>
      </c>
      <c r="H110" s="203" t="s">
        <v>327</v>
      </c>
    </row>
    <row r="111" spans="1:8">
      <c r="A111" s="201">
        <v>44174.666342592594</v>
      </c>
      <c r="B111" s="402" t="s">
        <v>502</v>
      </c>
      <c r="C111" s="403" t="s">
        <v>549</v>
      </c>
      <c r="D111" s="403" t="s">
        <v>86</v>
      </c>
      <c r="E111" s="403">
        <v>2</v>
      </c>
      <c r="F111" s="403"/>
      <c r="G111" s="404">
        <v>2</v>
      </c>
      <c r="H111" s="203" t="s">
        <v>327</v>
      </c>
    </row>
    <row r="112" spans="1:8">
      <c r="A112" s="201">
        <v>44174.666550925926</v>
      </c>
      <c r="B112" s="204" t="s">
        <v>502</v>
      </c>
      <c r="C112" s="204" t="s">
        <v>550</v>
      </c>
      <c r="D112" s="204" t="s">
        <v>249</v>
      </c>
      <c r="E112" s="205">
        <v>2</v>
      </c>
      <c r="G112" s="205">
        <v>1</v>
      </c>
      <c r="H112" s="203" t="s">
        <v>327</v>
      </c>
    </row>
    <row r="113" spans="1:8">
      <c r="A113" s="201">
        <v>44174.666689814818</v>
      </c>
      <c r="B113" s="204" t="s">
        <v>502</v>
      </c>
      <c r="C113" s="204" t="s">
        <v>551</v>
      </c>
      <c r="D113" s="204" t="s">
        <v>174</v>
      </c>
      <c r="E113" s="205">
        <v>2</v>
      </c>
      <c r="G113" s="205">
        <v>1.5</v>
      </c>
      <c r="H113" s="203" t="s">
        <v>327</v>
      </c>
    </row>
    <row r="114" spans="1:8">
      <c r="A114" s="201">
        <v>44174.666770833333</v>
      </c>
      <c r="B114" s="204" t="s">
        <v>502</v>
      </c>
      <c r="C114" s="204" t="s">
        <v>552</v>
      </c>
      <c r="D114" s="204" t="s">
        <v>244</v>
      </c>
      <c r="E114" s="205">
        <v>2</v>
      </c>
      <c r="G114" s="205">
        <v>1</v>
      </c>
      <c r="H114" s="203" t="s">
        <v>327</v>
      </c>
    </row>
    <row r="115" spans="1:8">
      <c r="A115" s="201">
        <v>44174.666944444441</v>
      </c>
      <c r="B115" s="204" t="s">
        <v>502</v>
      </c>
      <c r="C115" s="204" t="s">
        <v>553</v>
      </c>
      <c r="D115" s="204" t="s">
        <v>73</v>
      </c>
      <c r="E115" s="205">
        <v>2</v>
      </c>
      <c r="G115" s="205">
        <v>3</v>
      </c>
      <c r="H115" s="203" t="s">
        <v>327</v>
      </c>
    </row>
    <row r="116" spans="1:8">
      <c r="A116" s="201">
        <v>44174.667048611111</v>
      </c>
      <c r="B116" s="204" t="s">
        <v>502</v>
      </c>
      <c r="C116" s="204" t="s">
        <v>554</v>
      </c>
      <c r="D116" s="204" t="s">
        <v>102</v>
      </c>
      <c r="E116" s="205">
        <v>2</v>
      </c>
      <c r="G116" s="205">
        <v>1</v>
      </c>
      <c r="H116" s="203" t="s">
        <v>327</v>
      </c>
    </row>
    <row r="117" spans="1:8">
      <c r="A117" s="201">
        <v>44174.667291666665</v>
      </c>
      <c r="B117" s="204" t="s">
        <v>502</v>
      </c>
      <c r="C117" s="204" t="s">
        <v>555</v>
      </c>
      <c r="D117" s="204" t="s">
        <v>310</v>
      </c>
      <c r="E117" s="205">
        <v>2</v>
      </c>
      <c r="G117" s="205">
        <v>30</v>
      </c>
      <c r="H117" s="203" t="s">
        <v>327</v>
      </c>
    </row>
    <row r="118" spans="1:8">
      <c r="A118" s="201">
        <v>44174.667372685188</v>
      </c>
      <c r="B118" s="204" t="s">
        <v>502</v>
      </c>
      <c r="C118" s="204" t="s">
        <v>556</v>
      </c>
      <c r="D118" s="204" t="s">
        <v>27</v>
      </c>
      <c r="E118" s="205">
        <v>2</v>
      </c>
      <c r="G118" s="205">
        <v>1</v>
      </c>
      <c r="H118" s="203" t="s">
        <v>327</v>
      </c>
    </row>
    <row r="119" spans="1:8">
      <c r="A119" s="201">
        <v>44174.667453703703</v>
      </c>
      <c r="B119" s="204" t="s">
        <v>502</v>
      </c>
      <c r="C119" s="204" t="s">
        <v>557</v>
      </c>
      <c r="D119" s="204" t="s">
        <v>253</v>
      </c>
      <c r="E119" s="205">
        <v>2</v>
      </c>
      <c r="G119" s="205">
        <v>2</v>
      </c>
      <c r="H119" s="203" t="s">
        <v>327</v>
      </c>
    </row>
    <row r="120" spans="1:8">
      <c r="A120" s="201">
        <v>44174.667569444442</v>
      </c>
      <c r="B120" s="204" t="s">
        <v>502</v>
      </c>
      <c r="C120" s="204" t="s">
        <v>558</v>
      </c>
      <c r="D120" s="204" t="s">
        <v>78</v>
      </c>
      <c r="E120" s="205">
        <v>2</v>
      </c>
      <c r="G120" s="205">
        <v>2</v>
      </c>
      <c r="H120" s="203" t="s">
        <v>327</v>
      </c>
    </row>
    <row r="121" spans="1:8">
      <c r="A121" s="201">
        <v>44174.667754629627</v>
      </c>
      <c r="B121" s="204" t="s">
        <v>502</v>
      </c>
      <c r="C121" s="204" t="s">
        <v>559</v>
      </c>
      <c r="D121" s="204" t="s">
        <v>219</v>
      </c>
      <c r="E121" s="205">
        <v>2</v>
      </c>
      <c r="G121" s="205">
        <v>11.51</v>
      </c>
      <c r="H121" s="203" t="s">
        <v>327</v>
      </c>
    </row>
    <row r="122" spans="1:8">
      <c r="A122" s="201">
        <v>44174.667905092596</v>
      </c>
      <c r="B122" s="204" t="s">
        <v>502</v>
      </c>
      <c r="C122" s="204" t="s">
        <v>560</v>
      </c>
      <c r="D122" s="204" t="s">
        <v>53</v>
      </c>
      <c r="E122" s="205">
        <v>2</v>
      </c>
      <c r="G122" s="205">
        <v>10.23</v>
      </c>
      <c r="H122" s="203" t="s">
        <v>327</v>
      </c>
    </row>
    <row r="123" spans="1:8">
      <c r="A123" s="201">
        <v>44174.668067129627</v>
      </c>
      <c r="B123" s="204" t="s">
        <v>502</v>
      </c>
      <c r="C123" s="204" t="s">
        <v>561</v>
      </c>
      <c r="D123" s="204" t="s">
        <v>109</v>
      </c>
      <c r="E123" s="205">
        <v>2</v>
      </c>
      <c r="G123" s="205">
        <v>11.19</v>
      </c>
      <c r="H123" s="203" t="s">
        <v>327</v>
      </c>
    </row>
    <row r="124" spans="1:8">
      <c r="A124" s="201">
        <v>44174.668229166666</v>
      </c>
      <c r="B124" s="204" t="s">
        <v>502</v>
      </c>
      <c r="C124" s="204" t="s">
        <v>562</v>
      </c>
      <c r="D124" s="204" t="s">
        <v>178</v>
      </c>
      <c r="E124" s="205">
        <v>2</v>
      </c>
      <c r="G124" s="205">
        <v>10</v>
      </c>
      <c r="H124" s="203" t="s">
        <v>327</v>
      </c>
    </row>
    <row r="125" spans="1:8">
      <c r="A125" s="201">
        <v>44174.668263888889</v>
      </c>
      <c r="B125" s="204" t="s">
        <v>502</v>
      </c>
      <c r="C125" s="204" t="s">
        <v>562</v>
      </c>
      <c r="D125" s="204" t="s">
        <v>178</v>
      </c>
      <c r="E125" s="205">
        <v>2</v>
      </c>
      <c r="G125" s="205">
        <v>20</v>
      </c>
      <c r="H125" s="203" t="s">
        <v>327</v>
      </c>
    </row>
    <row r="126" spans="1:8">
      <c r="A126" s="201">
        <v>44174.668449074074</v>
      </c>
      <c r="B126" s="204" t="s">
        <v>502</v>
      </c>
      <c r="C126" s="204" t="s">
        <v>563</v>
      </c>
      <c r="D126" s="204" t="s">
        <v>63</v>
      </c>
      <c r="E126" s="205">
        <v>2</v>
      </c>
      <c r="G126" s="205">
        <v>1</v>
      </c>
      <c r="H126" s="203" t="s">
        <v>327</v>
      </c>
    </row>
    <row r="127" spans="1:8">
      <c r="A127" s="201">
        <v>44174.668587962966</v>
      </c>
      <c r="B127" s="204" t="s">
        <v>502</v>
      </c>
      <c r="C127" s="204" t="s">
        <v>564</v>
      </c>
      <c r="D127" s="204" t="s">
        <v>65</v>
      </c>
      <c r="E127" s="205">
        <v>2</v>
      </c>
      <c r="G127" s="205">
        <v>1</v>
      </c>
      <c r="H127" s="203" t="s">
        <v>327</v>
      </c>
    </row>
    <row r="128" spans="1:8">
      <c r="A128" s="201">
        <v>44174.668703703705</v>
      </c>
      <c r="B128" s="204" t="s">
        <v>502</v>
      </c>
      <c r="C128" s="204" t="s">
        <v>565</v>
      </c>
      <c r="D128" s="204" t="s">
        <v>48</v>
      </c>
      <c r="E128" s="205">
        <v>2</v>
      </c>
      <c r="G128" s="205">
        <v>1</v>
      </c>
      <c r="H128" s="203" t="s">
        <v>327</v>
      </c>
    </row>
    <row r="129" spans="1:8">
      <c r="A129" s="201">
        <v>44182.654918981483</v>
      </c>
      <c r="B129" s="505" t="s">
        <v>452</v>
      </c>
      <c r="C129" s="506"/>
      <c r="D129" s="506"/>
      <c r="E129" s="506"/>
      <c r="F129" s="506"/>
      <c r="G129" s="507"/>
      <c r="H129" s="203" t="s">
        <v>327</v>
      </c>
    </row>
    <row r="130" spans="1:8">
      <c r="A130" s="201">
        <v>44182.655092592591</v>
      </c>
      <c r="B130" s="505" t="s">
        <v>566</v>
      </c>
      <c r="C130" s="506"/>
      <c r="D130" s="506"/>
      <c r="E130" s="506"/>
      <c r="F130" s="506"/>
      <c r="G130" s="507"/>
      <c r="H130" s="203" t="s">
        <v>327</v>
      </c>
    </row>
    <row r="131" spans="1:8">
      <c r="A131" s="201">
        <v>44182.657592592594</v>
      </c>
      <c r="B131" s="505" t="s">
        <v>452</v>
      </c>
      <c r="C131" s="506"/>
      <c r="D131" s="506"/>
      <c r="E131" s="506"/>
      <c r="F131" s="506"/>
      <c r="G131" s="507"/>
      <c r="H131" s="203" t="s">
        <v>327</v>
      </c>
    </row>
    <row r="132" spans="1:8">
      <c r="A132" s="201">
        <v>44182.657604166663</v>
      </c>
      <c r="B132" s="505" t="s">
        <v>566</v>
      </c>
      <c r="C132" s="506"/>
      <c r="D132" s="506"/>
      <c r="E132" s="506"/>
      <c r="F132" s="506"/>
      <c r="G132" s="507"/>
      <c r="H132" s="203" t="s">
        <v>327</v>
      </c>
    </row>
    <row r="133" spans="1:8">
      <c r="A133" s="201">
        <v>44182.657685185186</v>
      </c>
      <c r="B133" s="505" t="s">
        <v>452</v>
      </c>
      <c r="C133" s="506"/>
      <c r="D133" s="506"/>
      <c r="E133" s="506"/>
      <c r="F133" s="506"/>
      <c r="G133" s="507"/>
      <c r="H133" s="203" t="s">
        <v>327</v>
      </c>
    </row>
    <row r="134" spans="1:8">
      <c r="A134" s="201">
        <v>44182.657696759263</v>
      </c>
      <c r="B134" s="505" t="s">
        <v>566</v>
      </c>
      <c r="C134" s="506"/>
      <c r="D134" s="506"/>
      <c r="E134" s="506"/>
      <c r="F134" s="506"/>
      <c r="G134" s="507"/>
      <c r="H134" s="203" t="s">
        <v>327</v>
      </c>
    </row>
    <row r="135" spans="1:8">
      <c r="A135" s="201">
        <v>44182.676157407404</v>
      </c>
      <c r="B135" s="505" t="s">
        <v>452</v>
      </c>
      <c r="C135" s="506"/>
      <c r="D135" s="506"/>
      <c r="E135" s="506"/>
      <c r="F135" s="506"/>
      <c r="G135" s="507"/>
      <c r="H135" s="203" t="s">
        <v>327</v>
      </c>
    </row>
    <row r="136" spans="1:8">
      <c r="A136" s="201">
        <v>44182.676689814813</v>
      </c>
      <c r="B136" s="505" t="s">
        <v>566</v>
      </c>
      <c r="C136" s="506"/>
      <c r="D136" s="506"/>
      <c r="E136" s="506"/>
      <c r="F136" s="506"/>
      <c r="G136" s="507"/>
      <c r="H136" s="203" t="s">
        <v>327</v>
      </c>
    </row>
    <row r="137" spans="1:8">
      <c r="A137" s="201">
        <v>44182.684247685182</v>
      </c>
      <c r="B137" s="505" t="s">
        <v>452</v>
      </c>
      <c r="C137" s="506"/>
      <c r="D137" s="506"/>
      <c r="E137" s="506"/>
      <c r="F137" s="506"/>
      <c r="G137" s="507"/>
      <c r="H137" s="203" t="s">
        <v>327</v>
      </c>
    </row>
    <row r="138" spans="1:8">
      <c r="A138" s="201">
        <v>44182.684571759259</v>
      </c>
      <c r="B138" s="505" t="s">
        <v>566</v>
      </c>
      <c r="C138" s="506"/>
      <c r="D138" s="506"/>
      <c r="E138" s="506"/>
      <c r="F138" s="506"/>
      <c r="G138" s="507"/>
      <c r="H138" s="203" t="s">
        <v>327</v>
      </c>
    </row>
    <row r="139" spans="1:8">
      <c r="A139" s="201">
        <v>44182.685902777775</v>
      </c>
      <c r="B139" s="505" t="s">
        <v>452</v>
      </c>
      <c r="C139" s="506"/>
      <c r="D139" s="506"/>
      <c r="E139" s="506"/>
      <c r="F139" s="506"/>
      <c r="G139" s="507"/>
      <c r="H139" s="203" t="s">
        <v>327</v>
      </c>
    </row>
    <row r="140" spans="1:8">
      <c r="A140" s="201">
        <v>44182.685914351852</v>
      </c>
      <c r="B140" s="505" t="s">
        <v>566</v>
      </c>
      <c r="C140" s="506"/>
      <c r="D140" s="506"/>
      <c r="E140" s="506"/>
      <c r="F140" s="506"/>
      <c r="G140" s="507"/>
      <c r="H140" s="203" t="s">
        <v>327</v>
      </c>
    </row>
    <row r="141" spans="1:8">
      <c r="A141" s="201">
        <v>44182.685983796298</v>
      </c>
      <c r="B141" s="505" t="s">
        <v>452</v>
      </c>
      <c r="C141" s="506"/>
      <c r="D141" s="506"/>
      <c r="E141" s="506"/>
      <c r="F141" s="506"/>
      <c r="G141" s="507"/>
      <c r="H141" s="203" t="s">
        <v>327</v>
      </c>
    </row>
    <row r="142" spans="1:8">
      <c r="A142" s="201">
        <v>44182.685995370368</v>
      </c>
      <c r="B142" s="505" t="s">
        <v>566</v>
      </c>
      <c r="C142" s="506"/>
      <c r="D142" s="506"/>
      <c r="E142" s="506"/>
      <c r="F142" s="506"/>
      <c r="G142" s="507"/>
      <c r="H142" s="203" t="s">
        <v>327</v>
      </c>
    </row>
    <row r="143" spans="1:8">
      <c r="A143" s="201">
        <v>44182.692523148151</v>
      </c>
      <c r="B143" s="505" t="s">
        <v>452</v>
      </c>
      <c r="C143" s="506"/>
      <c r="D143" s="506"/>
      <c r="E143" s="506"/>
      <c r="F143" s="506"/>
      <c r="G143" s="507"/>
      <c r="H143" s="203" t="s">
        <v>327</v>
      </c>
    </row>
    <row r="144" spans="1:8">
      <c r="A144" s="201">
        <v>44182.692546296297</v>
      </c>
      <c r="B144" s="505" t="s">
        <v>566</v>
      </c>
      <c r="C144" s="506"/>
      <c r="D144" s="506"/>
      <c r="E144" s="506"/>
      <c r="F144" s="506"/>
      <c r="G144" s="507"/>
      <c r="H144" s="203" t="s">
        <v>327</v>
      </c>
    </row>
    <row r="145" spans="1:8">
      <c r="A145" s="201">
        <v>44182.694027777776</v>
      </c>
      <c r="B145" s="505" t="s">
        <v>452</v>
      </c>
      <c r="C145" s="506"/>
      <c r="D145" s="506"/>
      <c r="E145" s="506"/>
      <c r="F145" s="506"/>
      <c r="G145" s="507"/>
      <c r="H145" s="203" t="s">
        <v>327</v>
      </c>
    </row>
    <row r="146" spans="1:8">
      <c r="A146" s="201">
        <v>44182.69431712963</v>
      </c>
      <c r="B146" s="505" t="s">
        <v>566</v>
      </c>
      <c r="C146" s="506"/>
      <c r="D146" s="506"/>
      <c r="E146" s="506"/>
      <c r="F146" s="506"/>
      <c r="G146" s="507"/>
      <c r="H146" s="203" t="s">
        <v>327</v>
      </c>
    </row>
    <row r="147" spans="1:8">
      <c r="A147" s="201">
        <v>44182.694537037038</v>
      </c>
      <c r="B147" s="505" t="s">
        <v>566</v>
      </c>
      <c r="C147" s="506"/>
      <c r="D147" s="506"/>
      <c r="E147" s="506"/>
      <c r="F147" s="506"/>
      <c r="G147" s="507"/>
      <c r="H147" s="203" t="s">
        <v>327</v>
      </c>
    </row>
    <row r="148" spans="1:8">
      <c r="A148" s="201">
        <v>44182.695011574076</v>
      </c>
      <c r="B148" s="505" t="s">
        <v>452</v>
      </c>
      <c r="C148" s="506"/>
      <c r="D148" s="506"/>
      <c r="E148" s="506"/>
      <c r="F148" s="506"/>
      <c r="G148" s="507"/>
      <c r="H148" s="203" t="s">
        <v>327</v>
      </c>
    </row>
    <row r="149" spans="1:8">
      <c r="A149" s="201">
        <v>44182.695300925923</v>
      </c>
      <c r="B149" s="505" t="s">
        <v>566</v>
      </c>
      <c r="C149" s="506"/>
      <c r="D149" s="506"/>
      <c r="E149" s="506"/>
      <c r="F149" s="506"/>
      <c r="G149" s="507"/>
      <c r="H149" s="203" t="s">
        <v>327</v>
      </c>
    </row>
    <row r="150" spans="1:8">
      <c r="A150" s="201">
        <v>44182.695439814815</v>
      </c>
      <c r="B150" s="505" t="s">
        <v>452</v>
      </c>
      <c r="C150" s="506"/>
      <c r="D150" s="506"/>
      <c r="E150" s="506"/>
      <c r="F150" s="506"/>
      <c r="G150" s="507"/>
      <c r="H150" s="203" t="s">
        <v>327</v>
      </c>
    </row>
    <row r="151" spans="1:8">
      <c r="A151" s="201">
        <v>44182.695532407408</v>
      </c>
      <c r="B151" s="505" t="s">
        <v>566</v>
      </c>
      <c r="C151" s="506"/>
      <c r="D151" s="506"/>
      <c r="E151" s="506"/>
      <c r="F151" s="506"/>
      <c r="G151" s="507"/>
      <c r="H151" s="203" t="s">
        <v>327</v>
      </c>
    </row>
    <row r="152" spans="1:8">
      <c r="A152" s="201">
        <v>44182.695636574077</v>
      </c>
      <c r="B152" s="505" t="s">
        <v>452</v>
      </c>
      <c r="C152" s="506"/>
      <c r="D152" s="506"/>
      <c r="E152" s="506"/>
      <c r="F152" s="506"/>
      <c r="G152" s="507"/>
      <c r="H152" s="203" t="s">
        <v>327</v>
      </c>
    </row>
    <row r="153" spans="1:8">
      <c r="A153" s="201">
        <v>44182.698182870372</v>
      </c>
      <c r="B153" s="204" t="s">
        <v>502</v>
      </c>
      <c r="C153" s="204" t="s">
        <v>568</v>
      </c>
      <c r="D153" s="204" t="s">
        <v>171</v>
      </c>
      <c r="E153" s="205">
        <v>3</v>
      </c>
      <c r="G153" s="205">
        <v>3.0550000000000002</v>
      </c>
      <c r="H153" s="203" t="s">
        <v>327</v>
      </c>
    </row>
    <row r="154" spans="1:8">
      <c r="A154" s="201">
        <v>44182.698263888888</v>
      </c>
      <c r="B154" s="204" t="s">
        <v>502</v>
      </c>
      <c r="C154" s="204" t="s">
        <v>569</v>
      </c>
      <c r="D154" s="204" t="s">
        <v>105</v>
      </c>
      <c r="E154" s="205">
        <v>3</v>
      </c>
      <c r="G154" s="205">
        <v>14.67</v>
      </c>
      <c r="H154" s="203" t="s">
        <v>327</v>
      </c>
    </row>
    <row r="155" spans="1:8">
      <c r="A155" s="201">
        <v>44182.69835648148</v>
      </c>
      <c r="B155" s="204" t="s">
        <v>502</v>
      </c>
      <c r="C155" s="204" t="s">
        <v>570</v>
      </c>
      <c r="D155" s="204" t="s">
        <v>109</v>
      </c>
      <c r="E155" s="205">
        <v>3</v>
      </c>
      <c r="G155" s="205">
        <v>8.9700000000000006</v>
      </c>
      <c r="H155" s="203" t="s">
        <v>327</v>
      </c>
    </row>
    <row r="156" spans="1:8">
      <c r="A156" s="201">
        <v>44182.698460648149</v>
      </c>
      <c r="B156" s="204" t="s">
        <v>502</v>
      </c>
      <c r="C156" s="204" t="s">
        <v>571</v>
      </c>
      <c r="D156" s="204" t="s">
        <v>316</v>
      </c>
      <c r="E156" s="205">
        <v>3</v>
      </c>
      <c r="G156" s="205">
        <v>3</v>
      </c>
      <c r="H156" s="203" t="s">
        <v>327</v>
      </c>
    </row>
    <row r="157" spans="1:8">
      <c r="A157" s="201">
        <v>44182.698530092595</v>
      </c>
      <c r="B157" s="204" t="s">
        <v>502</v>
      </c>
      <c r="C157" s="204" t="s">
        <v>572</v>
      </c>
      <c r="D157" s="204" t="s">
        <v>282</v>
      </c>
      <c r="E157" s="205">
        <v>3</v>
      </c>
      <c r="G157" s="205">
        <v>6.79</v>
      </c>
      <c r="H157" s="203" t="s">
        <v>327</v>
      </c>
    </row>
    <row r="158" spans="1:8">
      <c r="A158" s="201">
        <v>44182.698842592596</v>
      </c>
      <c r="B158" s="204" t="s">
        <v>502</v>
      </c>
      <c r="C158" s="204" t="s">
        <v>573</v>
      </c>
      <c r="D158" s="204" t="s">
        <v>251</v>
      </c>
      <c r="E158" s="205">
        <v>3</v>
      </c>
      <c r="G158" s="205">
        <v>1</v>
      </c>
      <c r="H158" s="203" t="s">
        <v>327</v>
      </c>
    </row>
    <row r="159" spans="1:8">
      <c r="A159" s="201">
        <v>44182.698923611111</v>
      </c>
      <c r="B159" s="204" t="s">
        <v>502</v>
      </c>
      <c r="C159" s="204" t="s">
        <v>574</v>
      </c>
      <c r="D159" s="204" t="s">
        <v>67</v>
      </c>
      <c r="E159" s="205">
        <v>3</v>
      </c>
      <c r="G159" s="205">
        <v>0.2</v>
      </c>
      <c r="H159" s="203" t="s">
        <v>327</v>
      </c>
    </row>
    <row r="160" spans="1:8">
      <c r="A160" s="201">
        <v>44182.698969907404</v>
      </c>
      <c r="B160" s="204" t="s">
        <v>502</v>
      </c>
      <c r="C160" s="204" t="s">
        <v>575</v>
      </c>
      <c r="D160" s="204" t="s">
        <v>246</v>
      </c>
      <c r="E160" s="205">
        <v>3</v>
      </c>
      <c r="G160" s="205">
        <v>0.25</v>
      </c>
      <c r="H160" s="203" t="s">
        <v>327</v>
      </c>
    </row>
    <row r="161" spans="1:8">
      <c r="A161" s="201">
        <v>44182.69903935185</v>
      </c>
      <c r="B161" s="204" t="s">
        <v>502</v>
      </c>
      <c r="C161" s="204" t="s">
        <v>576</v>
      </c>
      <c r="D161" s="204" t="s">
        <v>70</v>
      </c>
      <c r="E161" s="205">
        <v>3</v>
      </c>
      <c r="G161" s="205">
        <v>1</v>
      </c>
      <c r="H161" s="203" t="s">
        <v>327</v>
      </c>
    </row>
    <row r="162" spans="1:8">
      <c r="A162" s="201">
        <v>44182.699108796296</v>
      </c>
      <c r="B162" s="204" t="s">
        <v>502</v>
      </c>
      <c r="C162" s="204" t="s">
        <v>577</v>
      </c>
      <c r="D162" s="204" t="s">
        <v>11</v>
      </c>
      <c r="E162" s="205">
        <v>3</v>
      </c>
      <c r="G162" s="205">
        <v>1</v>
      </c>
      <c r="H162" s="203" t="s">
        <v>327</v>
      </c>
    </row>
    <row r="163" spans="1:8">
      <c r="A163" s="201">
        <v>44182.699166666665</v>
      </c>
      <c r="B163" s="204" t="s">
        <v>502</v>
      </c>
      <c r="C163" s="204" t="s">
        <v>578</v>
      </c>
      <c r="D163" s="204" t="s">
        <v>233</v>
      </c>
      <c r="E163" s="205">
        <v>3</v>
      </c>
      <c r="G163" s="205">
        <v>2</v>
      </c>
      <c r="H163" s="203" t="s">
        <v>327</v>
      </c>
    </row>
    <row r="164" spans="1:8">
      <c r="A164" s="201">
        <v>44182.699259259258</v>
      </c>
      <c r="B164" s="204" t="s">
        <v>502</v>
      </c>
      <c r="C164" s="204" t="s">
        <v>579</v>
      </c>
      <c r="D164" s="204" t="s">
        <v>82</v>
      </c>
      <c r="E164" s="205">
        <v>3</v>
      </c>
      <c r="G164" s="205">
        <v>2</v>
      </c>
      <c r="H164" s="203" t="s">
        <v>327</v>
      </c>
    </row>
    <row r="165" spans="1:8">
      <c r="A165" s="201">
        <v>44182.699328703704</v>
      </c>
      <c r="B165" s="204" t="s">
        <v>502</v>
      </c>
      <c r="C165" s="204" t="s">
        <v>580</v>
      </c>
      <c r="D165" s="204" t="s">
        <v>228</v>
      </c>
      <c r="E165" s="205">
        <v>3</v>
      </c>
      <c r="G165" s="205">
        <v>1</v>
      </c>
      <c r="H165" s="203" t="s">
        <v>327</v>
      </c>
    </row>
    <row r="166" spans="1:8">
      <c r="A166" s="201">
        <v>44182.699328703704</v>
      </c>
      <c r="B166" s="204" t="s">
        <v>502</v>
      </c>
      <c r="C166" s="204" t="s">
        <v>581</v>
      </c>
      <c r="D166" s="204" t="s">
        <v>227</v>
      </c>
      <c r="E166" s="205">
        <v>3</v>
      </c>
      <c r="G166" s="205">
        <v>1</v>
      </c>
      <c r="H166" s="203" t="s">
        <v>327</v>
      </c>
    </row>
    <row r="167" spans="1:8">
      <c r="A167" s="201">
        <v>44182.699432870373</v>
      </c>
      <c r="B167" s="204" t="s">
        <v>502</v>
      </c>
      <c r="C167" s="204" t="s">
        <v>582</v>
      </c>
      <c r="D167" s="204" t="s">
        <v>252</v>
      </c>
      <c r="E167" s="205">
        <v>3</v>
      </c>
      <c r="G167" s="205">
        <v>1</v>
      </c>
      <c r="H167" s="203" t="s">
        <v>327</v>
      </c>
    </row>
    <row r="168" spans="1:8">
      <c r="A168" s="201">
        <v>44182.699502314812</v>
      </c>
      <c r="B168" s="204" t="s">
        <v>502</v>
      </c>
      <c r="C168" s="204" t="s">
        <v>583</v>
      </c>
      <c r="D168" s="204" t="s">
        <v>89</v>
      </c>
      <c r="E168" s="205">
        <v>3</v>
      </c>
      <c r="G168" s="205">
        <v>2</v>
      </c>
      <c r="H168" s="203" t="s">
        <v>327</v>
      </c>
    </row>
    <row r="169" spans="1:8">
      <c r="A169" s="201">
        <v>44182.699525462966</v>
      </c>
      <c r="B169" s="202" t="s">
        <v>502</v>
      </c>
      <c r="C169" s="202" t="s">
        <v>584</v>
      </c>
      <c r="D169" s="202" t="s">
        <v>93</v>
      </c>
      <c r="E169" s="215">
        <v>3</v>
      </c>
      <c r="F169" s="202"/>
      <c r="G169" s="202">
        <v>1</v>
      </c>
      <c r="H169" s="203" t="s">
        <v>327</v>
      </c>
    </row>
    <row r="170" spans="1:8">
      <c r="A170" s="201">
        <v>44182.699733796297</v>
      </c>
      <c r="B170" s="202" t="s">
        <v>502</v>
      </c>
      <c r="C170" s="202" t="s">
        <v>585</v>
      </c>
      <c r="D170" s="202" t="s">
        <v>256</v>
      </c>
      <c r="E170" s="215">
        <v>3</v>
      </c>
      <c r="F170" s="202"/>
      <c r="G170" s="202">
        <v>1.4650000000000001</v>
      </c>
      <c r="H170" s="203" t="s">
        <v>327</v>
      </c>
    </row>
    <row r="171" spans="1:8">
      <c r="A171" s="201">
        <v>44182.699791666666</v>
      </c>
      <c r="B171" s="202" t="s">
        <v>502</v>
      </c>
      <c r="C171" s="202" t="s">
        <v>586</v>
      </c>
      <c r="D171" s="202" t="s">
        <v>47</v>
      </c>
      <c r="E171" s="215">
        <v>3</v>
      </c>
      <c r="F171" s="202"/>
      <c r="G171" s="202">
        <v>3.95</v>
      </c>
      <c r="H171" s="203" t="s">
        <v>327</v>
      </c>
    </row>
    <row r="172" spans="1:8">
      <c r="A172" s="201">
        <v>44182.700844907406</v>
      </c>
      <c r="B172" s="202" t="s">
        <v>502</v>
      </c>
      <c r="C172" s="202" t="s">
        <v>587</v>
      </c>
      <c r="D172" s="202" t="s">
        <v>48</v>
      </c>
      <c r="E172" s="215">
        <v>3</v>
      </c>
      <c r="F172" s="202"/>
      <c r="G172" s="202">
        <v>1</v>
      </c>
      <c r="H172" s="203" t="s">
        <v>327</v>
      </c>
    </row>
    <row r="173" spans="1:8">
      <c r="A173" s="201">
        <v>44182.701041666667</v>
      </c>
      <c r="B173" s="202" t="s">
        <v>502</v>
      </c>
      <c r="C173" s="202" t="s">
        <v>588</v>
      </c>
      <c r="D173" s="202" t="s">
        <v>44</v>
      </c>
      <c r="E173" s="215">
        <v>3</v>
      </c>
      <c r="F173" s="202"/>
      <c r="G173" s="202">
        <v>3.45</v>
      </c>
      <c r="H173" s="203" t="s">
        <v>327</v>
      </c>
    </row>
    <row r="174" spans="1:8">
      <c r="A174" s="201">
        <v>44182.701157407406</v>
      </c>
      <c r="B174" s="202" t="s">
        <v>502</v>
      </c>
      <c r="C174" s="202" t="s">
        <v>589</v>
      </c>
      <c r="D174" s="202" t="s">
        <v>4</v>
      </c>
      <c r="E174" s="215">
        <v>3</v>
      </c>
      <c r="F174" s="202"/>
      <c r="G174" s="202">
        <v>1</v>
      </c>
      <c r="H174" s="203" t="s">
        <v>327</v>
      </c>
    </row>
    <row r="175" spans="1:8">
      <c r="A175" s="201">
        <v>44182.701180555552</v>
      </c>
      <c r="B175" s="202" t="s">
        <v>502</v>
      </c>
      <c r="C175" s="202" t="s">
        <v>590</v>
      </c>
      <c r="D175" s="202" t="s">
        <v>247</v>
      </c>
      <c r="E175" s="215">
        <v>3</v>
      </c>
      <c r="F175" s="202"/>
      <c r="G175" s="202">
        <v>5</v>
      </c>
      <c r="H175" s="203" t="s">
        <v>327</v>
      </c>
    </row>
    <row r="176" spans="1:8">
      <c r="A176" s="201">
        <v>44182.701319444444</v>
      </c>
      <c r="B176" s="202" t="s">
        <v>502</v>
      </c>
      <c r="C176" s="202" t="s">
        <v>591</v>
      </c>
      <c r="D176" s="202" t="s">
        <v>79</v>
      </c>
      <c r="E176" s="215">
        <v>3</v>
      </c>
      <c r="F176" s="202"/>
      <c r="G176" s="202">
        <v>3</v>
      </c>
      <c r="H176" s="203" t="s">
        <v>327</v>
      </c>
    </row>
    <row r="177" spans="1:8">
      <c r="A177" s="201">
        <v>44182.70140046296</v>
      </c>
      <c r="B177" s="204" t="s">
        <v>502</v>
      </c>
      <c r="C177" s="204" t="s">
        <v>592</v>
      </c>
      <c r="D177" s="204" t="s">
        <v>230</v>
      </c>
      <c r="E177" s="205">
        <v>3</v>
      </c>
      <c r="G177" s="205">
        <v>15</v>
      </c>
      <c r="H177" s="203" t="s">
        <v>327</v>
      </c>
    </row>
    <row r="178" spans="1:8">
      <c r="A178" s="201">
        <v>44182.701435185183</v>
      </c>
      <c r="B178" s="204" t="s">
        <v>502</v>
      </c>
      <c r="C178" s="204" t="s">
        <v>592</v>
      </c>
      <c r="D178" s="204" t="s">
        <v>230</v>
      </c>
      <c r="E178" s="205">
        <v>3</v>
      </c>
      <c r="G178" s="205">
        <v>30</v>
      </c>
      <c r="H178" s="203" t="s">
        <v>327</v>
      </c>
    </row>
    <row r="179" spans="1:8">
      <c r="A179" s="201">
        <v>44182.701504629629</v>
      </c>
      <c r="B179" s="202" t="s">
        <v>502</v>
      </c>
      <c r="C179" s="202" t="s">
        <v>593</v>
      </c>
      <c r="D179" s="202" t="s">
        <v>86</v>
      </c>
      <c r="E179" s="215">
        <v>3</v>
      </c>
      <c r="F179" s="202"/>
      <c r="G179" s="202">
        <v>1</v>
      </c>
      <c r="H179" s="203" t="s">
        <v>327</v>
      </c>
    </row>
    <row r="180" spans="1:8">
      <c r="A180" s="201">
        <v>44182.701643518521</v>
      </c>
      <c r="B180" s="202" t="s">
        <v>502</v>
      </c>
      <c r="C180" s="202" t="s">
        <v>594</v>
      </c>
      <c r="D180" s="202" t="s">
        <v>224</v>
      </c>
      <c r="E180" s="215">
        <v>3</v>
      </c>
      <c r="F180" s="202"/>
      <c r="G180" s="202">
        <v>1</v>
      </c>
      <c r="H180" s="203" t="s">
        <v>327</v>
      </c>
    </row>
    <row r="181" spans="1:8">
      <c r="A181" s="201">
        <v>44182.70171296296</v>
      </c>
      <c r="B181" s="204" t="s">
        <v>502</v>
      </c>
      <c r="C181" s="204" t="s">
        <v>595</v>
      </c>
      <c r="D181" s="204" t="s">
        <v>236</v>
      </c>
      <c r="E181" s="205">
        <v>3</v>
      </c>
      <c r="G181" s="205">
        <v>1</v>
      </c>
      <c r="H181" s="203" t="s">
        <v>327</v>
      </c>
    </row>
    <row r="182" spans="1:8">
      <c r="A182" s="201">
        <v>44182.701840277776</v>
      </c>
      <c r="B182" s="204" t="s">
        <v>502</v>
      </c>
      <c r="C182" s="204" t="s">
        <v>596</v>
      </c>
      <c r="D182" s="204" t="s">
        <v>223</v>
      </c>
      <c r="E182" s="205">
        <v>3</v>
      </c>
      <c r="G182" s="205">
        <v>3</v>
      </c>
      <c r="H182" s="203" t="s">
        <v>327</v>
      </c>
    </row>
    <row r="183" spans="1:8">
      <c r="A183" s="201">
        <v>44182.701840277776</v>
      </c>
      <c r="B183" s="204" t="s">
        <v>502</v>
      </c>
      <c r="C183" s="204" t="s">
        <v>597</v>
      </c>
      <c r="D183" s="204" t="s">
        <v>120</v>
      </c>
      <c r="E183" s="205">
        <v>3</v>
      </c>
      <c r="G183" s="205">
        <v>1</v>
      </c>
      <c r="H183" s="203" t="s">
        <v>327</v>
      </c>
    </row>
    <row r="184" spans="1:8">
      <c r="A184" s="201">
        <v>44182.70208333333</v>
      </c>
      <c r="B184" s="204" t="s">
        <v>502</v>
      </c>
      <c r="C184" s="204" t="s">
        <v>598</v>
      </c>
      <c r="D184" s="204" t="s">
        <v>248</v>
      </c>
      <c r="E184" s="205">
        <v>3</v>
      </c>
      <c r="G184" s="205">
        <v>1</v>
      </c>
      <c r="H184" s="203" t="s">
        <v>327</v>
      </c>
    </row>
    <row r="185" spans="1:8">
      <c r="A185" s="201">
        <v>44182.702164351853</v>
      </c>
      <c r="B185" s="202" t="s">
        <v>502</v>
      </c>
      <c r="C185" s="202" t="s">
        <v>599</v>
      </c>
      <c r="D185" s="202" t="s">
        <v>241</v>
      </c>
      <c r="E185" s="215">
        <v>3</v>
      </c>
      <c r="F185" s="202"/>
      <c r="G185" s="202">
        <v>1</v>
      </c>
      <c r="H185" s="203" t="s">
        <v>327</v>
      </c>
    </row>
    <row r="186" spans="1:8">
      <c r="A186" s="201">
        <v>44182.702187499999</v>
      </c>
      <c r="B186" s="202" t="s">
        <v>502</v>
      </c>
      <c r="C186" s="202" t="s">
        <v>600</v>
      </c>
      <c r="D186" s="202" t="s">
        <v>243</v>
      </c>
      <c r="E186" s="215">
        <v>3</v>
      </c>
      <c r="F186" s="202"/>
      <c r="G186" s="202">
        <v>1</v>
      </c>
      <c r="H186" s="203" t="s">
        <v>327</v>
      </c>
    </row>
    <row r="187" spans="1:8">
      <c r="A187" s="201">
        <v>44182.70239583333</v>
      </c>
      <c r="B187" s="202" t="s">
        <v>502</v>
      </c>
      <c r="C187" s="202" t="s">
        <v>601</v>
      </c>
      <c r="D187" s="202" t="s">
        <v>237</v>
      </c>
      <c r="E187" s="215">
        <v>3</v>
      </c>
      <c r="F187" s="202"/>
      <c r="G187" s="202">
        <v>1</v>
      </c>
      <c r="H187" s="203" t="s">
        <v>327</v>
      </c>
    </row>
    <row r="188" spans="1:8">
      <c r="A188" s="201">
        <v>44182.702488425923</v>
      </c>
      <c r="B188" s="202" t="s">
        <v>502</v>
      </c>
      <c r="C188" s="202" t="s">
        <v>602</v>
      </c>
      <c r="D188" s="202" t="s">
        <v>102</v>
      </c>
      <c r="E188" s="215">
        <v>3</v>
      </c>
      <c r="F188" s="202"/>
      <c r="G188" s="202">
        <v>2</v>
      </c>
      <c r="H188" s="203" t="s">
        <v>327</v>
      </c>
    </row>
    <row r="189" spans="1:8">
      <c r="A189" s="201">
        <v>44182.702557870369</v>
      </c>
      <c r="B189" s="204" t="s">
        <v>502</v>
      </c>
      <c r="C189" s="204" t="s">
        <v>603</v>
      </c>
      <c r="D189" s="204" t="s">
        <v>27</v>
      </c>
      <c r="E189" s="205">
        <v>3</v>
      </c>
      <c r="G189" s="206">
        <v>1</v>
      </c>
      <c r="H189" s="203" t="s">
        <v>327</v>
      </c>
    </row>
    <row r="190" spans="1:8">
      <c r="A190" s="201">
        <v>44182.702592592592</v>
      </c>
      <c r="B190" s="204" t="s">
        <v>502</v>
      </c>
      <c r="C190" s="204" t="s">
        <v>604</v>
      </c>
      <c r="D190" s="204" t="s">
        <v>257</v>
      </c>
      <c r="E190" s="205">
        <v>3</v>
      </c>
      <c r="G190" s="205" t="s">
        <v>458</v>
      </c>
      <c r="H190" s="203" t="s">
        <v>327</v>
      </c>
    </row>
    <row r="191" spans="1:8">
      <c r="A191" s="201">
        <v>44182.702638888892</v>
      </c>
      <c r="B191" s="204" t="s">
        <v>502</v>
      </c>
      <c r="C191" s="204" t="s">
        <v>605</v>
      </c>
      <c r="D191" s="204" t="s">
        <v>253</v>
      </c>
      <c r="E191" s="205">
        <v>3</v>
      </c>
      <c r="G191" s="206">
        <v>1</v>
      </c>
      <c r="H191" s="203" t="s">
        <v>327</v>
      </c>
    </row>
    <row r="192" spans="1:8">
      <c r="A192" s="201">
        <v>44182.702766203707</v>
      </c>
      <c r="B192" s="202" t="s">
        <v>502</v>
      </c>
      <c r="C192" s="202" t="s">
        <v>588</v>
      </c>
      <c r="D192" s="202" t="s">
        <v>44</v>
      </c>
      <c r="E192" s="215">
        <v>3</v>
      </c>
      <c r="F192" s="202"/>
      <c r="G192" s="202">
        <v>6.85</v>
      </c>
      <c r="H192" s="203" t="s">
        <v>327</v>
      </c>
    </row>
    <row r="193" spans="1:8">
      <c r="A193" s="201">
        <v>44182.702824074076</v>
      </c>
      <c r="B193" s="202" t="s">
        <v>502</v>
      </c>
      <c r="C193" s="202" t="s">
        <v>588</v>
      </c>
      <c r="D193" s="202" t="s">
        <v>44</v>
      </c>
      <c r="E193" s="215">
        <v>3</v>
      </c>
      <c r="F193" s="202"/>
      <c r="G193" s="202">
        <v>3.45</v>
      </c>
      <c r="H193" s="203" t="s">
        <v>327</v>
      </c>
    </row>
    <row r="194" spans="1:8">
      <c r="A194" s="201">
        <v>44182.7030787037</v>
      </c>
      <c r="B194" s="204" t="s">
        <v>502</v>
      </c>
      <c r="C194" s="204" t="s">
        <v>606</v>
      </c>
      <c r="D194" s="204" t="s">
        <v>62</v>
      </c>
      <c r="E194" s="205">
        <v>3</v>
      </c>
      <c r="G194" s="205">
        <v>10</v>
      </c>
      <c r="H194" s="203" t="s">
        <v>327</v>
      </c>
    </row>
    <row r="195" spans="1:8">
      <c r="A195" s="201">
        <v>44182.703148148146</v>
      </c>
      <c r="B195" s="204" t="s">
        <v>502</v>
      </c>
      <c r="C195" s="204" t="s">
        <v>607</v>
      </c>
      <c r="D195" s="204" t="s">
        <v>77</v>
      </c>
      <c r="E195" s="205">
        <v>3</v>
      </c>
      <c r="G195" s="205">
        <v>2.5</v>
      </c>
      <c r="H195" s="203" t="s">
        <v>327</v>
      </c>
    </row>
    <row r="196" spans="1:8">
      <c r="A196" s="201">
        <v>44182.7033912037</v>
      </c>
      <c r="B196" s="204" t="s">
        <v>502</v>
      </c>
      <c r="C196" s="204" t="s">
        <v>608</v>
      </c>
      <c r="D196" s="204" t="s">
        <v>291</v>
      </c>
      <c r="E196" s="205">
        <v>3</v>
      </c>
      <c r="G196" s="205">
        <v>1.615</v>
      </c>
      <c r="H196" s="203" t="s">
        <v>327</v>
      </c>
    </row>
    <row r="197" spans="1:8">
      <c r="A197" s="201">
        <v>44182.703414351854</v>
      </c>
      <c r="B197" s="204" t="s">
        <v>502</v>
      </c>
      <c r="C197" s="204" t="s">
        <v>609</v>
      </c>
      <c r="D197" s="204" t="s">
        <v>292</v>
      </c>
      <c r="E197" s="205">
        <v>3</v>
      </c>
      <c r="G197" s="205">
        <v>1</v>
      </c>
      <c r="H197" s="203" t="s">
        <v>327</v>
      </c>
    </row>
    <row r="198" spans="1:8">
      <c r="A198" s="201">
        <v>44182.703449074077</v>
      </c>
      <c r="B198" s="204" t="s">
        <v>502</v>
      </c>
      <c r="C198" s="204" t="s">
        <v>610</v>
      </c>
      <c r="D198" s="204" t="s">
        <v>294</v>
      </c>
      <c r="E198" s="205">
        <v>3</v>
      </c>
      <c r="G198" s="205">
        <v>1</v>
      </c>
      <c r="H198" s="203" t="s">
        <v>327</v>
      </c>
    </row>
    <row r="199" spans="1:8">
      <c r="A199" s="201">
        <v>44182.703483796293</v>
      </c>
      <c r="B199" s="204" t="s">
        <v>502</v>
      </c>
      <c r="C199" s="204" t="s">
        <v>611</v>
      </c>
      <c r="D199" s="204" t="s">
        <v>298</v>
      </c>
      <c r="E199" s="205">
        <v>3</v>
      </c>
      <c r="G199" s="205">
        <v>0.8</v>
      </c>
      <c r="H199" s="203" t="s">
        <v>327</v>
      </c>
    </row>
    <row r="200" spans="1:8">
      <c r="A200" s="201">
        <v>44182.703518518516</v>
      </c>
      <c r="B200" s="204" t="s">
        <v>502</v>
      </c>
      <c r="C200" s="204" t="s">
        <v>612</v>
      </c>
      <c r="D200" s="204" t="s">
        <v>300</v>
      </c>
      <c r="E200" s="205">
        <v>3</v>
      </c>
      <c r="G200" s="205">
        <v>3.34</v>
      </c>
      <c r="H200" s="203" t="s">
        <v>327</v>
      </c>
    </row>
    <row r="201" spans="1:8">
      <c r="A201" s="201">
        <v>44182.703564814816</v>
      </c>
      <c r="B201" s="204" t="s">
        <v>502</v>
      </c>
      <c r="C201" s="204" t="s">
        <v>613</v>
      </c>
      <c r="D201" s="204" t="s">
        <v>303</v>
      </c>
      <c r="E201" s="205">
        <v>3</v>
      </c>
      <c r="G201" s="205">
        <v>3.6549999999999998</v>
      </c>
      <c r="H201" s="203" t="s">
        <v>327</v>
      </c>
    </row>
    <row r="202" spans="1:8">
      <c r="A202" s="201">
        <v>44182.703622685185</v>
      </c>
      <c r="B202" s="204" t="s">
        <v>502</v>
      </c>
      <c r="C202" s="204" t="s">
        <v>614</v>
      </c>
      <c r="D202" s="204" t="s">
        <v>304</v>
      </c>
      <c r="E202" s="205">
        <v>3</v>
      </c>
      <c r="G202" s="205">
        <v>0.75</v>
      </c>
      <c r="H202" s="203" t="s">
        <v>327</v>
      </c>
    </row>
    <row r="203" spans="1:8">
      <c r="A203" s="201">
        <v>44182.703645833331</v>
      </c>
      <c r="B203" s="204" t="s">
        <v>502</v>
      </c>
      <c r="C203" s="204" t="s">
        <v>615</v>
      </c>
      <c r="D203" s="204" t="s">
        <v>305</v>
      </c>
      <c r="E203" s="205">
        <v>3</v>
      </c>
      <c r="G203" s="205">
        <v>0.42</v>
      </c>
      <c r="H203" s="203" t="s">
        <v>327</v>
      </c>
    </row>
    <row r="204" spans="1:8">
      <c r="A204" s="201">
        <v>44182.703680555554</v>
      </c>
      <c r="B204" s="204" t="s">
        <v>502</v>
      </c>
      <c r="C204" s="204" t="s">
        <v>616</v>
      </c>
      <c r="D204" s="204" t="s">
        <v>308</v>
      </c>
      <c r="E204" s="205">
        <v>3</v>
      </c>
      <c r="G204" s="205">
        <v>2</v>
      </c>
      <c r="H204" s="203" t="s">
        <v>327</v>
      </c>
    </row>
    <row r="205" spans="1:8">
      <c r="A205" s="201">
        <v>44182.70380787037</v>
      </c>
      <c r="B205" s="204" t="s">
        <v>502</v>
      </c>
      <c r="C205" s="204" t="s">
        <v>617</v>
      </c>
      <c r="D205" s="204" t="s">
        <v>284</v>
      </c>
      <c r="E205" s="205">
        <v>3</v>
      </c>
      <c r="G205" s="205">
        <v>2.165</v>
      </c>
      <c r="H205" s="203" t="s">
        <v>327</v>
      </c>
    </row>
    <row r="206" spans="1:8">
      <c r="A206" s="201">
        <v>44182.703865740739</v>
      </c>
      <c r="B206" s="204" t="s">
        <v>502</v>
      </c>
      <c r="C206" s="204" t="s">
        <v>618</v>
      </c>
      <c r="D206" s="204" t="s">
        <v>310</v>
      </c>
      <c r="E206" s="205">
        <v>3</v>
      </c>
      <c r="G206" s="205">
        <v>40</v>
      </c>
      <c r="H206" s="203" t="s">
        <v>327</v>
      </c>
    </row>
    <row r="207" spans="1:8">
      <c r="A207" s="201">
        <v>44182.703981481478</v>
      </c>
      <c r="B207" s="204" t="s">
        <v>502</v>
      </c>
      <c r="C207" s="204" t="s">
        <v>619</v>
      </c>
      <c r="D207" s="204" t="s">
        <v>271</v>
      </c>
      <c r="E207" s="205">
        <v>3</v>
      </c>
      <c r="G207" s="205">
        <v>1.1280000000000001</v>
      </c>
      <c r="H207" s="203" t="s">
        <v>327</v>
      </c>
    </row>
    <row r="208" spans="1:8">
      <c r="A208" s="201">
        <v>44182.704016203701</v>
      </c>
      <c r="B208" s="204" t="s">
        <v>502</v>
      </c>
      <c r="C208" s="204" t="s">
        <v>620</v>
      </c>
      <c r="D208" s="204" t="s">
        <v>266</v>
      </c>
      <c r="E208" s="205">
        <v>3</v>
      </c>
      <c r="G208" s="205">
        <v>1</v>
      </c>
      <c r="H208" s="203" t="s">
        <v>327</v>
      </c>
    </row>
    <row r="209" spans="1:8">
      <c r="A209" s="201">
        <v>44182.704097222224</v>
      </c>
      <c r="B209" s="204" t="s">
        <v>502</v>
      </c>
      <c r="C209" s="204" t="s">
        <v>621</v>
      </c>
      <c r="D209" s="204" t="s">
        <v>263</v>
      </c>
      <c r="E209" s="205">
        <v>3</v>
      </c>
      <c r="G209" s="205">
        <v>4.1100000000000003</v>
      </c>
      <c r="H209" s="203" t="s">
        <v>327</v>
      </c>
    </row>
    <row r="210" spans="1:8">
      <c r="A210" s="201">
        <v>44182.704155092593</v>
      </c>
      <c r="B210" s="204" t="s">
        <v>502</v>
      </c>
      <c r="C210" s="204" t="s">
        <v>622</v>
      </c>
      <c r="D210" s="204" t="s">
        <v>133</v>
      </c>
      <c r="E210" s="205">
        <v>3</v>
      </c>
      <c r="G210" s="205">
        <v>1</v>
      </c>
      <c r="H210" s="203" t="s">
        <v>327</v>
      </c>
    </row>
    <row r="211" spans="1:8">
      <c r="A211" s="201">
        <v>44182.704386574071</v>
      </c>
      <c r="B211" s="204" t="s">
        <v>502</v>
      </c>
      <c r="C211" s="204" t="s">
        <v>623</v>
      </c>
      <c r="D211" s="204" t="s">
        <v>344</v>
      </c>
      <c r="E211" s="205">
        <v>3</v>
      </c>
      <c r="G211" s="205">
        <v>5</v>
      </c>
      <c r="H211" s="203" t="s">
        <v>327</v>
      </c>
    </row>
    <row r="212" spans="1:8">
      <c r="A212" s="201">
        <v>44182.704444444447</v>
      </c>
      <c r="B212" s="204" t="s">
        <v>502</v>
      </c>
      <c r="C212" s="204" t="s">
        <v>624</v>
      </c>
      <c r="D212" s="204" t="s">
        <v>346</v>
      </c>
      <c r="E212" s="205">
        <v>3</v>
      </c>
      <c r="G212" s="205">
        <v>1</v>
      </c>
      <c r="H212" s="203" t="s">
        <v>327</v>
      </c>
    </row>
    <row r="213" spans="1:8">
      <c r="A213" s="201">
        <v>44182.704456018517</v>
      </c>
      <c r="B213" s="202" t="s">
        <v>502</v>
      </c>
      <c r="C213" s="202" t="s">
        <v>625</v>
      </c>
      <c r="D213" s="202" t="s">
        <v>248</v>
      </c>
      <c r="E213" s="202">
        <v>3</v>
      </c>
      <c r="F213" s="202"/>
      <c r="G213" s="202">
        <v>1</v>
      </c>
      <c r="H213" s="203" t="s">
        <v>327</v>
      </c>
    </row>
    <row r="214" spans="1:8">
      <c r="A214" s="201">
        <v>44182.704548611109</v>
      </c>
      <c r="B214" s="202" t="s">
        <v>502</v>
      </c>
      <c r="C214" s="202" t="s">
        <v>626</v>
      </c>
      <c r="D214" s="202" t="s">
        <v>341</v>
      </c>
      <c r="E214" s="202">
        <v>3</v>
      </c>
      <c r="F214" s="202"/>
      <c r="G214" s="202">
        <v>5</v>
      </c>
      <c r="H214" s="203" t="s">
        <v>327</v>
      </c>
    </row>
    <row r="215" spans="1:8">
      <c r="A215" s="201">
        <v>44182.704687500001</v>
      </c>
      <c r="B215" s="204" t="s">
        <v>502</v>
      </c>
      <c r="C215" s="204" t="s">
        <v>627</v>
      </c>
      <c r="D215" s="204" t="s">
        <v>363</v>
      </c>
      <c r="E215" s="205">
        <v>3</v>
      </c>
      <c r="G215" s="205">
        <v>1</v>
      </c>
      <c r="H215" s="203" t="s">
        <v>327</v>
      </c>
    </row>
    <row r="216" spans="1:8">
      <c r="A216" s="201">
        <v>44182.70621527778</v>
      </c>
      <c r="B216" s="204" t="s">
        <v>502</v>
      </c>
      <c r="C216" s="204" t="s">
        <v>628</v>
      </c>
      <c r="D216" s="204" t="s">
        <v>364</v>
      </c>
      <c r="E216" s="205">
        <v>3</v>
      </c>
      <c r="G216" s="205">
        <v>2</v>
      </c>
      <c r="H216" s="203" t="s">
        <v>327</v>
      </c>
    </row>
    <row r="217" spans="1:8">
      <c r="A217" s="201">
        <v>44182.706284722219</v>
      </c>
      <c r="B217" s="204" t="s">
        <v>502</v>
      </c>
      <c r="C217" s="204" t="s">
        <v>629</v>
      </c>
      <c r="D217" s="204" t="s">
        <v>367</v>
      </c>
      <c r="E217" s="205">
        <v>3</v>
      </c>
      <c r="G217" s="205">
        <v>1</v>
      </c>
      <c r="H217" s="203" t="s">
        <v>327</v>
      </c>
    </row>
    <row r="218" spans="1:8">
      <c r="A218" s="201">
        <v>44182.706331018519</v>
      </c>
      <c r="B218" s="204" t="s">
        <v>502</v>
      </c>
      <c r="C218" s="204" t="s">
        <v>630</v>
      </c>
      <c r="D218" s="204" t="s">
        <v>368</v>
      </c>
      <c r="E218" s="205">
        <v>3</v>
      </c>
      <c r="G218" s="205">
        <v>2</v>
      </c>
      <c r="H218" s="203" t="s">
        <v>327</v>
      </c>
    </row>
    <row r="219" spans="1:8">
      <c r="A219" s="201">
        <v>44182.706400462965</v>
      </c>
      <c r="B219" s="204" t="s">
        <v>502</v>
      </c>
      <c r="C219" s="204" t="s">
        <v>631</v>
      </c>
      <c r="D219" s="204" t="s">
        <v>371</v>
      </c>
      <c r="E219" s="205">
        <v>3</v>
      </c>
      <c r="G219" s="205">
        <v>1</v>
      </c>
      <c r="H219" s="203" t="s">
        <v>327</v>
      </c>
    </row>
    <row r="220" spans="1:8">
      <c r="A220" s="201">
        <v>44182.706458333334</v>
      </c>
      <c r="B220" s="204" t="s">
        <v>502</v>
      </c>
      <c r="C220" s="204" t="s">
        <v>632</v>
      </c>
      <c r="D220" s="204" t="s">
        <v>373</v>
      </c>
      <c r="E220" s="205">
        <v>3</v>
      </c>
      <c r="G220" s="205">
        <v>5</v>
      </c>
      <c r="H220" s="203" t="s">
        <v>327</v>
      </c>
    </row>
    <row r="221" spans="1:8">
      <c r="A221" s="201">
        <v>44182.706562500003</v>
      </c>
      <c r="B221" s="204" t="s">
        <v>502</v>
      </c>
      <c r="C221" s="204" t="s">
        <v>633</v>
      </c>
      <c r="D221" s="204" t="s">
        <v>374</v>
      </c>
      <c r="E221" s="205">
        <v>3</v>
      </c>
      <c r="G221" s="205">
        <v>1</v>
      </c>
      <c r="H221" s="203" t="s">
        <v>327</v>
      </c>
    </row>
    <row r="222" spans="1:8">
      <c r="A222" s="201">
        <v>44182.706562500003</v>
      </c>
      <c r="B222" s="204" t="s">
        <v>502</v>
      </c>
      <c r="C222" s="204" t="s">
        <v>634</v>
      </c>
      <c r="D222" s="204" t="s">
        <v>375</v>
      </c>
      <c r="E222" s="205">
        <v>3</v>
      </c>
      <c r="G222" s="205">
        <v>1</v>
      </c>
      <c r="H222" s="203" t="s">
        <v>327</v>
      </c>
    </row>
    <row r="223" spans="1:8">
      <c r="A223" s="201">
        <v>44182.706655092596</v>
      </c>
      <c r="B223" s="204" t="s">
        <v>502</v>
      </c>
      <c r="C223" s="204" t="s">
        <v>635</v>
      </c>
      <c r="D223" s="204" t="s">
        <v>381</v>
      </c>
      <c r="E223" s="205">
        <v>3</v>
      </c>
      <c r="G223" s="205">
        <v>1</v>
      </c>
      <c r="H223" s="203" t="s">
        <v>327</v>
      </c>
    </row>
    <row r="224" spans="1:8">
      <c r="A224" s="201">
        <v>44182.706666666665</v>
      </c>
      <c r="B224" s="204" t="s">
        <v>502</v>
      </c>
      <c r="C224" s="204" t="s">
        <v>636</v>
      </c>
      <c r="D224" s="204" t="s">
        <v>383</v>
      </c>
      <c r="E224" s="205">
        <v>3</v>
      </c>
      <c r="G224" s="205">
        <v>1</v>
      </c>
      <c r="H224" s="203" t="s">
        <v>327</v>
      </c>
    </row>
    <row r="225" spans="1:8">
      <c r="A225" s="201">
        <v>44182.706689814811</v>
      </c>
      <c r="B225" s="204" t="s">
        <v>502</v>
      </c>
      <c r="C225" s="204" t="s">
        <v>637</v>
      </c>
      <c r="D225" s="204" t="s">
        <v>384</v>
      </c>
      <c r="E225" s="205">
        <v>3</v>
      </c>
      <c r="G225" s="205">
        <v>1</v>
      </c>
      <c r="H225" s="203" t="s">
        <v>327</v>
      </c>
    </row>
    <row r="226" spans="1:8">
      <c r="A226" s="201">
        <v>44182.706770833334</v>
      </c>
      <c r="B226" s="204" t="s">
        <v>502</v>
      </c>
      <c r="C226" s="204" t="s">
        <v>638</v>
      </c>
      <c r="D226" s="204" t="s">
        <v>391</v>
      </c>
      <c r="E226" s="205">
        <v>3</v>
      </c>
      <c r="G226" s="205">
        <v>1</v>
      </c>
      <c r="H226" s="203" t="s">
        <v>327</v>
      </c>
    </row>
    <row r="227" spans="1:8">
      <c r="A227" s="201">
        <v>44182.70721064815</v>
      </c>
      <c r="B227" s="204" t="s">
        <v>502</v>
      </c>
      <c r="C227" s="204" t="s">
        <v>639</v>
      </c>
      <c r="D227" s="204" t="s">
        <v>107</v>
      </c>
      <c r="E227" s="205">
        <v>4</v>
      </c>
      <c r="G227" s="205">
        <v>12.85</v>
      </c>
      <c r="H227" s="203" t="s">
        <v>327</v>
      </c>
    </row>
    <row r="228" spans="1:8">
      <c r="A228" s="201">
        <v>44182.707280092596</v>
      </c>
      <c r="B228" s="204" t="s">
        <v>502</v>
      </c>
      <c r="C228" s="204" t="s">
        <v>640</v>
      </c>
      <c r="D228" s="204" t="s">
        <v>39</v>
      </c>
      <c r="E228" s="205">
        <v>4</v>
      </c>
      <c r="G228" s="205">
        <v>15.61</v>
      </c>
      <c r="H228" s="203" t="s">
        <v>327</v>
      </c>
    </row>
    <row r="229" spans="1:8">
      <c r="A229" s="201">
        <v>44182.707384259258</v>
      </c>
      <c r="B229" s="204" t="s">
        <v>502</v>
      </c>
      <c r="C229" s="204" t="s">
        <v>495</v>
      </c>
      <c r="D229" s="204" t="s">
        <v>109</v>
      </c>
      <c r="E229" s="205">
        <v>4</v>
      </c>
      <c r="G229" s="205">
        <v>5.12</v>
      </c>
      <c r="H229" s="203" t="s">
        <v>327</v>
      </c>
    </row>
    <row r="230" spans="1:8">
      <c r="A230" s="201">
        <v>44182.707407407404</v>
      </c>
      <c r="B230" s="204" t="s">
        <v>502</v>
      </c>
      <c r="C230" s="204" t="s">
        <v>494</v>
      </c>
      <c r="D230" s="204" t="s">
        <v>106</v>
      </c>
      <c r="E230" s="205">
        <v>4</v>
      </c>
      <c r="G230" s="205">
        <v>21.99</v>
      </c>
      <c r="H230" s="203" t="s">
        <v>327</v>
      </c>
    </row>
    <row r="231" spans="1:8">
      <c r="A231" s="201">
        <v>44182.707430555558</v>
      </c>
      <c r="B231" s="204" t="s">
        <v>502</v>
      </c>
      <c r="C231" s="204" t="s">
        <v>641</v>
      </c>
      <c r="D231" s="204" t="s">
        <v>179</v>
      </c>
      <c r="E231" s="205">
        <v>4</v>
      </c>
      <c r="G231" s="205">
        <v>5</v>
      </c>
      <c r="H231" s="203" t="s">
        <v>327</v>
      </c>
    </row>
    <row r="232" spans="1:8">
      <c r="A232" s="201">
        <v>44182.707499999997</v>
      </c>
      <c r="B232" s="204" t="s">
        <v>502</v>
      </c>
      <c r="C232" s="204" t="s">
        <v>642</v>
      </c>
      <c r="D232" s="204" t="s">
        <v>47</v>
      </c>
      <c r="E232" s="205">
        <v>4</v>
      </c>
      <c r="G232" s="205">
        <v>4.0549999999999997</v>
      </c>
      <c r="H232" s="203" t="s">
        <v>327</v>
      </c>
    </row>
    <row r="233" spans="1:8">
      <c r="A233" s="201">
        <v>44182.707916666666</v>
      </c>
      <c r="B233" s="204" t="s">
        <v>502</v>
      </c>
      <c r="C233" s="204" t="s">
        <v>643</v>
      </c>
      <c r="D233" s="204" t="s">
        <v>247</v>
      </c>
      <c r="E233" s="205">
        <v>5</v>
      </c>
      <c r="G233" s="205">
        <v>10</v>
      </c>
      <c r="H233" s="203" t="s">
        <v>327</v>
      </c>
    </row>
    <row r="234" spans="1:8">
      <c r="A234" s="201">
        <v>44182.709421296298</v>
      </c>
      <c r="B234" s="204" t="s">
        <v>502</v>
      </c>
      <c r="C234" s="204" t="s">
        <v>644</v>
      </c>
      <c r="D234" s="204" t="s">
        <v>240</v>
      </c>
      <c r="E234" s="205">
        <v>5</v>
      </c>
      <c r="G234" s="205">
        <v>1</v>
      </c>
      <c r="H234" s="203" t="s">
        <v>327</v>
      </c>
    </row>
    <row r="235" spans="1:8">
      <c r="A235" s="201">
        <v>44182.709479166668</v>
      </c>
      <c r="B235" s="204" t="s">
        <v>502</v>
      </c>
      <c r="C235" s="204" t="s">
        <v>645</v>
      </c>
      <c r="D235" s="204" t="s">
        <v>79</v>
      </c>
      <c r="E235" s="205">
        <v>5</v>
      </c>
      <c r="G235" s="205">
        <v>4</v>
      </c>
      <c r="H235" s="203" t="s">
        <v>327</v>
      </c>
    </row>
    <row r="236" spans="1:8">
      <c r="A236" s="201">
        <v>44182.709583333337</v>
      </c>
      <c r="B236" s="204" t="s">
        <v>502</v>
      </c>
      <c r="C236" s="204" t="s">
        <v>646</v>
      </c>
      <c r="D236" s="204" t="s">
        <v>86</v>
      </c>
      <c r="E236" s="205">
        <v>5</v>
      </c>
      <c r="G236" s="205">
        <v>2</v>
      </c>
      <c r="H236" s="203" t="s">
        <v>327</v>
      </c>
    </row>
    <row r="237" spans="1:8">
      <c r="A237" s="201">
        <v>44182.709594907406</v>
      </c>
      <c r="B237" s="204" t="s">
        <v>502</v>
      </c>
      <c r="C237" s="204" t="s">
        <v>647</v>
      </c>
      <c r="D237" s="204" t="s">
        <v>24</v>
      </c>
      <c r="E237" s="205">
        <v>5</v>
      </c>
      <c r="G237" s="205">
        <v>0.5</v>
      </c>
      <c r="H237" s="203" t="s">
        <v>327</v>
      </c>
    </row>
    <row r="238" spans="1:8">
      <c r="A238" s="201">
        <v>44182.709768518522</v>
      </c>
      <c r="B238" s="204" t="s">
        <v>502</v>
      </c>
      <c r="C238" s="204" t="s">
        <v>648</v>
      </c>
      <c r="D238" s="204" t="s">
        <v>7</v>
      </c>
      <c r="E238" s="205">
        <v>5</v>
      </c>
      <c r="G238" s="205">
        <v>0.8</v>
      </c>
      <c r="H238" s="203" t="s">
        <v>327</v>
      </c>
    </row>
    <row r="239" spans="1:8">
      <c r="A239" s="201">
        <v>44182.709953703707</v>
      </c>
      <c r="B239" s="204" t="s">
        <v>502</v>
      </c>
      <c r="C239" s="204" t="s">
        <v>649</v>
      </c>
      <c r="D239" s="204" t="s">
        <v>236</v>
      </c>
      <c r="E239" s="205">
        <v>5</v>
      </c>
      <c r="G239" s="205">
        <v>2</v>
      </c>
      <c r="H239" s="203" t="s">
        <v>327</v>
      </c>
    </row>
    <row r="240" spans="1:8">
      <c r="A240" s="201">
        <v>44182.709976851853</v>
      </c>
      <c r="B240" s="204" t="s">
        <v>502</v>
      </c>
      <c r="C240" s="204" t="s">
        <v>650</v>
      </c>
      <c r="D240" s="204" t="s">
        <v>235</v>
      </c>
      <c r="E240" s="205">
        <v>5</v>
      </c>
      <c r="G240" s="205">
        <v>2</v>
      </c>
      <c r="H240" s="203" t="s">
        <v>327</v>
      </c>
    </row>
    <row r="241" spans="1:8">
      <c r="A241" s="201">
        <v>44182.710057870368</v>
      </c>
      <c r="B241" s="204" t="s">
        <v>502</v>
      </c>
      <c r="C241" s="204" t="s">
        <v>651</v>
      </c>
      <c r="D241" s="204" t="s">
        <v>224</v>
      </c>
      <c r="E241" s="205">
        <v>5</v>
      </c>
      <c r="G241" s="205">
        <v>2</v>
      </c>
      <c r="H241" s="203" t="s">
        <v>327</v>
      </c>
    </row>
    <row r="242" spans="1:8">
      <c r="A242" s="201">
        <v>44182.710138888891</v>
      </c>
      <c r="B242" s="204" t="s">
        <v>502</v>
      </c>
      <c r="C242" s="204" t="s">
        <v>652</v>
      </c>
      <c r="D242" s="204" t="s">
        <v>253</v>
      </c>
      <c r="E242" s="205">
        <v>5</v>
      </c>
      <c r="G242" s="205">
        <v>2</v>
      </c>
      <c r="H242" s="203" t="s">
        <v>327</v>
      </c>
    </row>
    <row r="243" spans="1:8">
      <c r="A243" s="201">
        <v>44182.710451388892</v>
      </c>
      <c r="B243" s="204" t="s">
        <v>502</v>
      </c>
      <c r="C243" s="204" t="s">
        <v>653</v>
      </c>
      <c r="D243" s="204" t="s">
        <v>4</v>
      </c>
      <c r="E243" s="205">
        <v>5</v>
      </c>
      <c r="G243" s="205">
        <v>2</v>
      </c>
      <c r="H243" s="203" t="s">
        <v>327</v>
      </c>
    </row>
    <row r="244" spans="1:8">
      <c r="A244" s="201">
        <v>44182.710555555554</v>
      </c>
      <c r="B244" s="204" t="s">
        <v>502</v>
      </c>
      <c r="C244" s="204" t="s">
        <v>654</v>
      </c>
      <c r="D244" s="204" t="s">
        <v>78</v>
      </c>
      <c r="E244" s="205">
        <v>5</v>
      </c>
      <c r="G244" s="205">
        <v>2</v>
      </c>
      <c r="H244" s="203" t="s">
        <v>327</v>
      </c>
    </row>
    <row r="245" spans="1:8">
      <c r="A245" s="201">
        <v>44182.710682870369</v>
      </c>
      <c r="B245" s="204" t="s">
        <v>502</v>
      </c>
      <c r="C245" s="204" t="s">
        <v>655</v>
      </c>
      <c r="D245" s="204" t="s">
        <v>228</v>
      </c>
      <c r="E245" s="205">
        <v>5</v>
      </c>
      <c r="G245" s="205">
        <v>15</v>
      </c>
      <c r="H245" s="203" t="s">
        <v>327</v>
      </c>
    </row>
    <row r="246" spans="1:8">
      <c r="A246" s="201">
        <v>44182.710706018515</v>
      </c>
      <c r="B246" s="204" t="s">
        <v>502</v>
      </c>
      <c r="C246" s="204" t="s">
        <v>656</v>
      </c>
      <c r="D246" s="204" t="s">
        <v>102</v>
      </c>
      <c r="E246" s="205">
        <v>5</v>
      </c>
      <c r="G246" s="205">
        <v>1</v>
      </c>
      <c r="H246" s="203" t="s">
        <v>327</v>
      </c>
    </row>
    <row r="247" spans="1:8">
      <c r="A247" s="201">
        <v>44182.710775462961</v>
      </c>
      <c r="B247" s="204" t="s">
        <v>502</v>
      </c>
      <c r="C247" s="204" t="s">
        <v>657</v>
      </c>
      <c r="D247" s="204" t="s">
        <v>87</v>
      </c>
      <c r="E247" s="205">
        <v>5</v>
      </c>
      <c r="G247" s="205">
        <v>1</v>
      </c>
      <c r="H247" s="203" t="s">
        <v>327</v>
      </c>
    </row>
    <row r="248" spans="1:8">
      <c r="A248" s="201">
        <v>44182.710787037038</v>
      </c>
      <c r="B248" s="204" t="s">
        <v>502</v>
      </c>
      <c r="C248" s="204" t="s">
        <v>658</v>
      </c>
      <c r="D248" s="204" t="s">
        <v>88</v>
      </c>
      <c r="E248" s="205">
        <v>5</v>
      </c>
      <c r="G248" s="205">
        <v>1</v>
      </c>
      <c r="H248" s="203" t="s">
        <v>327</v>
      </c>
    </row>
    <row r="249" spans="1:8">
      <c r="A249" s="201">
        <v>44182.710914351854</v>
      </c>
      <c r="B249" s="204" t="s">
        <v>502</v>
      </c>
      <c r="C249" s="204" t="s">
        <v>659</v>
      </c>
      <c r="D249" s="204" t="s">
        <v>256</v>
      </c>
      <c r="E249" s="205">
        <v>5</v>
      </c>
      <c r="G249" s="205">
        <v>3.0049999999999999</v>
      </c>
      <c r="H249" s="203" t="s">
        <v>327</v>
      </c>
    </row>
    <row r="250" spans="1:8">
      <c r="A250" s="201">
        <v>44182.711053240739</v>
      </c>
      <c r="B250" s="204" t="s">
        <v>502</v>
      </c>
      <c r="C250" s="204" t="s">
        <v>660</v>
      </c>
      <c r="D250" s="204" t="s">
        <v>290</v>
      </c>
      <c r="E250" s="205">
        <v>5</v>
      </c>
      <c r="G250" s="205">
        <v>9</v>
      </c>
      <c r="H250" s="203" t="s">
        <v>327</v>
      </c>
    </row>
    <row r="251" spans="1:8">
      <c r="A251" s="201">
        <v>44182.711145833331</v>
      </c>
      <c r="B251" s="204" t="s">
        <v>502</v>
      </c>
      <c r="C251" s="204" t="s">
        <v>661</v>
      </c>
      <c r="D251" s="204" t="s">
        <v>317</v>
      </c>
      <c r="E251" s="205">
        <v>5</v>
      </c>
      <c r="G251" s="205">
        <v>0.115</v>
      </c>
      <c r="H251" s="203" t="s">
        <v>327</v>
      </c>
    </row>
    <row r="252" spans="1:8">
      <c r="A252" s="201">
        <v>44182.711168981485</v>
      </c>
      <c r="B252" s="204" t="s">
        <v>502</v>
      </c>
      <c r="C252" s="204" t="s">
        <v>662</v>
      </c>
      <c r="D252" s="204" t="s">
        <v>316</v>
      </c>
      <c r="E252" s="205">
        <v>5</v>
      </c>
      <c r="G252" s="205">
        <v>6</v>
      </c>
      <c r="H252" s="203" t="s">
        <v>327</v>
      </c>
    </row>
    <row r="253" spans="1:8">
      <c r="A253" s="201">
        <v>44182.711238425924</v>
      </c>
      <c r="B253" s="204" t="s">
        <v>502</v>
      </c>
      <c r="C253" s="204" t="s">
        <v>663</v>
      </c>
      <c r="D253" s="204" t="s">
        <v>279</v>
      </c>
      <c r="E253" s="205">
        <v>5</v>
      </c>
      <c r="G253" s="205">
        <v>1</v>
      </c>
      <c r="H253" s="203" t="s">
        <v>327</v>
      </c>
    </row>
    <row r="254" spans="1:8">
      <c r="A254" s="201">
        <v>44182.711354166669</v>
      </c>
      <c r="B254" s="204" t="s">
        <v>502</v>
      </c>
      <c r="C254" s="204" t="s">
        <v>664</v>
      </c>
      <c r="D254" s="204" t="s">
        <v>291</v>
      </c>
      <c r="E254" s="205">
        <v>5</v>
      </c>
      <c r="G254" s="205">
        <v>1.01</v>
      </c>
      <c r="H254" s="203" t="s">
        <v>327</v>
      </c>
    </row>
    <row r="255" spans="1:8">
      <c r="A255" s="201">
        <v>44182.711365740739</v>
      </c>
      <c r="B255" s="204" t="s">
        <v>502</v>
      </c>
      <c r="C255" s="204" t="s">
        <v>665</v>
      </c>
      <c r="D255" s="204" t="s">
        <v>292</v>
      </c>
      <c r="E255" s="205">
        <v>5</v>
      </c>
      <c r="G255" s="205">
        <v>1</v>
      </c>
      <c r="H255" s="203" t="s">
        <v>327</v>
      </c>
    </row>
    <row r="256" spans="1:8">
      <c r="A256" s="201">
        <v>44182.711388888885</v>
      </c>
      <c r="B256" s="204" t="s">
        <v>502</v>
      </c>
      <c r="C256" s="204" t="s">
        <v>666</v>
      </c>
      <c r="D256" s="204" t="s">
        <v>294</v>
      </c>
      <c r="E256" s="205">
        <v>5</v>
      </c>
      <c r="G256" s="205">
        <v>1</v>
      </c>
      <c r="H256" s="203" t="s">
        <v>327</v>
      </c>
    </row>
    <row r="257" spans="1:8">
      <c r="A257" s="201">
        <v>44182.711388888885</v>
      </c>
      <c r="B257" s="204" t="s">
        <v>502</v>
      </c>
      <c r="C257" s="204" t="s">
        <v>667</v>
      </c>
      <c r="D257" s="204" t="s">
        <v>322</v>
      </c>
      <c r="E257" s="205">
        <v>5</v>
      </c>
      <c r="G257" s="205">
        <v>1</v>
      </c>
      <c r="H257" s="203" t="s">
        <v>327</v>
      </c>
    </row>
    <row r="258" spans="1:8">
      <c r="A258" s="201">
        <v>44182.711493055554</v>
      </c>
      <c r="B258" s="204" t="s">
        <v>502</v>
      </c>
      <c r="C258" s="204" t="s">
        <v>668</v>
      </c>
      <c r="D258" s="204" t="s">
        <v>298</v>
      </c>
      <c r="E258" s="205">
        <v>5</v>
      </c>
      <c r="G258" s="205">
        <v>6.6349999999999998</v>
      </c>
      <c r="H258" s="203" t="s">
        <v>327</v>
      </c>
    </row>
    <row r="259" spans="1:8">
      <c r="A259" s="201">
        <v>44182.711550925924</v>
      </c>
      <c r="B259" s="204" t="s">
        <v>502</v>
      </c>
      <c r="C259" s="204" t="s">
        <v>669</v>
      </c>
      <c r="D259" s="204" t="s">
        <v>300</v>
      </c>
      <c r="E259" s="205">
        <v>5</v>
      </c>
      <c r="G259" s="205">
        <v>1.845</v>
      </c>
      <c r="H259" s="203" t="s">
        <v>327</v>
      </c>
    </row>
    <row r="260" spans="1:8">
      <c r="A260" s="201">
        <v>44182.711631944447</v>
      </c>
      <c r="B260" s="204" t="s">
        <v>502</v>
      </c>
      <c r="C260" s="204" t="s">
        <v>670</v>
      </c>
      <c r="D260" s="204" t="s">
        <v>303</v>
      </c>
      <c r="E260" s="205">
        <v>5</v>
      </c>
      <c r="G260" s="205">
        <v>6.9700000000000006</v>
      </c>
      <c r="H260" s="203" t="s">
        <v>327</v>
      </c>
    </row>
    <row r="261" spans="1:8">
      <c r="A261" s="201">
        <v>44182.711701388886</v>
      </c>
      <c r="B261" s="204" t="s">
        <v>502</v>
      </c>
      <c r="C261" s="204" t="s">
        <v>671</v>
      </c>
      <c r="D261" s="204" t="s">
        <v>304</v>
      </c>
      <c r="E261" s="205">
        <v>5</v>
      </c>
      <c r="G261" s="205">
        <v>4.9450000000000003</v>
      </c>
      <c r="H261" s="203" t="s">
        <v>327</v>
      </c>
    </row>
    <row r="262" spans="1:8">
      <c r="A262" s="201">
        <v>44182.711747685185</v>
      </c>
      <c r="B262" s="204" t="s">
        <v>502</v>
      </c>
      <c r="C262" s="204" t="s">
        <v>672</v>
      </c>
      <c r="D262" s="204" t="s">
        <v>305</v>
      </c>
      <c r="E262" s="205">
        <v>5</v>
      </c>
      <c r="G262" s="205">
        <v>2.895</v>
      </c>
      <c r="H262" s="203" t="s">
        <v>327</v>
      </c>
    </row>
    <row r="263" spans="1:8">
      <c r="A263" s="201">
        <v>44182.711782407408</v>
      </c>
      <c r="B263" s="204" t="s">
        <v>502</v>
      </c>
      <c r="C263" s="204" t="s">
        <v>673</v>
      </c>
      <c r="D263" s="204" t="s">
        <v>308</v>
      </c>
      <c r="E263" s="205">
        <v>5</v>
      </c>
      <c r="G263" s="205">
        <v>2</v>
      </c>
      <c r="H263" s="203" t="s">
        <v>327</v>
      </c>
    </row>
    <row r="264" spans="1:8">
      <c r="A264" s="201">
        <v>44182.711863425924</v>
      </c>
      <c r="B264" s="204" t="s">
        <v>502</v>
      </c>
      <c r="C264" s="204" t="s">
        <v>674</v>
      </c>
      <c r="D264" s="204" t="s">
        <v>310</v>
      </c>
      <c r="E264" s="205">
        <v>5</v>
      </c>
      <c r="G264" s="205">
        <v>60</v>
      </c>
      <c r="H264" s="203" t="s">
        <v>327</v>
      </c>
    </row>
    <row r="265" spans="1:8">
      <c r="A265" s="201">
        <v>44182.712002314816</v>
      </c>
      <c r="B265" s="204" t="s">
        <v>502</v>
      </c>
      <c r="C265" s="204" t="s">
        <v>675</v>
      </c>
      <c r="D265" s="204" t="s">
        <v>274</v>
      </c>
      <c r="E265" s="205">
        <v>5</v>
      </c>
      <c r="G265" s="205">
        <v>0.39</v>
      </c>
      <c r="H265" s="203" t="s">
        <v>327</v>
      </c>
    </row>
    <row r="266" spans="1:8">
      <c r="A266" s="201">
        <v>44182.712071759262</v>
      </c>
      <c r="B266" s="204" t="s">
        <v>502</v>
      </c>
      <c r="C266" s="204" t="s">
        <v>676</v>
      </c>
      <c r="D266" s="204" t="s">
        <v>271</v>
      </c>
      <c r="E266" s="205">
        <v>5</v>
      </c>
      <c r="G266" s="205">
        <v>0.375</v>
      </c>
      <c r="H266" s="203" t="s">
        <v>327</v>
      </c>
    </row>
    <row r="267" spans="1:8">
      <c r="A267" s="201">
        <v>44182.712106481478</v>
      </c>
      <c r="B267" s="204" t="s">
        <v>502</v>
      </c>
      <c r="C267" s="204" t="s">
        <v>677</v>
      </c>
      <c r="D267" s="204" t="s">
        <v>268</v>
      </c>
      <c r="E267" s="205">
        <v>5</v>
      </c>
      <c r="G267" s="205">
        <v>1</v>
      </c>
      <c r="H267" s="203" t="s">
        <v>327</v>
      </c>
    </row>
    <row r="268" spans="1:8">
      <c r="A268" s="201">
        <v>44182.712141203701</v>
      </c>
      <c r="B268" s="204" t="s">
        <v>502</v>
      </c>
      <c r="C268" s="204" t="s">
        <v>678</v>
      </c>
      <c r="D268" s="204" t="s">
        <v>266</v>
      </c>
      <c r="E268" s="205">
        <v>5</v>
      </c>
      <c r="G268" s="205">
        <v>2</v>
      </c>
      <c r="H268" s="203" t="s">
        <v>327</v>
      </c>
    </row>
    <row r="269" spans="1:8">
      <c r="A269" s="201">
        <v>44182.71230324074</v>
      </c>
      <c r="B269" s="204" t="s">
        <v>502</v>
      </c>
      <c r="C269" s="204" t="s">
        <v>679</v>
      </c>
      <c r="D269" s="204" t="s">
        <v>263</v>
      </c>
      <c r="E269" s="205">
        <v>5</v>
      </c>
      <c r="G269" s="205">
        <v>8.8150000000000013</v>
      </c>
      <c r="H269" s="203" t="s">
        <v>327</v>
      </c>
    </row>
    <row r="270" spans="1:8">
      <c r="A270" s="201">
        <v>44182.712581018517</v>
      </c>
      <c r="B270" s="204" t="s">
        <v>453</v>
      </c>
      <c r="C270" s="204" t="s">
        <v>454</v>
      </c>
      <c r="G270" s="205">
        <v>1</v>
      </c>
      <c r="H270" s="203" t="s">
        <v>327</v>
      </c>
    </row>
    <row r="271" spans="1:8">
      <c r="A271" s="201">
        <v>44182.712581018517</v>
      </c>
      <c r="B271" s="204" t="s">
        <v>453</v>
      </c>
      <c r="C271" s="204" t="s">
        <v>454</v>
      </c>
      <c r="G271" s="205">
        <v>1</v>
      </c>
      <c r="H271" s="203" t="s">
        <v>327</v>
      </c>
    </row>
    <row r="272" spans="1:8">
      <c r="A272" s="201">
        <v>44182.712581018517</v>
      </c>
      <c r="B272" s="204" t="s">
        <v>680</v>
      </c>
      <c r="C272" s="204" t="s">
        <v>681</v>
      </c>
      <c r="G272" s="205">
        <v>1</v>
      </c>
      <c r="H272" s="203" t="s">
        <v>327</v>
      </c>
    </row>
    <row r="273" spans="1:8">
      <c r="A273" s="201">
        <v>44182.712581018517</v>
      </c>
      <c r="B273" s="204" t="s">
        <v>680</v>
      </c>
      <c r="C273" s="204" t="s">
        <v>682</v>
      </c>
      <c r="G273" s="205">
        <v>1</v>
      </c>
      <c r="H273" s="203" t="s">
        <v>327</v>
      </c>
    </row>
    <row r="274" spans="1:8">
      <c r="A274" s="201">
        <v>44182.712581018517</v>
      </c>
      <c r="B274" s="204" t="s">
        <v>680</v>
      </c>
      <c r="C274" s="204" t="s">
        <v>683</v>
      </c>
      <c r="G274" s="205">
        <v>1</v>
      </c>
      <c r="H274" s="203" t="s">
        <v>327</v>
      </c>
    </row>
    <row r="275" spans="1:8">
      <c r="A275" s="201">
        <v>44182.712592592594</v>
      </c>
      <c r="B275" s="204" t="s">
        <v>680</v>
      </c>
      <c r="C275" s="204" t="s">
        <v>684</v>
      </c>
      <c r="G275" s="205">
        <v>1</v>
      </c>
      <c r="H275" s="203" t="s">
        <v>327</v>
      </c>
    </row>
    <row r="276" spans="1:8">
      <c r="A276" s="201">
        <v>44182.712592592594</v>
      </c>
      <c r="B276" s="204" t="s">
        <v>680</v>
      </c>
      <c r="C276" s="204" t="s">
        <v>685</v>
      </c>
      <c r="G276" s="205">
        <v>1</v>
      </c>
      <c r="H276" s="203" t="s">
        <v>327</v>
      </c>
    </row>
    <row r="277" spans="1:8">
      <c r="A277" s="201">
        <v>44182.712650462963</v>
      </c>
      <c r="B277" s="204" t="s">
        <v>680</v>
      </c>
      <c r="C277" s="204" t="s">
        <v>686</v>
      </c>
      <c r="G277" s="205" t="s">
        <v>327</v>
      </c>
      <c r="H277" s="203" t="s">
        <v>327</v>
      </c>
    </row>
    <row r="278" spans="1:8">
      <c r="A278" s="201">
        <v>44182.712650462963</v>
      </c>
      <c r="B278" s="204" t="s">
        <v>680</v>
      </c>
      <c r="C278" s="204" t="s">
        <v>687</v>
      </c>
      <c r="G278" s="205">
        <v>193973</v>
      </c>
      <c r="H278" s="203" t="s">
        <v>327</v>
      </c>
    </row>
    <row r="279" spans="1:8">
      <c r="A279" s="201">
        <v>44183.571840277778</v>
      </c>
      <c r="B279" s="505" t="s">
        <v>452</v>
      </c>
      <c r="C279" s="506"/>
      <c r="D279" s="506"/>
      <c r="E279" s="506"/>
      <c r="F279" s="506"/>
      <c r="G279" s="507"/>
      <c r="H279" s="203" t="s">
        <v>327</v>
      </c>
    </row>
    <row r="280" spans="1:8">
      <c r="A280" s="201">
        <v>44183.573333333334</v>
      </c>
      <c r="B280" s="204" t="s">
        <v>453</v>
      </c>
      <c r="C280" s="204" t="s">
        <v>454</v>
      </c>
      <c r="G280" s="205">
        <v>1</v>
      </c>
      <c r="H280" s="203" t="s">
        <v>327</v>
      </c>
    </row>
    <row r="281" spans="1:8">
      <c r="A281" s="201">
        <v>44183.573344907411</v>
      </c>
      <c r="B281" s="204" t="s">
        <v>507</v>
      </c>
      <c r="C281" s="204" t="s">
        <v>688</v>
      </c>
      <c r="D281" s="204" t="s">
        <v>87</v>
      </c>
      <c r="E281" s="205">
        <v>0</v>
      </c>
      <c r="G281" s="205">
        <v>5</v>
      </c>
      <c r="H281" s="203" t="s">
        <v>327</v>
      </c>
    </row>
    <row r="282" spans="1:8">
      <c r="A282" s="201">
        <v>44183.573483796295</v>
      </c>
      <c r="B282" s="204" t="s">
        <v>507</v>
      </c>
      <c r="C282" s="204" t="s">
        <v>689</v>
      </c>
      <c r="D282" s="204" t="s">
        <v>88</v>
      </c>
      <c r="E282" s="205">
        <v>0</v>
      </c>
      <c r="G282" s="205">
        <v>1</v>
      </c>
      <c r="H282" s="203" t="s">
        <v>327</v>
      </c>
    </row>
    <row r="283" spans="1:8">
      <c r="A283" s="201">
        <v>44183.573483796295</v>
      </c>
      <c r="B283" s="204" t="s">
        <v>507</v>
      </c>
      <c r="C283" s="204" t="s">
        <v>688</v>
      </c>
      <c r="D283" s="204" t="s">
        <v>87</v>
      </c>
      <c r="E283" s="205">
        <v>0</v>
      </c>
      <c r="G283" s="205">
        <v>7</v>
      </c>
      <c r="H283" s="203" t="s">
        <v>327</v>
      </c>
    </row>
    <row r="284" spans="1:8">
      <c r="A284" s="201">
        <v>44183.573645833334</v>
      </c>
      <c r="B284" s="204" t="s">
        <v>507</v>
      </c>
      <c r="C284" s="204" t="s">
        <v>690</v>
      </c>
      <c r="D284" s="204" t="s">
        <v>47</v>
      </c>
      <c r="E284" s="205">
        <v>0</v>
      </c>
      <c r="G284" s="205">
        <v>2.8460000000000001</v>
      </c>
      <c r="H284" s="203" t="s">
        <v>327</v>
      </c>
    </row>
    <row r="285" spans="1:8">
      <c r="A285" s="201">
        <v>44183.573923611111</v>
      </c>
      <c r="B285" s="204" t="s">
        <v>507</v>
      </c>
      <c r="C285" s="204" t="s">
        <v>691</v>
      </c>
      <c r="D285" s="204" t="s">
        <v>102</v>
      </c>
      <c r="E285" s="205">
        <v>0</v>
      </c>
      <c r="G285" s="205">
        <v>4</v>
      </c>
      <c r="H285" s="203" t="s">
        <v>327</v>
      </c>
    </row>
    <row r="286" spans="1:8">
      <c r="A286" s="201">
        <v>44183.57402777778</v>
      </c>
      <c r="B286" s="204" t="s">
        <v>507</v>
      </c>
      <c r="C286" s="204" t="s">
        <v>692</v>
      </c>
      <c r="D286" s="204" t="s">
        <v>346</v>
      </c>
      <c r="E286" s="205">
        <v>0</v>
      </c>
      <c r="G286" s="205">
        <v>8</v>
      </c>
      <c r="H286" s="203" t="s">
        <v>327</v>
      </c>
    </row>
    <row r="287" spans="1:8">
      <c r="A287" s="201">
        <v>44183.57435185185</v>
      </c>
      <c r="B287" s="204" t="s">
        <v>507</v>
      </c>
      <c r="C287" s="204" t="s">
        <v>692</v>
      </c>
      <c r="D287" s="204" t="s">
        <v>346</v>
      </c>
      <c r="E287" s="205">
        <v>0</v>
      </c>
      <c r="G287" s="205">
        <v>10</v>
      </c>
      <c r="H287" s="203" t="s">
        <v>327</v>
      </c>
    </row>
    <row r="288" spans="1:8">
      <c r="A288" s="201">
        <v>44183.574513888889</v>
      </c>
      <c r="B288" s="204" t="s">
        <v>507</v>
      </c>
      <c r="C288" s="204" t="s">
        <v>693</v>
      </c>
      <c r="D288" s="204" t="s">
        <v>297</v>
      </c>
      <c r="E288" s="205">
        <v>0</v>
      </c>
      <c r="G288" s="205">
        <v>0.92</v>
      </c>
      <c r="H288" s="203" t="s">
        <v>327</v>
      </c>
    </row>
    <row r="289" spans="1:8">
      <c r="A289" s="201">
        <v>44183.574999999997</v>
      </c>
      <c r="B289" s="204" t="s">
        <v>507</v>
      </c>
      <c r="C289" s="204" t="s">
        <v>694</v>
      </c>
      <c r="D289" s="204" t="s">
        <v>251</v>
      </c>
      <c r="E289" s="205">
        <v>16</v>
      </c>
      <c r="G289" s="205">
        <v>6.6000000000000005</v>
      </c>
      <c r="H289" s="203" t="s">
        <v>327</v>
      </c>
    </row>
    <row r="290" spans="1:8">
      <c r="A290" s="201">
        <v>44183.575162037036</v>
      </c>
      <c r="B290" s="204" t="s">
        <v>507</v>
      </c>
      <c r="C290" s="204" t="s">
        <v>695</v>
      </c>
      <c r="D290" s="204" t="s">
        <v>5</v>
      </c>
      <c r="E290" s="205">
        <v>16</v>
      </c>
      <c r="G290" s="205">
        <v>3.3000000000000003</v>
      </c>
      <c r="H290" s="203" t="s">
        <v>327</v>
      </c>
    </row>
    <row r="291" spans="1:8">
      <c r="A291" s="201">
        <v>44183.575833333336</v>
      </c>
      <c r="B291" s="204" t="s">
        <v>507</v>
      </c>
      <c r="C291" s="204" t="s">
        <v>696</v>
      </c>
      <c r="D291" s="204" t="s">
        <v>63</v>
      </c>
      <c r="E291" s="205">
        <v>16</v>
      </c>
      <c r="G291" s="205">
        <v>33</v>
      </c>
      <c r="H291" s="203" t="s">
        <v>327</v>
      </c>
    </row>
    <row r="292" spans="1:8">
      <c r="A292" s="201">
        <v>44183.576342592591</v>
      </c>
      <c r="B292" s="204" t="s">
        <v>507</v>
      </c>
      <c r="C292" s="204" t="s">
        <v>697</v>
      </c>
      <c r="D292" s="204" t="s">
        <v>101</v>
      </c>
      <c r="E292" s="205">
        <v>16</v>
      </c>
      <c r="G292" s="205">
        <v>3.3000000000000003</v>
      </c>
      <c r="H292" s="203" t="s">
        <v>327</v>
      </c>
    </row>
    <row r="293" spans="1:8">
      <c r="A293" s="201">
        <v>44183.576608796298</v>
      </c>
      <c r="B293" s="204" t="s">
        <v>507</v>
      </c>
      <c r="C293" s="204" t="s">
        <v>698</v>
      </c>
      <c r="D293" s="204" t="s">
        <v>56</v>
      </c>
      <c r="E293" s="205">
        <v>9</v>
      </c>
      <c r="G293" s="205">
        <v>6</v>
      </c>
      <c r="H293" s="203" t="s">
        <v>327</v>
      </c>
    </row>
    <row r="294" spans="1:8">
      <c r="A294" s="201">
        <v>44183.57671296296</v>
      </c>
      <c r="B294" s="204" t="s">
        <v>507</v>
      </c>
      <c r="C294" s="204" t="s">
        <v>699</v>
      </c>
      <c r="D294" s="204" t="s">
        <v>249</v>
      </c>
      <c r="E294" s="205">
        <v>9</v>
      </c>
      <c r="G294" s="205">
        <v>10</v>
      </c>
      <c r="H294" s="203" t="s">
        <v>327</v>
      </c>
    </row>
    <row r="295" spans="1:8">
      <c r="A295" s="201">
        <v>44183.576956018522</v>
      </c>
      <c r="B295" s="204" t="s">
        <v>507</v>
      </c>
      <c r="C295" s="204" t="s">
        <v>700</v>
      </c>
      <c r="D295" s="204" t="s">
        <v>247</v>
      </c>
      <c r="E295" s="205">
        <v>9</v>
      </c>
      <c r="G295" s="205">
        <v>60</v>
      </c>
      <c r="H295" s="203" t="s">
        <v>327</v>
      </c>
    </row>
    <row r="296" spans="1:8">
      <c r="A296" s="201">
        <v>44183.577048611114</v>
      </c>
      <c r="B296" s="204" t="s">
        <v>507</v>
      </c>
      <c r="C296" s="204" t="s">
        <v>701</v>
      </c>
      <c r="D296" s="204" t="s">
        <v>59</v>
      </c>
      <c r="E296" s="205">
        <v>9</v>
      </c>
      <c r="G296" s="205">
        <v>8</v>
      </c>
      <c r="H296" s="203" t="s">
        <v>327</v>
      </c>
    </row>
    <row r="297" spans="1:8">
      <c r="A297" s="201">
        <v>44183.577233796299</v>
      </c>
      <c r="B297" s="204" t="s">
        <v>507</v>
      </c>
      <c r="C297" s="204" t="s">
        <v>702</v>
      </c>
      <c r="D297" s="204" t="s">
        <v>78</v>
      </c>
      <c r="E297" s="205">
        <v>9</v>
      </c>
      <c r="G297" s="205">
        <v>5</v>
      </c>
      <c r="H297" s="203" t="s">
        <v>327</v>
      </c>
    </row>
    <row r="298" spans="1:8">
      <c r="A298" s="201">
        <v>44183.577303240738</v>
      </c>
      <c r="B298" s="204" t="s">
        <v>507</v>
      </c>
      <c r="C298" s="204" t="s">
        <v>702</v>
      </c>
      <c r="D298" s="204" t="s">
        <v>78</v>
      </c>
      <c r="E298" s="205">
        <v>9</v>
      </c>
      <c r="G298" s="205">
        <v>25</v>
      </c>
      <c r="H298" s="203" t="s">
        <v>327</v>
      </c>
    </row>
    <row r="299" spans="1:8">
      <c r="A299" s="201">
        <v>44183.577939814815</v>
      </c>
      <c r="B299" s="204" t="s">
        <v>507</v>
      </c>
      <c r="C299" s="204" t="s">
        <v>703</v>
      </c>
      <c r="D299" s="204" t="s">
        <v>80</v>
      </c>
      <c r="E299" s="205">
        <v>9</v>
      </c>
      <c r="G299" s="205">
        <v>10</v>
      </c>
      <c r="H299" s="203" t="s">
        <v>327</v>
      </c>
    </row>
    <row r="300" spans="1:8">
      <c r="A300" s="201">
        <v>44183.578067129631</v>
      </c>
      <c r="B300" s="204" t="s">
        <v>507</v>
      </c>
      <c r="C300" s="204" t="s">
        <v>704</v>
      </c>
      <c r="D300" s="204" t="s">
        <v>230</v>
      </c>
      <c r="E300" s="205">
        <v>9</v>
      </c>
      <c r="G300" s="205">
        <v>35</v>
      </c>
      <c r="H300" s="203" t="s">
        <v>327</v>
      </c>
    </row>
    <row r="301" spans="1:8">
      <c r="A301" s="201">
        <v>44183.578090277777</v>
      </c>
      <c r="B301" s="204" t="s">
        <v>507</v>
      </c>
      <c r="C301" s="204" t="s">
        <v>704</v>
      </c>
      <c r="D301" s="204" t="s">
        <v>230</v>
      </c>
      <c r="E301" s="205">
        <v>9</v>
      </c>
      <c r="G301" s="205">
        <v>45</v>
      </c>
      <c r="H301" s="203" t="s">
        <v>327</v>
      </c>
    </row>
    <row r="302" spans="1:8">
      <c r="A302" s="201">
        <v>44183.578356481485</v>
      </c>
      <c r="B302" s="204" t="s">
        <v>507</v>
      </c>
      <c r="C302" s="204" t="s">
        <v>705</v>
      </c>
      <c r="D302" s="204" t="s">
        <v>239</v>
      </c>
      <c r="E302" s="205">
        <v>9</v>
      </c>
      <c r="G302" s="205">
        <v>3</v>
      </c>
      <c r="H302" s="203" t="s">
        <v>327</v>
      </c>
    </row>
    <row r="303" spans="1:8">
      <c r="A303" s="201">
        <v>44183.578530092593</v>
      </c>
      <c r="B303" s="204" t="s">
        <v>507</v>
      </c>
      <c r="C303" s="204" t="s">
        <v>706</v>
      </c>
      <c r="D303" s="204" t="s">
        <v>224</v>
      </c>
      <c r="E303" s="205">
        <v>9</v>
      </c>
      <c r="G303" s="205">
        <v>24</v>
      </c>
      <c r="H303" s="203" t="s">
        <v>327</v>
      </c>
    </row>
    <row r="304" spans="1:8">
      <c r="A304" s="201">
        <v>44183.578692129631</v>
      </c>
      <c r="B304" s="204" t="s">
        <v>507</v>
      </c>
      <c r="C304" s="204" t="s">
        <v>707</v>
      </c>
      <c r="D304" s="204" t="s">
        <v>221</v>
      </c>
      <c r="E304" s="205">
        <v>10</v>
      </c>
      <c r="G304" s="205">
        <v>3.3</v>
      </c>
      <c r="H304" s="203" t="s">
        <v>327</v>
      </c>
    </row>
    <row r="305" spans="1:8">
      <c r="A305" s="201">
        <v>44183.578784722224</v>
      </c>
      <c r="B305" s="204" t="s">
        <v>507</v>
      </c>
      <c r="C305" s="204" t="s">
        <v>708</v>
      </c>
      <c r="D305" s="204" t="s">
        <v>86</v>
      </c>
      <c r="E305" s="205">
        <v>10</v>
      </c>
      <c r="G305" s="205">
        <v>33</v>
      </c>
      <c r="H305" s="203" t="s">
        <v>327</v>
      </c>
    </row>
    <row r="306" spans="1:8">
      <c r="A306" s="201">
        <v>44183.578796296293</v>
      </c>
      <c r="B306" s="204" t="s">
        <v>507</v>
      </c>
      <c r="C306" s="204" t="s">
        <v>708</v>
      </c>
      <c r="D306" s="204" t="s">
        <v>86</v>
      </c>
      <c r="E306" s="205">
        <v>10</v>
      </c>
      <c r="G306" s="205">
        <v>20</v>
      </c>
      <c r="H306" s="203" t="s">
        <v>327</v>
      </c>
    </row>
    <row r="307" spans="1:8">
      <c r="A307" s="201">
        <v>44183.579074074078</v>
      </c>
      <c r="B307" s="204" t="s">
        <v>507</v>
      </c>
      <c r="C307" s="204" t="s">
        <v>709</v>
      </c>
      <c r="D307" s="204" t="s">
        <v>89</v>
      </c>
      <c r="E307" s="205">
        <v>10</v>
      </c>
      <c r="G307" s="205">
        <v>6</v>
      </c>
      <c r="H307" s="203" t="s">
        <v>327</v>
      </c>
    </row>
    <row r="308" spans="1:8">
      <c r="A308" s="201">
        <v>44183.579097222224</v>
      </c>
      <c r="B308" s="204" t="s">
        <v>507</v>
      </c>
      <c r="C308" s="204" t="s">
        <v>710</v>
      </c>
      <c r="D308" s="204" t="s">
        <v>26</v>
      </c>
      <c r="E308" s="205">
        <v>10</v>
      </c>
      <c r="G308" s="205">
        <v>3</v>
      </c>
      <c r="H308" s="203" t="s">
        <v>327</v>
      </c>
    </row>
    <row r="309" spans="1:8">
      <c r="A309" s="201">
        <v>44183.579189814816</v>
      </c>
      <c r="B309" s="204" t="s">
        <v>507</v>
      </c>
      <c r="C309" s="204" t="s">
        <v>711</v>
      </c>
      <c r="D309" s="204" t="s">
        <v>31</v>
      </c>
      <c r="E309" s="205">
        <v>10</v>
      </c>
      <c r="G309" s="205">
        <v>1</v>
      </c>
      <c r="H309" s="203" t="s">
        <v>327</v>
      </c>
    </row>
    <row r="310" spans="1:8">
      <c r="A310" s="201">
        <v>44183.57953703704</v>
      </c>
      <c r="B310" s="204" t="s">
        <v>507</v>
      </c>
      <c r="C310" s="204" t="s">
        <v>712</v>
      </c>
      <c r="D310" s="204" t="s">
        <v>105</v>
      </c>
      <c r="E310" s="205">
        <v>10</v>
      </c>
      <c r="G310" s="205">
        <v>23.370999999999999</v>
      </c>
      <c r="H310" s="203" t="s">
        <v>327</v>
      </c>
    </row>
    <row r="311" spans="1:8">
      <c r="A311" s="201">
        <v>44183.579699074071</v>
      </c>
      <c r="B311" s="204" t="s">
        <v>507</v>
      </c>
      <c r="C311" s="204" t="s">
        <v>713</v>
      </c>
      <c r="D311" s="204" t="s">
        <v>179</v>
      </c>
      <c r="E311" s="205">
        <v>10</v>
      </c>
      <c r="G311" s="205">
        <v>10</v>
      </c>
      <c r="H311" s="203" t="s">
        <v>327</v>
      </c>
    </row>
    <row r="312" spans="1:8">
      <c r="A312" s="201">
        <v>44183.579710648148</v>
      </c>
      <c r="B312" s="204" t="s">
        <v>507</v>
      </c>
      <c r="C312" s="204" t="s">
        <v>714</v>
      </c>
      <c r="D312" s="204" t="s">
        <v>178</v>
      </c>
      <c r="E312" s="205">
        <v>10</v>
      </c>
      <c r="G312" s="205">
        <v>10</v>
      </c>
      <c r="H312" s="203" t="s">
        <v>327</v>
      </c>
    </row>
    <row r="313" spans="1:8">
      <c r="A313" s="201">
        <v>44183.580972222226</v>
      </c>
      <c r="B313" s="204" t="s">
        <v>507</v>
      </c>
      <c r="C313" s="204" t="s">
        <v>715</v>
      </c>
      <c r="D313" s="204" t="s">
        <v>106</v>
      </c>
      <c r="E313" s="205">
        <v>10</v>
      </c>
      <c r="G313" s="205">
        <v>32</v>
      </c>
      <c r="H313" s="203" t="s">
        <v>327</v>
      </c>
    </row>
    <row r="314" spans="1:8">
      <c r="A314" s="201">
        <v>44183.580995370372</v>
      </c>
      <c r="B314" s="204" t="s">
        <v>507</v>
      </c>
      <c r="C314" s="204" t="s">
        <v>716</v>
      </c>
      <c r="D314" s="204" t="s">
        <v>109</v>
      </c>
      <c r="E314" s="205">
        <v>10</v>
      </c>
      <c r="G314" s="205">
        <v>40</v>
      </c>
      <c r="H314" s="203" t="s">
        <v>327</v>
      </c>
    </row>
    <row r="315" spans="1:8">
      <c r="A315" s="201">
        <v>44183.581145833334</v>
      </c>
      <c r="B315" s="204" t="s">
        <v>507</v>
      </c>
      <c r="C315" s="204" t="s">
        <v>717</v>
      </c>
      <c r="D315" s="204" t="s">
        <v>180</v>
      </c>
      <c r="E315" s="205">
        <v>10</v>
      </c>
      <c r="G315" s="205">
        <v>30</v>
      </c>
      <c r="H315" s="203" t="s">
        <v>327</v>
      </c>
    </row>
    <row r="316" spans="1:8">
      <c r="A316" s="201">
        <v>44183.581226851849</v>
      </c>
      <c r="B316" s="204" t="s">
        <v>507</v>
      </c>
      <c r="C316" s="204" t="s">
        <v>717</v>
      </c>
      <c r="D316" s="204" t="s">
        <v>180</v>
      </c>
      <c r="E316" s="205">
        <v>10</v>
      </c>
      <c r="G316" s="205" t="s">
        <v>458</v>
      </c>
      <c r="H316" s="203" t="s">
        <v>327</v>
      </c>
    </row>
    <row r="317" spans="1:8">
      <c r="A317" s="201">
        <v>44183.581238425926</v>
      </c>
      <c r="B317" s="204" t="s">
        <v>507</v>
      </c>
      <c r="C317" s="204" t="s">
        <v>718</v>
      </c>
      <c r="D317" s="204" t="s">
        <v>180</v>
      </c>
      <c r="E317" s="205">
        <v>11</v>
      </c>
      <c r="G317" s="205">
        <v>30</v>
      </c>
      <c r="H317" s="203" t="s">
        <v>327</v>
      </c>
    </row>
    <row r="318" spans="1:8">
      <c r="A318" s="201">
        <v>44183.581388888888</v>
      </c>
      <c r="B318" s="204" t="s">
        <v>507</v>
      </c>
      <c r="C318" s="204" t="s">
        <v>719</v>
      </c>
      <c r="D318" s="204" t="s">
        <v>171</v>
      </c>
      <c r="E318" s="205">
        <v>16</v>
      </c>
      <c r="G318" s="205">
        <v>18</v>
      </c>
      <c r="H318" s="203" t="s">
        <v>327</v>
      </c>
    </row>
    <row r="319" spans="1:8">
      <c r="A319" s="201">
        <v>44183.581469907411</v>
      </c>
      <c r="B319" s="204" t="s">
        <v>507</v>
      </c>
      <c r="C319" s="204" t="s">
        <v>720</v>
      </c>
      <c r="D319" s="204" t="s">
        <v>34</v>
      </c>
      <c r="E319" s="205">
        <v>16</v>
      </c>
      <c r="G319" s="205">
        <v>19.7</v>
      </c>
      <c r="H319" s="203" t="s">
        <v>327</v>
      </c>
    </row>
    <row r="320" spans="1:8">
      <c r="A320" s="201">
        <v>44183.581562500003</v>
      </c>
      <c r="B320" s="204" t="s">
        <v>507</v>
      </c>
      <c r="C320" s="204" t="s">
        <v>721</v>
      </c>
      <c r="D320" s="204" t="s">
        <v>105</v>
      </c>
      <c r="E320" s="205">
        <v>16</v>
      </c>
      <c r="G320" s="205">
        <v>23.449000000000002</v>
      </c>
      <c r="H320" s="203" t="s">
        <v>327</v>
      </c>
    </row>
    <row r="321" spans="1:8">
      <c r="A321" s="201">
        <v>44183.581655092596</v>
      </c>
      <c r="B321" s="204" t="s">
        <v>507</v>
      </c>
      <c r="C321" s="204" t="s">
        <v>722</v>
      </c>
      <c r="D321" s="204" t="s">
        <v>37</v>
      </c>
      <c r="E321" s="205">
        <v>16</v>
      </c>
      <c r="G321" s="205">
        <v>20</v>
      </c>
      <c r="H321" s="203" t="s">
        <v>327</v>
      </c>
    </row>
    <row r="322" spans="1:8">
      <c r="A322" s="201">
        <v>44183.581747685188</v>
      </c>
      <c r="B322" s="204" t="s">
        <v>507</v>
      </c>
      <c r="C322" s="204" t="s">
        <v>723</v>
      </c>
      <c r="D322" s="204" t="s">
        <v>109</v>
      </c>
      <c r="E322" s="205">
        <v>16</v>
      </c>
      <c r="G322" s="205">
        <v>40</v>
      </c>
      <c r="H322" s="203" t="s">
        <v>327</v>
      </c>
    </row>
    <row r="323" spans="1:8">
      <c r="A323" s="201">
        <v>44183.581932870373</v>
      </c>
      <c r="B323" s="204" t="s">
        <v>507</v>
      </c>
      <c r="C323" s="204" t="s">
        <v>724</v>
      </c>
      <c r="D323" s="204" t="s">
        <v>47</v>
      </c>
      <c r="E323" s="205">
        <v>16</v>
      </c>
      <c r="G323" s="205">
        <v>8.7349999999999994</v>
      </c>
      <c r="H323" s="203" t="s">
        <v>327</v>
      </c>
    </row>
    <row r="324" spans="1:8">
      <c r="A324" s="201">
        <v>44183.582037037035</v>
      </c>
      <c r="B324" s="204" t="s">
        <v>507</v>
      </c>
      <c r="C324" s="204" t="s">
        <v>725</v>
      </c>
      <c r="D324" s="204" t="s">
        <v>78</v>
      </c>
      <c r="E324" s="205">
        <v>16</v>
      </c>
      <c r="G324" s="205">
        <v>25</v>
      </c>
      <c r="H324" s="203" t="s">
        <v>327</v>
      </c>
    </row>
    <row r="325" spans="1:8">
      <c r="A325" s="201">
        <v>44183.582361111112</v>
      </c>
      <c r="B325" s="204" t="s">
        <v>507</v>
      </c>
      <c r="C325" s="204" t="s">
        <v>726</v>
      </c>
      <c r="D325" s="204" t="s">
        <v>220</v>
      </c>
      <c r="E325" s="205">
        <v>9</v>
      </c>
      <c r="G325" s="205">
        <v>5</v>
      </c>
      <c r="H325" s="203" t="s">
        <v>327</v>
      </c>
    </row>
    <row r="326" spans="1:8">
      <c r="A326" s="201">
        <v>44183.582442129627</v>
      </c>
      <c r="B326" s="204" t="s">
        <v>507</v>
      </c>
      <c r="C326" s="204" t="s">
        <v>727</v>
      </c>
      <c r="D326" s="204" t="s">
        <v>99</v>
      </c>
      <c r="E326" s="205">
        <v>9</v>
      </c>
      <c r="G326" s="205">
        <v>2</v>
      </c>
      <c r="H326" s="203" t="s">
        <v>327</v>
      </c>
    </row>
    <row r="327" spans="1:8">
      <c r="A327" s="201">
        <v>44183.582557870373</v>
      </c>
      <c r="B327" s="204" t="s">
        <v>507</v>
      </c>
      <c r="C327" s="204" t="s">
        <v>728</v>
      </c>
      <c r="D327" s="204" t="s">
        <v>8</v>
      </c>
      <c r="E327" s="205">
        <v>9</v>
      </c>
      <c r="G327" s="205">
        <v>30</v>
      </c>
      <c r="H327" s="203" t="s">
        <v>327</v>
      </c>
    </row>
    <row r="328" spans="1:8">
      <c r="A328" s="201">
        <v>44183.582696759258</v>
      </c>
      <c r="B328" s="204" t="s">
        <v>507</v>
      </c>
      <c r="C328" s="204" t="s">
        <v>729</v>
      </c>
      <c r="D328" s="204" t="s">
        <v>240</v>
      </c>
      <c r="E328" s="205">
        <v>9</v>
      </c>
      <c r="G328" s="205">
        <v>10</v>
      </c>
      <c r="H328" s="203" t="s">
        <v>327</v>
      </c>
    </row>
    <row r="329" spans="1:8">
      <c r="A329" s="201">
        <v>44183.582858796297</v>
      </c>
      <c r="B329" s="204" t="s">
        <v>507</v>
      </c>
      <c r="C329" s="204" t="s">
        <v>730</v>
      </c>
      <c r="D329" s="204" t="s">
        <v>63</v>
      </c>
      <c r="E329" s="205">
        <v>9</v>
      </c>
      <c r="G329" s="205">
        <v>3</v>
      </c>
      <c r="H329" s="203" t="s">
        <v>327</v>
      </c>
    </row>
    <row r="330" spans="1:8">
      <c r="A330" s="201">
        <v>44183.582928240743</v>
      </c>
      <c r="B330" s="204" t="s">
        <v>507</v>
      </c>
      <c r="C330" s="204" t="s">
        <v>696</v>
      </c>
      <c r="D330" s="204" t="s">
        <v>63</v>
      </c>
      <c r="E330" s="205">
        <v>16</v>
      </c>
      <c r="G330" s="205" t="s">
        <v>458</v>
      </c>
      <c r="H330" s="203" t="s">
        <v>327</v>
      </c>
    </row>
    <row r="331" spans="1:8">
      <c r="A331" s="201">
        <v>44183.583124999997</v>
      </c>
      <c r="B331" s="204" t="s">
        <v>507</v>
      </c>
      <c r="C331" s="204" t="s">
        <v>731</v>
      </c>
      <c r="D331" s="204" t="s">
        <v>70</v>
      </c>
      <c r="E331" s="205">
        <v>16</v>
      </c>
      <c r="G331" s="205">
        <v>2</v>
      </c>
      <c r="H331" s="203" t="s">
        <v>327</v>
      </c>
    </row>
    <row r="332" spans="1:8">
      <c r="A332" s="201">
        <v>44183.58321759259</v>
      </c>
      <c r="B332" s="204" t="s">
        <v>507</v>
      </c>
      <c r="C332" s="204" t="s">
        <v>732</v>
      </c>
      <c r="D332" s="204" t="s">
        <v>252</v>
      </c>
      <c r="E332" s="205">
        <v>16</v>
      </c>
      <c r="G332" s="205">
        <v>3</v>
      </c>
      <c r="H332" s="203" t="s">
        <v>327</v>
      </c>
    </row>
    <row r="333" spans="1:8">
      <c r="A333" s="201">
        <v>44183.583240740743</v>
      </c>
      <c r="B333" s="204" t="s">
        <v>507</v>
      </c>
      <c r="C333" s="204" t="s">
        <v>732</v>
      </c>
      <c r="D333" s="204" t="s">
        <v>252</v>
      </c>
      <c r="E333" s="205">
        <v>16</v>
      </c>
      <c r="G333" s="205" t="s">
        <v>458</v>
      </c>
      <c r="H333" s="203" t="s">
        <v>327</v>
      </c>
    </row>
    <row r="334" spans="1:8">
      <c r="A334" s="201">
        <v>44183.583275462966</v>
      </c>
      <c r="B334" s="204" t="s">
        <v>507</v>
      </c>
      <c r="C334" s="204" t="s">
        <v>733</v>
      </c>
      <c r="D334" s="204" t="s">
        <v>252</v>
      </c>
      <c r="E334" s="205">
        <v>9</v>
      </c>
      <c r="G334" s="205">
        <v>3</v>
      </c>
      <c r="H334" s="203" t="s">
        <v>327</v>
      </c>
    </row>
    <row r="335" spans="1:8">
      <c r="A335" s="201">
        <v>44183.583437499998</v>
      </c>
      <c r="B335" s="204" t="s">
        <v>507</v>
      </c>
      <c r="C335" s="204" t="s">
        <v>734</v>
      </c>
      <c r="D335" s="204" t="s">
        <v>70</v>
      </c>
      <c r="E335" s="205">
        <v>9</v>
      </c>
      <c r="G335" s="205">
        <v>2</v>
      </c>
      <c r="H335" s="203" t="s">
        <v>327</v>
      </c>
    </row>
    <row r="336" spans="1:8">
      <c r="A336" s="201">
        <v>44183.583449074074</v>
      </c>
      <c r="B336" s="204" t="s">
        <v>507</v>
      </c>
      <c r="C336" s="204" t="s">
        <v>731</v>
      </c>
      <c r="D336" s="204" t="s">
        <v>70</v>
      </c>
      <c r="E336" s="205">
        <v>16</v>
      </c>
      <c r="G336" s="205" t="s">
        <v>458</v>
      </c>
      <c r="H336" s="203" t="s">
        <v>327</v>
      </c>
    </row>
    <row r="337" spans="1:8">
      <c r="A337" s="201">
        <v>44183.583564814813</v>
      </c>
      <c r="B337" s="204" t="s">
        <v>507</v>
      </c>
      <c r="C337" s="204" t="s">
        <v>735</v>
      </c>
      <c r="D337" s="204" t="s">
        <v>251</v>
      </c>
      <c r="E337" s="205">
        <v>9</v>
      </c>
      <c r="G337" s="205">
        <v>3</v>
      </c>
      <c r="H337" s="203" t="s">
        <v>327</v>
      </c>
    </row>
    <row r="338" spans="1:8">
      <c r="A338" s="201">
        <v>44183.583645833336</v>
      </c>
      <c r="B338" s="204" t="s">
        <v>507</v>
      </c>
      <c r="C338" s="204" t="s">
        <v>736</v>
      </c>
      <c r="D338" s="204" t="s">
        <v>61</v>
      </c>
      <c r="E338" s="205">
        <v>9</v>
      </c>
      <c r="G338" s="205">
        <v>4</v>
      </c>
      <c r="H338" s="203" t="s">
        <v>327</v>
      </c>
    </row>
    <row r="339" spans="1:8">
      <c r="A339" s="201">
        <v>44183.583773148152</v>
      </c>
      <c r="B339" s="204" t="s">
        <v>507</v>
      </c>
      <c r="C339" s="204" t="s">
        <v>737</v>
      </c>
      <c r="D339" s="204" t="s">
        <v>4</v>
      </c>
      <c r="E339" s="205">
        <v>9</v>
      </c>
      <c r="G339" s="205">
        <v>20</v>
      </c>
      <c r="H339" s="203" t="s">
        <v>327</v>
      </c>
    </row>
    <row r="340" spans="1:8">
      <c r="A340" s="201">
        <v>44183.583923611113</v>
      </c>
      <c r="B340" s="204" t="s">
        <v>507</v>
      </c>
      <c r="C340" s="204" t="s">
        <v>738</v>
      </c>
      <c r="D340" s="204" t="s">
        <v>79</v>
      </c>
      <c r="E340" s="205">
        <v>9</v>
      </c>
      <c r="G340" s="205">
        <v>20</v>
      </c>
      <c r="H340" s="203" t="s">
        <v>327</v>
      </c>
    </row>
    <row r="341" spans="1:8">
      <c r="A341" s="201">
        <v>44183.584062499998</v>
      </c>
      <c r="B341" s="204" t="s">
        <v>507</v>
      </c>
      <c r="C341" s="204" t="s">
        <v>739</v>
      </c>
      <c r="D341" s="204" t="s">
        <v>213</v>
      </c>
      <c r="E341" s="205">
        <v>9</v>
      </c>
      <c r="G341" s="205" t="s">
        <v>458</v>
      </c>
      <c r="H341" s="203" t="s">
        <v>327</v>
      </c>
    </row>
    <row r="342" spans="1:8">
      <c r="A342" s="201">
        <v>44183.584074074075</v>
      </c>
      <c r="B342" s="204" t="s">
        <v>507</v>
      </c>
      <c r="C342" s="204" t="s">
        <v>740</v>
      </c>
      <c r="D342" s="204" t="s">
        <v>5</v>
      </c>
      <c r="E342" s="205">
        <v>9</v>
      </c>
      <c r="G342" s="205">
        <v>1</v>
      </c>
      <c r="H342" s="203" t="s">
        <v>327</v>
      </c>
    </row>
    <row r="343" spans="1:8">
      <c r="A343" s="201">
        <v>44183.584201388891</v>
      </c>
      <c r="B343" s="204" t="s">
        <v>507</v>
      </c>
      <c r="C343" s="204" t="s">
        <v>741</v>
      </c>
      <c r="D343" s="204" t="s">
        <v>102</v>
      </c>
      <c r="E343" s="205">
        <v>9</v>
      </c>
      <c r="G343" s="205">
        <v>10</v>
      </c>
      <c r="H343" s="203" t="s">
        <v>327</v>
      </c>
    </row>
    <row r="344" spans="1:8">
      <c r="A344" s="201">
        <v>44183.584363425929</v>
      </c>
      <c r="B344" s="204" t="s">
        <v>507</v>
      </c>
      <c r="C344" s="204" t="s">
        <v>742</v>
      </c>
      <c r="D344" s="204" t="s">
        <v>73</v>
      </c>
      <c r="E344" s="205">
        <v>9</v>
      </c>
      <c r="G344" s="205">
        <v>1</v>
      </c>
      <c r="H344" s="203" t="s">
        <v>327</v>
      </c>
    </row>
    <row r="345" spans="1:8">
      <c r="A345" s="201">
        <v>44183.584479166668</v>
      </c>
      <c r="B345" s="204" t="s">
        <v>507</v>
      </c>
      <c r="C345" s="204" t="s">
        <v>743</v>
      </c>
      <c r="D345" s="204" t="s">
        <v>7</v>
      </c>
      <c r="E345" s="205">
        <v>9</v>
      </c>
      <c r="G345" s="205">
        <v>1</v>
      </c>
      <c r="H345" s="203" t="s">
        <v>327</v>
      </c>
    </row>
    <row r="346" spans="1:8">
      <c r="A346" s="201">
        <v>44183.584976851853</v>
      </c>
      <c r="B346" s="204" t="s">
        <v>507</v>
      </c>
      <c r="C346" s="204" t="s">
        <v>744</v>
      </c>
      <c r="D346" s="204" t="s">
        <v>95</v>
      </c>
      <c r="E346" s="205">
        <v>9</v>
      </c>
      <c r="G346" s="205">
        <v>20</v>
      </c>
      <c r="H346" s="203" t="s">
        <v>327</v>
      </c>
    </row>
    <row r="347" spans="1:8">
      <c r="A347" s="201">
        <v>44183.585231481484</v>
      </c>
      <c r="B347" s="204" t="s">
        <v>507</v>
      </c>
      <c r="C347" s="204" t="s">
        <v>745</v>
      </c>
      <c r="D347" s="204" t="s">
        <v>80</v>
      </c>
      <c r="E347" s="205">
        <v>16</v>
      </c>
      <c r="G347" s="205">
        <v>10</v>
      </c>
      <c r="H347" s="203" t="s">
        <v>327</v>
      </c>
    </row>
    <row r="348" spans="1:8">
      <c r="A348" s="201">
        <v>44183.585439814815</v>
      </c>
      <c r="B348" s="204" t="s">
        <v>507</v>
      </c>
      <c r="C348" s="204" t="s">
        <v>746</v>
      </c>
      <c r="D348" s="204" t="s">
        <v>86</v>
      </c>
      <c r="E348" s="205">
        <v>16</v>
      </c>
      <c r="G348" s="205">
        <v>20</v>
      </c>
      <c r="H348" s="203" t="s">
        <v>327</v>
      </c>
    </row>
    <row r="349" spans="1:8">
      <c r="A349" s="201">
        <v>44183.585787037038</v>
      </c>
      <c r="B349" s="204" t="s">
        <v>507</v>
      </c>
      <c r="C349" s="204" t="s">
        <v>747</v>
      </c>
      <c r="D349" s="204" t="s">
        <v>227</v>
      </c>
      <c r="E349" s="205">
        <v>16</v>
      </c>
      <c r="G349" s="205">
        <v>5</v>
      </c>
      <c r="H349" s="203" t="s">
        <v>327</v>
      </c>
    </row>
    <row r="350" spans="1:8">
      <c r="A350" s="201">
        <v>44183.585972222223</v>
      </c>
      <c r="B350" s="204" t="s">
        <v>507</v>
      </c>
      <c r="C350" s="204" t="s">
        <v>732</v>
      </c>
      <c r="D350" s="204" t="s">
        <v>252</v>
      </c>
      <c r="E350" s="205">
        <v>16</v>
      </c>
      <c r="G350" s="205">
        <v>1</v>
      </c>
      <c r="H350" s="203" t="s">
        <v>327</v>
      </c>
    </row>
    <row r="351" spans="1:8">
      <c r="A351" s="201">
        <v>44183.586180555554</v>
      </c>
      <c r="B351" s="204" t="s">
        <v>507</v>
      </c>
      <c r="C351" s="204" t="s">
        <v>748</v>
      </c>
      <c r="D351" s="204" t="s">
        <v>240</v>
      </c>
      <c r="E351" s="205">
        <v>16</v>
      </c>
      <c r="G351" s="205">
        <v>20</v>
      </c>
      <c r="H351" s="203" t="s">
        <v>327</v>
      </c>
    </row>
    <row r="352" spans="1:8">
      <c r="A352" s="201">
        <v>44183.586296296293</v>
      </c>
      <c r="B352" s="204" t="s">
        <v>507</v>
      </c>
      <c r="C352" s="204" t="s">
        <v>749</v>
      </c>
      <c r="D352" s="204" t="s">
        <v>79</v>
      </c>
      <c r="E352" s="205">
        <v>16</v>
      </c>
      <c r="G352" s="205">
        <v>10</v>
      </c>
      <c r="H352" s="203" t="s">
        <v>327</v>
      </c>
    </row>
    <row r="353" spans="1:8">
      <c r="A353" s="201">
        <v>44183.586539351854</v>
      </c>
      <c r="B353" s="204" t="s">
        <v>507</v>
      </c>
      <c r="C353" s="204" t="s">
        <v>750</v>
      </c>
      <c r="D353" s="204" t="s">
        <v>45</v>
      </c>
      <c r="E353" s="205">
        <v>10</v>
      </c>
      <c r="G353" s="205">
        <v>10</v>
      </c>
      <c r="H353" s="203" t="s">
        <v>327</v>
      </c>
    </row>
    <row r="354" spans="1:8">
      <c r="A354" s="201">
        <v>44183.586759259262</v>
      </c>
      <c r="B354" s="204" t="s">
        <v>507</v>
      </c>
      <c r="C354" s="204" t="s">
        <v>751</v>
      </c>
      <c r="D354" s="204" t="s">
        <v>44</v>
      </c>
      <c r="E354" s="205">
        <v>16</v>
      </c>
      <c r="G354" s="205">
        <v>13.74</v>
      </c>
      <c r="H354" s="203" t="s">
        <v>327</v>
      </c>
    </row>
    <row r="355" spans="1:8">
      <c r="A355" s="201">
        <v>44183.587106481478</v>
      </c>
      <c r="B355" s="204" t="s">
        <v>507</v>
      </c>
      <c r="C355" s="204" t="s">
        <v>752</v>
      </c>
      <c r="D355" s="204" t="s">
        <v>95</v>
      </c>
      <c r="E355" s="205">
        <v>16</v>
      </c>
      <c r="G355" s="205">
        <v>20</v>
      </c>
      <c r="H355" s="203" t="s">
        <v>327</v>
      </c>
    </row>
    <row r="356" spans="1:8">
      <c r="A356" s="201">
        <v>44183.587199074071</v>
      </c>
      <c r="B356" s="204" t="s">
        <v>507</v>
      </c>
      <c r="C356" s="204" t="s">
        <v>753</v>
      </c>
      <c r="D356" s="204" t="s">
        <v>102</v>
      </c>
      <c r="E356" s="205">
        <v>16</v>
      </c>
      <c r="G356" s="205">
        <v>5</v>
      </c>
      <c r="H356" s="203" t="s">
        <v>327</v>
      </c>
    </row>
    <row r="357" spans="1:8">
      <c r="A357" s="201">
        <v>44183.587384259263</v>
      </c>
      <c r="B357" s="204" t="s">
        <v>507</v>
      </c>
      <c r="C357" s="204" t="s">
        <v>754</v>
      </c>
      <c r="D357" s="204" t="s">
        <v>62</v>
      </c>
      <c r="E357" s="205">
        <v>16</v>
      </c>
      <c r="G357" s="205">
        <v>20</v>
      </c>
      <c r="H357" s="203" t="s">
        <v>327</v>
      </c>
    </row>
    <row r="358" spans="1:8">
      <c r="A358" s="201">
        <v>44183.588506944441</v>
      </c>
      <c r="B358" s="204" t="s">
        <v>507</v>
      </c>
      <c r="C358" s="204" t="s">
        <v>755</v>
      </c>
      <c r="D358" s="204" t="s">
        <v>33</v>
      </c>
      <c r="E358" s="205">
        <v>17</v>
      </c>
      <c r="G358" s="205">
        <v>30.25</v>
      </c>
      <c r="H358" s="203" t="s">
        <v>327</v>
      </c>
    </row>
    <row r="359" spans="1:8">
      <c r="A359" s="201">
        <v>44183.588692129626</v>
      </c>
      <c r="B359" s="204" t="s">
        <v>507</v>
      </c>
      <c r="C359" s="204" t="s">
        <v>756</v>
      </c>
      <c r="D359" s="204" t="s">
        <v>179</v>
      </c>
      <c r="E359" s="205">
        <v>17</v>
      </c>
      <c r="G359" s="205">
        <v>10</v>
      </c>
      <c r="H359" s="203" t="s">
        <v>327</v>
      </c>
    </row>
    <row r="360" spans="1:8">
      <c r="A360" s="201">
        <v>44183.588807870372</v>
      </c>
      <c r="B360" s="204" t="s">
        <v>507</v>
      </c>
      <c r="C360" s="204" t="s">
        <v>757</v>
      </c>
      <c r="D360" s="204" t="s">
        <v>254</v>
      </c>
      <c r="E360" s="205">
        <v>17</v>
      </c>
      <c r="G360" s="205">
        <v>23.978999999999999</v>
      </c>
      <c r="H360" s="203" t="s">
        <v>327</v>
      </c>
    </row>
    <row r="361" spans="1:8">
      <c r="A361" s="201">
        <v>44183.588877314818</v>
      </c>
      <c r="B361" s="204" t="s">
        <v>507</v>
      </c>
      <c r="C361" s="204" t="s">
        <v>758</v>
      </c>
      <c r="D361" s="204" t="s">
        <v>106</v>
      </c>
      <c r="E361" s="205">
        <v>17</v>
      </c>
      <c r="G361" s="205">
        <v>40</v>
      </c>
      <c r="H361" s="203" t="s">
        <v>327</v>
      </c>
    </row>
    <row r="362" spans="1:8">
      <c r="A362" s="201">
        <v>44183.588969907411</v>
      </c>
      <c r="B362" s="202" t="s">
        <v>507</v>
      </c>
      <c r="C362" s="202" t="s">
        <v>759</v>
      </c>
      <c r="D362" s="202" t="s">
        <v>219</v>
      </c>
      <c r="E362" s="202">
        <v>17</v>
      </c>
      <c r="F362" s="202"/>
      <c r="G362" s="202">
        <v>41.119</v>
      </c>
      <c r="H362" s="203" t="s">
        <v>327</v>
      </c>
    </row>
    <row r="363" spans="1:8">
      <c r="A363" s="201">
        <v>44183.589062500003</v>
      </c>
      <c r="B363" s="204" t="s">
        <v>507</v>
      </c>
      <c r="C363" s="204" t="s">
        <v>760</v>
      </c>
      <c r="D363" s="204" t="s">
        <v>39</v>
      </c>
      <c r="E363" s="205">
        <v>17</v>
      </c>
      <c r="G363" s="205">
        <v>23.553000000000001</v>
      </c>
      <c r="H363" s="203" t="s">
        <v>327</v>
      </c>
    </row>
    <row r="364" spans="1:8">
      <c r="A364" s="201">
        <v>44183.589120370372</v>
      </c>
      <c r="B364" s="204" t="s">
        <v>507</v>
      </c>
      <c r="C364" s="204" t="s">
        <v>761</v>
      </c>
      <c r="D364" s="204" t="s">
        <v>177</v>
      </c>
      <c r="E364" s="205">
        <v>17</v>
      </c>
      <c r="G364" s="205">
        <v>10</v>
      </c>
      <c r="H364" s="203" t="s">
        <v>327</v>
      </c>
    </row>
    <row r="365" spans="1:8">
      <c r="A365" s="201">
        <v>44183.589166666665</v>
      </c>
      <c r="B365" s="204" t="s">
        <v>507</v>
      </c>
      <c r="C365" s="204" t="s">
        <v>762</v>
      </c>
      <c r="D365" s="204" t="s">
        <v>178</v>
      </c>
      <c r="E365" s="205">
        <v>17</v>
      </c>
      <c r="G365" s="205">
        <v>15</v>
      </c>
      <c r="H365" s="203" t="s">
        <v>327</v>
      </c>
    </row>
    <row r="366" spans="1:8">
      <c r="A366" s="201">
        <v>44183.589525462965</v>
      </c>
      <c r="B366" s="204" t="s">
        <v>507</v>
      </c>
      <c r="C366" s="204" t="s">
        <v>763</v>
      </c>
      <c r="D366" s="204" t="s">
        <v>36</v>
      </c>
      <c r="E366" s="205">
        <v>17</v>
      </c>
      <c r="G366" s="205">
        <v>20.879000000000001</v>
      </c>
      <c r="H366" s="203" t="s">
        <v>327</v>
      </c>
    </row>
    <row r="367" spans="1:8">
      <c r="A367" s="201">
        <v>44183.589814814812</v>
      </c>
      <c r="B367" s="204" t="s">
        <v>507</v>
      </c>
      <c r="C367" s="204" t="s">
        <v>764</v>
      </c>
      <c r="D367" s="204" t="s">
        <v>256</v>
      </c>
      <c r="E367" s="205">
        <v>2</v>
      </c>
      <c r="G367" s="205">
        <v>10</v>
      </c>
      <c r="H367" s="203" t="s">
        <v>327</v>
      </c>
    </row>
    <row r="368" spans="1:8">
      <c r="A368" s="201">
        <v>44183.589826388888</v>
      </c>
      <c r="B368" s="204" t="s">
        <v>507</v>
      </c>
      <c r="C368" s="204" t="s">
        <v>565</v>
      </c>
      <c r="D368" s="204" t="s">
        <v>48</v>
      </c>
      <c r="E368" s="205">
        <v>2</v>
      </c>
      <c r="G368" s="205">
        <v>10</v>
      </c>
      <c r="H368" s="203" t="s">
        <v>327</v>
      </c>
    </row>
    <row r="369" spans="1:8">
      <c r="A369" s="201">
        <v>44183.590057870373</v>
      </c>
      <c r="B369" s="204" t="s">
        <v>507</v>
      </c>
      <c r="C369" s="204" t="s">
        <v>765</v>
      </c>
      <c r="D369" s="204" t="s">
        <v>256</v>
      </c>
      <c r="E369" s="205">
        <v>8</v>
      </c>
      <c r="G369" s="205">
        <v>15.3</v>
      </c>
      <c r="H369" s="203" t="s">
        <v>327</v>
      </c>
    </row>
    <row r="370" spans="1:8">
      <c r="A370" s="201">
        <v>44183.590231481481</v>
      </c>
      <c r="B370" s="204" t="s">
        <v>507</v>
      </c>
      <c r="C370" s="204" t="s">
        <v>766</v>
      </c>
      <c r="D370" s="204" t="s">
        <v>256</v>
      </c>
      <c r="E370" s="205">
        <v>15</v>
      </c>
      <c r="G370" s="205">
        <v>14.7</v>
      </c>
      <c r="H370" s="203" t="s">
        <v>327</v>
      </c>
    </row>
    <row r="371" spans="1:8">
      <c r="A371" s="201">
        <v>44183.590266203704</v>
      </c>
      <c r="B371" s="204" t="s">
        <v>507</v>
      </c>
      <c r="C371" s="204" t="s">
        <v>767</v>
      </c>
      <c r="D371" s="204" t="s">
        <v>48</v>
      </c>
      <c r="E371" s="205">
        <v>15</v>
      </c>
      <c r="G371" s="205">
        <v>5</v>
      </c>
      <c r="H371" s="203" t="s">
        <v>327</v>
      </c>
    </row>
    <row r="372" spans="1:8">
      <c r="A372" s="201">
        <v>44183.590567129628</v>
      </c>
      <c r="B372" s="204" t="s">
        <v>502</v>
      </c>
      <c r="C372" s="204" t="s">
        <v>564</v>
      </c>
      <c r="D372" s="204" t="s">
        <v>65</v>
      </c>
      <c r="E372" s="205">
        <v>2</v>
      </c>
      <c r="G372" s="205">
        <v>0.5</v>
      </c>
      <c r="H372" s="203" t="s">
        <v>327</v>
      </c>
    </row>
    <row r="373" spans="1:8">
      <c r="A373" s="201">
        <v>44183.591458333336</v>
      </c>
      <c r="B373" s="204" t="s">
        <v>507</v>
      </c>
      <c r="C373" s="204" t="s">
        <v>768</v>
      </c>
      <c r="D373" s="204" t="s">
        <v>422</v>
      </c>
      <c r="E373" s="205">
        <v>6</v>
      </c>
      <c r="G373" s="205">
        <v>10</v>
      </c>
      <c r="H373" s="203" t="s">
        <v>327</v>
      </c>
    </row>
    <row r="374" spans="1:8">
      <c r="A374" s="201">
        <v>44183.591562499998</v>
      </c>
      <c r="B374" s="204" t="s">
        <v>507</v>
      </c>
      <c r="C374" s="204" t="s">
        <v>769</v>
      </c>
      <c r="D374" s="204" t="s">
        <v>421</v>
      </c>
      <c r="E374" s="205">
        <v>6</v>
      </c>
      <c r="G374" s="205">
        <v>3</v>
      </c>
      <c r="H374" s="203" t="s">
        <v>327</v>
      </c>
    </row>
    <row r="375" spans="1:8">
      <c r="A375" s="201">
        <v>44183.592222222222</v>
      </c>
      <c r="B375" s="204" t="s">
        <v>507</v>
      </c>
      <c r="C375" s="204" t="s">
        <v>770</v>
      </c>
      <c r="D375" s="204" t="s">
        <v>346</v>
      </c>
      <c r="E375" s="205">
        <v>1</v>
      </c>
      <c r="G375" s="205">
        <v>6</v>
      </c>
      <c r="H375" s="203" t="s">
        <v>327</v>
      </c>
    </row>
    <row r="376" spans="1:8">
      <c r="A376" s="201">
        <v>44183.592291666668</v>
      </c>
      <c r="B376" s="204" t="s">
        <v>507</v>
      </c>
      <c r="C376" s="204" t="s">
        <v>771</v>
      </c>
      <c r="D376" s="204" t="s">
        <v>344</v>
      </c>
      <c r="E376" s="205">
        <v>1</v>
      </c>
      <c r="G376" s="205">
        <v>24</v>
      </c>
      <c r="H376" s="203" t="s">
        <v>327</v>
      </c>
    </row>
    <row r="377" spans="1:8">
      <c r="A377" s="201">
        <v>44183.592395833337</v>
      </c>
      <c r="B377" s="204" t="s">
        <v>507</v>
      </c>
      <c r="C377" s="204" t="s">
        <v>772</v>
      </c>
      <c r="D377" s="204" t="s">
        <v>248</v>
      </c>
      <c r="E377" s="205">
        <v>2</v>
      </c>
      <c r="G377" s="205">
        <v>15</v>
      </c>
      <c r="H377" s="203" t="s">
        <v>327</v>
      </c>
    </row>
    <row r="378" spans="1:8">
      <c r="A378" s="201">
        <v>44183.592418981483</v>
      </c>
      <c r="B378" s="204" t="s">
        <v>507</v>
      </c>
      <c r="C378" s="204" t="s">
        <v>772</v>
      </c>
      <c r="D378" s="204" t="s">
        <v>248</v>
      </c>
      <c r="E378" s="205">
        <v>2</v>
      </c>
      <c r="G378" s="205" t="s">
        <v>458</v>
      </c>
      <c r="H378" s="203" t="s">
        <v>327</v>
      </c>
    </row>
    <row r="379" spans="1:8">
      <c r="A379" s="201">
        <v>44183.592430555553</v>
      </c>
      <c r="B379" s="204" t="s">
        <v>507</v>
      </c>
      <c r="C379" s="204" t="s">
        <v>773</v>
      </c>
      <c r="D379" s="204" t="s">
        <v>248</v>
      </c>
      <c r="E379" s="205">
        <v>1</v>
      </c>
      <c r="G379" s="205">
        <v>15</v>
      </c>
      <c r="H379" s="203" t="s">
        <v>327</v>
      </c>
    </row>
    <row r="380" spans="1:8">
      <c r="A380" s="201">
        <v>44183.592592592591</v>
      </c>
      <c r="B380" s="204" t="s">
        <v>507</v>
      </c>
      <c r="C380" s="204" t="s">
        <v>774</v>
      </c>
      <c r="D380" s="204" t="s">
        <v>338</v>
      </c>
      <c r="E380" s="205">
        <v>1</v>
      </c>
      <c r="G380" s="205">
        <v>5</v>
      </c>
      <c r="H380" s="203" t="s">
        <v>327</v>
      </c>
    </row>
    <row r="381" spans="1:8">
      <c r="A381" s="201">
        <v>44183.59269675926</v>
      </c>
      <c r="B381" s="204" t="s">
        <v>507</v>
      </c>
      <c r="C381" s="204" t="s">
        <v>775</v>
      </c>
      <c r="D381" s="204" t="s">
        <v>341</v>
      </c>
      <c r="E381" s="205">
        <v>1</v>
      </c>
      <c r="G381" s="205">
        <v>20</v>
      </c>
      <c r="H381" s="203" t="s">
        <v>327</v>
      </c>
    </row>
    <row r="382" spans="1:8">
      <c r="A382" s="201">
        <v>44183.592789351853</v>
      </c>
      <c r="B382" s="204" t="s">
        <v>507</v>
      </c>
      <c r="C382" s="204" t="s">
        <v>776</v>
      </c>
      <c r="D382" s="204" t="s">
        <v>357</v>
      </c>
      <c r="E382" s="205">
        <v>1</v>
      </c>
      <c r="G382" s="205">
        <v>10</v>
      </c>
      <c r="H382" s="203" t="s">
        <v>327</v>
      </c>
    </row>
    <row r="383" spans="1:8">
      <c r="A383" s="201">
        <v>44183.592870370368</v>
      </c>
      <c r="B383" s="204" t="s">
        <v>507</v>
      </c>
      <c r="C383" s="204" t="s">
        <v>777</v>
      </c>
      <c r="D383" s="204" t="s">
        <v>396</v>
      </c>
      <c r="E383" s="205">
        <v>1</v>
      </c>
      <c r="G383" s="205">
        <v>4</v>
      </c>
      <c r="H383" s="203" t="s">
        <v>327</v>
      </c>
    </row>
    <row r="384" spans="1:8">
      <c r="A384" s="201">
        <v>44183.593101851853</v>
      </c>
      <c r="B384" s="204" t="s">
        <v>507</v>
      </c>
      <c r="C384" s="204" t="s">
        <v>778</v>
      </c>
      <c r="D384" s="204" t="s">
        <v>398</v>
      </c>
      <c r="E384" s="205">
        <v>1</v>
      </c>
      <c r="G384" s="205">
        <v>2</v>
      </c>
      <c r="H384" s="203" t="s">
        <v>327</v>
      </c>
    </row>
    <row r="385" spans="1:8">
      <c r="A385" s="201">
        <v>44183.593194444446</v>
      </c>
      <c r="B385" s="204" t="s">
        <v>507</v>
      </c>
      <c r="C385" s="204" t="s">
        <v>779</v>
      </c>
      <c r="D385" s="204" t="s">
        <v>359</v>
      </c>
      <c r="E385" s="205">
        <v>1</v>
      </c>
      <c r="G385" s="205">
        <v>5</v>
      </c>
      <c r="H385" s="203" t="s">
        <v>327</v>
      </c>
    </row>
    <row r="386" spans="1:8">
      <c r="A386" s="201">
        <v>44183.593263888892</v>
      </c>
      <c r="B386" s="202" t="s">
        <v>507</v>
      </c>
      <c r="C386" s="202" t="s">
        <v>522</v>
      </c>
      <c r="D386" s="202" t="s">
        <v>362</v>
      </c>
      <c r="E386" s="202">
        <v>1</v>
      </c>
      <c r="F386" s="202"/>
      <c r="G386" s="202">
        <v>10</v>
      </c>
      <c r="H386" s="203" t="s">
        <v>327</v>
      </c>
    </row>
    <row r="387" spans="1:8">
      <c r="A387" s="201">
        <v>44183.593460648146</v>
      </c>
      <c r="B387" s="202" t="s">
        <v>507</v>
      </c>
      <c r="C387" s="202" t="s">
        <v>780</v>
      </c>
      <c r="D387" s="202" t="s">
        <v>342</v>
      </c>
      <c r="E387" s="202">
        <v>1</v>
      </c>
      <c r="F387" s="202"/>
      <c r="G387" s="202">
        <v>8</v>
      </c>
      <c r="H387" s="203" t="s">
        <v>327</v>
      </c>
    </row>
    <row r="388" spans="1:8">
      <c r="A388" s="201">
        <v>44183.593738425923</v>
      </c>
      <c r="B388" s="202" t="s">
        <v>507</v>
      </c>
      <c r="C388" s="202" t="s">
        <v>781</v>
      </c>
      <c r="D388" s="202" t="s">
        <v>366</v>
      </c>
      <c r="E388" s="202">
        <v>1</v>
      </c>
      <c r="F388" s="202"/>
      <c r="G388" s="202">
        <v>2</v>
      </c>
      <c r="H388" s="203" t="s">
        <v>327</v>
      </c>
    </row>
    <row r="389" spans="1:8">
      <c r="A389" s="201">
        <v>44183.593784722223</v>
      </c>
      <c r="B389" s="202" t="s">
        <v>507</v>
      </c>
      <c r="C389" s="202" t="s">
        <v>782</v>
      </c>
      <c r="D389" s="202" t="s">
        <v>403</v>
      </c>
      <c r="E389" s="202">
        <v>1</v>
      </c>
      <c r="F389" s="202"/>
      <c r="G389" s="202">
        <v>2</v>
      </c>
      <c r="H389" s="203" t="s">
        <v>327</v>
      </c>
    </row>
    <row r="390" spans="1:8">
      <c r="A390" s="201">
        <v>44183.593854166669</v>
      </c>
      <c r="B390" s="204" t="s">
        <v>507</v>
      </c>
      <c r="C390" s="204" t="s">
        <v>783</v>
      </c>
      <c r="D390" s="204" t="s">
        <v>368</v>
      </c>
      <c r="E390" s="205">
        <v>1</v>
      </c>
      <c r="G390" s="205">
        <v>4</v>
      </c>
      <c r="H390" s="203" t="s">
        <v>327</v>
      </c>
    </row>
    <row r="391" spans="1:8">
      <c r="A391" s="201">
        <v>44183.593958333331</v>
      </c>
      <c r="B391" s="202" t="s">
        <v>507</v>
      </c>
      <c r="C391" s="202" t="s">
        <v>784</v>
      </c>
      <c r="D391" s="202" t="s">
        <v>371</v>
      </c>
      <c r="E391" s="202">
        <v>1</v>
      </c>
      <c r="F391" s="202"/>
      <c r="G391" s="202">
        <v>3</v>
      </c>
      <c r="H391" s="203" t="s">
        <v>327</v>
      </c>
    </row>
    <row r="392" spans="1:8">
      <c r="A392" s="201">
        <v>44183.594351851854</v>
      </c>
      <c r="B392" s="202" t="s">
        <v>507</v>
      </c>
      <c r="C392" s="202" t="s">
        <v>785</v>
      </c>
      <c r="D392" s="202" t="s">
        <v>374</v>
      </c>
      <c r="E392" s="202">
        <v>1</v>
      </c>
      <c r="F392" s="202"/>
      <c r="G392" s="202">
        <v>10</v>
      </c>
      <c r="H392" s="203" t="s">
        <v>327</v>
      </c>
    </row>
    <row r="393" spans="1:8">
      <c r="A393" s="201">
        <v>44183.59443287037</v>
      </c>
      <c r="B393" s="204" t="s">
        <v>507</v>
      </c>
      <c r="C393" s="204" t="s">
        <v>786</v>
      </c>
      <c r="D393" s="204" t="s">
        <v>375</v>
      </c>
      <c r="E393" s="205">
        <v>1</v>
      </c>
      <c r="G393" s="205">
        <v>20</v>
      </c>
      <c r="H393" s="203" t="s">
        <v>327</v>
      </c>
    </row>
    <row r="394" spans="1:8">
      <c r="A394" s="201">
        <v>44183.594629629632</v>
      </c>
      <c r="B394" s="204" t="s">
        <v>507</v>
      </c>
      <c r="C394" s="204" t="s">
        <v>787</v>
      </c>
      <c r="D394" s="204" t="s">
        <v>391</v>
      </c>
      <c r="E394" s="205">
        <v>1</v>
      </c>
      <c r="G394" s="205">
        <v>10</v>
      </c>
      <c r="H394" s="203" t="s">
        <v>327</v>
      </c>
    </row>
    <row r="395" spans="1:8">
      <c r="A395" s="201">
        <v>44183.595069444447</v>
      </c>
      <c r="B395" s="204" t="s">
        <v>507</v>
      </c>
      <c r="C395" s="204" t="s">
        <v>788</v>
      </c>
      <c r="D395" s="204" t="s">
        <v>346</v>
      </c>
      <c r="E395" s="205">
        <v>8</v>
      </c>
      <c r="G395" s="205">
        <v>35</v>
      </c>
      <c r="H395" s="203" t="s">
        <v>327</v>
      </c>
    </row>
    <row r="396" spans="1:8">
      <c r="A396" s="201">
        <v>44183.595092592594</v>
      </c>
      <c r="B396" s="204" t="s">
        <v>507</v>
      </c>
      <c r="C396" s="204" t="s">
        <v>788</v>
      </c>
      <c r="D396" s="204" t="s">
        <v>346</v>
      </c>
      <c r="E396" s="205">
        <v>8</v>
      </c>
      <c r="G396" s="205">
        <v>40</v>
      </c>
      <c r="H396" s="203" t="s">
        <v>327</v>
      </c>
    </row>
    <row r="397" spans="1:8">
      <c r="A397" s="201">
        <v>44183.595277777778</v>
      </c>
      <c r="B397" s="204" t="s">
        <v>507</v>
      </c>
      <c r="C397" s="204" t="s">
        <v>789</v>
      </c>
      <c r="D397" s="204" t="s">
        <v>345</v>
      </c>
      <c r="E397" s="205">
        <v>8</v>
      </c>
      <c r="G397" s="206" t="s">
        <v>458</v>
      </c>
      <c r="H397" s="203" t="s">
        <v>327</v>
      </c>
    </row>
    <row r="398" spans="1:8">
      <c r="A398" s="201">
        <v>44183.595289351855</v>
      </c>
      <c r="B398" s="204" t="s">
        <v>507</v>
      </c>
      <c r="C398" s="204" t="s">
        <v>790</v>
      </c>
      <c r="D398" s="204" t="s">
        <v>344</v>
      </c>
      <c r="E398" s="205">
        <v>8</v>
      </c>
      <c r="G398" s="206">
        <v>12</v>
      </c>
      <c r="H398" s="203" t="s">
        <v>327</v>
      </c>
    </row>
    <row r="399" spans="1:8">
      <c r="A399" s="201">
        <v>44183.595347222225</v>
      </c>
      <c r="B399" s="204" t="s">
        <v>507</v>
      </c>
      <c r="C399" s="204" t="s">
        <v>789</v>
      </c>
      <c r="D399" s="204" t="s">
        <v>345</v>
      </c>
      <c r="E399" s="205">
        <v>8</v>
      </c>
      <c r="G399" s="206">
        <v>10</v>
      </c>
      <c r="H399" s="203" t="s">
        <v>327</v>
      </c>
    </row>
    <row r="400" spans="1:8">
      <c r="A400" s="201">
        <v>44183.595416666663</v>
      </c>
      <c r="B400" s="202" t="s">
        <v>507</v>
      </c>
      <c r="C400" s="202" t="s">
        <v>791</v>
      </c>
      <c r="D400" s="202" t="s">
        <v>248</v>
      </c>
      <c r="E400" s="202">
        <v>8</v>
      </c>
      <c r="F400" s="202"/>
      <c r="G400" s="202">
        <v>20</v>
      </c>
      <c r="H400" s="203" t="s">
        <v>327</v>
      </c>
    </row>
    <row r="401" spans="1:8">
      <c r="A401" s="201">
        <v>44183.59579861111</v>
      </c>
      <c r="B401" s="202" t="s">
        <v>507</v>
      </c>
      <c r="C401" s="202" t="s">
        <v>792</v>
      </c>
      <c r="D401" s="202" t="s">
        <v>363</v>
      </c>
      <c r="E401" s="202">
        <v>8</v>
      </c>
      <c r="F401" s="202"/>
      <c r="G401" s="202">
        <v>5</v>
      </c>
      <c r="H401" s="203" t="s">
        <v>327</v>
      </c>
    </row>
    <row r="402" spans="1:8">
      <c r="A402" s="201">
        <v>44183.595902777779</v>
      </c>
      <c r="B402" s="202" t="s">
        <v>507</v>
      </c>
      <c r="C402" s="202" t="s">
        <v>792</v>
      </c>
      <c r="D402" s="202" t="s">
        <v>363</v>
      </c>
      <c r="E402" s="202">
        <v>8</v>
      </c>
      <c r="F402" s="202"/>
      <c r="G402" s="202">
        <v>10</v>
      </c>
      <c r="H402" s="203" t="s">
        <v>327</v>
      </c>
    </row>
    <row r="403" spans="1:8">
      <c r="A403" s="201">
        <v>44183.596388888887</v>
      </c>
      <c r="B403" s="202" t="s">
        <v>507</v>
      </c>
      <c r="C403" s="202" t="s">
        <v>793</v>
      </c>
      <c r="D403" s="202" t="s">
        <v>375</v>
      </c>
      <c r="E403" s="202">
        <v>8</v>
      </c>
      <c r="F403" s="202"/>
      <c r="G403" s="202">
        <v>10</v>
      </c>
      <c r="H403" s="203" t="s">
        <v>327</v>
      </c>
    </row>
    <row r="404" spans="1:8">
      <c r="A404" s="201">
        <v>44183.636597222219</v>
      </c>
      <c r="B404" s="204" t="s">
        <v>507</v>
      </c>
      <c r="C404" s="204" t="s">
        <v>794</v>
      </c>
      <c r="D404" s="204" t="s">
        <v>100</v>
      </c>
      <c r="E404" s="205">
        <v>8</v>
      </c>
      <c r="G404" s="205">
        <v>5</v>
      </c>
      <c r="H404" s="203" t="s">
        <v>327</v>
      </c>
    </row>
    <row r="405" spans="1:8">
      <c r="A405" s="201">
        <v>44183.636643518519</v>
      </c>
      <c r="B405" s="204" t="s">
        <v>507</v>
      </c>
      <c r="C405" s="204" t="s">
        <v>795</v>
      </c>
      <c r="D405" s="204" t="s">
        <v>98</v>
      </c>
      <c r="E405" s="205">
        <v>8</v>
      </c>
      <c r="G405" s="205">
        <v>5</v>
      </c>
      <c r="H405" s="203" t="s">
        <v>327</v>
      </c>
    </row>
    <row r="406" spans="1:8">
      <c r="A406" s="201">
        <v>44183.636736111112</v>
      </c>
      <c r="B406" s="202" t="s">
        <v>507</v>
      </c>
      <c r="C406" s="202" t="s">
        <v>796</v>
      </c>
      <c r="D406" s="202" t="s">
        <v>315</v>
      </c>
      <c r="E406" s="202">
        <v>8</v>
      </c>
      <c r="F406" s="202"/>
      <c r="G406" s="202">
        <v>5</v>
      </c>
      <c r="H406" s="203" t="s">
        <v>327</v>
      </c>
    </row>
    <row r="407" spans="1:8">
      <c r="A407" s="201">
        <v>44183.636770833335</v>
      </c>
      <c r="B407" s="202" t="s">
        <v>507</v>
      </c>
      <c r="C407" s="202" t="s">
        <v>797</v>
      </c>
      <c r="D407" s="202" t="s">
        <v>99</v>
      </c>
      <c r="E407" s="202">
        <v>8</v>
      </c>
      <c r="F407" s="202"/>
      <c r="G407" s="202">
        <v>5</v>
      </c>
      <c r="H407" s="203" t="s">
        <v>327</v>
      </c>
    </row>
    <row r="408" spans="1:8">
      <c r="A408" s="201">
        <v>44183.636979166666</v>
      </c>
      <c r="B408" s="204" t="s">
        <v>507</v>
      </c>
      <c r="C408" s="204" t="s">
        <v>798</v>
      </c>
      <c r="D408" s="204" t="s">
        <v>97</v>
      </c>
      <c r="E408" s="205">
        <v>15</v>
      </c>
      <c r="G408" s="205">
        <v>5</v>
      </c>
      <c r="H408" s="203" t="s">
        <v>327</v>
      </c>
    </row>
    <row r="409" spans="1:8">
      <c r="A409" s="201">
        <v>44183.637060185189</v>
      </c>
      <c r="B409" s="204" t="s">
        <v>507</v>
      </c>
      <c r="C409" s="204" t="s">
        <v>799</v>
      </c>
      <c r="D409" s="204" t="s">
        <v>98</v>
      </c>
      <c r="E409" s="205">
        <v>15</v>
      </c>
      <c r="G409" s="205">
        <v>5</v>
      </c>
      <c r="H409" s="203" t="s">
        <v>327</v>
      </c>
    </row>
    <row r="410" spans="1:8">
      <c r="A410" s="201">
        <v>44183.637083333335</v>
      </c>
      <c r="B410" s="204" t="s">
        <v>507</v>
      </c>
      <c r="C410" s="204" t="s">
        <v>800</v>
      </c>
      <c r="D410" s="204" t="s">
        <v>314</v>
      </c>
      <c r="E410" s="205">
        <v>15</v>
      </c>
      <c r="G410" s="205">
        <v>5</v>
      </c>
      <c r="H410" s="203" t="s">
        <v>327</v>
      </c>
    </row>
    <row r="411" spans="1:8">
      <c r="A411" s="201">
        <v>44183.637152777781</v>
      </c>
      <c r="B411" s="204" t="s">
        <v>507</v>
      </c>
      <c r="C411" s="204" t="s">
        <v>801</v>
      </c>
      <c r="D411" s="204" t="s">
        <v>315</v>
      </c>
      <c r="E411" s="205">
        <v>15</v>
      </c>
      <c r="G411" s="205">
        <v>5</v>
      </c>
      <c r="H411" s="203" t="s">
        <v>327</v>
      </c>
    </row>
    <row r="412" spans="1:8">
      <c r="A412" s="201">
        <v>44183.637291666666</v>
      </c>
      <c r="B412" s="202" t="s">
        <v>507</v>
      </c>
      <c r="C412" s="202" t="s">
        <v>802</v>
      </c>
      <c r="D412" s="202" t="s">
        <v>100</v>
      </c>
      <c r="E412" s="215">
        <v>15</v>
      </c>
      <c r="F412" s="202"/>
      <c r="G412" s="202">
        <v>5</v>
      </c>
      <c r="H412" s="203" t="s">
        <v>327</v>
      </c>
    </row>
    <row r="413" spans="1:8">
      <c r="A413" s="201">
        <v>44183.637835648151</v>
      </c>
      <c r="B413" s="202" t="s">
        <v>507</v>
      </c>
      <c r="C413" s="202" t="s">
        <v>803</v>
      </c>
      <c r="D413" s="202"/>
      <c r="E413" s="215">
        <v>8</v>
      </c>
      <c r="F413" s="202"/>
      <c r="G413" s="202" t="s">
        <v>804</v>
      </c>
    </row>
    <row r="414" spans="1:8">
      <c r="A414" s="201">
        <v>44183.63784722222</v>
      </c>
      <c r="B414" s="505" t="s">
        <v>566</v>
      </c>
      <c r="C414" s="506"/>
      <c r="D414" s="506"/>
      <c r="E414" s="506"/>
      <c r="F414" s="506"/>
      <c r="G414" s="507"/>
    </row>
    <row r="415" spans="1:8">
      <c r="A415" s="201">
        <v>44183.63795138889</v>
      </c>
      <c r="B415" s="505" t="s">
        <v>452</v>
      </c>
      <c r="C415" s="506"/>
      <c r="D415" s="506"/>
      <c r="E415" s="506"/>
      <c r="F415" s="506"/>
      <c r="G415" s="507"/>
      <c r="H415" s="203" t="s">
        <v>327</v>
      </c>
    </row>
    <row r="416" spans="1:8">
      <c r="A416" s="201">
        <v>44183.637997685182</v>
      </c>
      <c r="B416" s="202" t="s">
        <v>507</v>
      </c>
      <c r="C416" s="202" t="s">
        <v>798</v>
      </c>
      <c r="D416" s="202" t="s">
        <v>97</v>
      </c>
      <c r="E416" s="215">
        <v>15</v>
      </c>
      <c r="F416" s="202"/>
      <c r="G416" s="202" t="s">
        <v>458</v>
      </c>
      <c r="H416" s="203" t="s">
        <v>327</v>
      </c>
    </row>
    <row r="417" spans="1:8">
      <c r="A417" s="201">
        <v>44183.638009259259</v>
      </c>
      <c r="B417" s="202" t="s">
        <v>507</v>
      </c>
      <c r="C417" s="202" t="s">
        <v>799</v>
      </c>
      <c r="D417" s="202" t="s">
        <v>98</v>
      </c>
      <c r="E417" s="215">
        <v>15</v>
      </c>
      <c r="F417" s="202"/>
      <c r="G417" s="202" t="s">
        <v>458</v>
      </c>
      <c r="H417" s="203" t="s">
        <v>327</v>
      </c>
    </row>
    <row r="418" spans="1:8">
      <c r="A418" s="201">
        <v>44183.638020833336</v>
      </c>
      <c r="B418" s="202" t="s">
        <v>507</v>
      </c>
      <c r="C418" s="202" t="s">
        <v>801</v>
      </c>
      <c r="D418" s="202" t="s">
        <v>315</v>
      </c>
      <c r="E418" s="215">
        <v>15</v>
      </c>
      <c r="F418" s="202"/>
      <c r="G418" s="202" t="s">
        <v>458</v>
      </c>
      <c r="H418" s="203" t="s">
        <v>327</v>
      </c>
    </row>
    <row r="419" spans="1:8">
      <c r="A419" s="201">
        <v>44183.638020833336</v>
      </c>
      <c r="B419" s="204" t="s">
        <v>507</v>
      </c>
      <c r="C419" s="204" t="s">
        <v>802</v>
      </c>
      <c r="D419" s="204" t="s">
        <v>100</v>
      </c>
      <c r="E419" s="205">
        <v>15</v>
      </c>
      <c r="G419" s="205" t="s">
        <v>458</v>
      </c>
      <c r="H419" s="203" t="s">
        <v>327</v>
      </c>
    </row>
    <row r="420" spans="1:8">
      <c r="A420" s="201">
        <v>44183.638032407405</v>
      </c>
      <c r="B420" s="204" t="s">
        <v>507</v>
      </c>
      <c r="C420" s="204" t="s">
        <v>805</v>
      </c>
      <c r="D420" s="204" t="s">
        <v>170</v>
      </c>
      <c r="E420" s="205">
        <v>15</v>
      </c>
      <c r="G420" s="205" t="s">
        <v>458</v>
      </c>
      <c r="H420" s="203" t="s">
        <v>327</v>
      </c>
    </row>
    <row r="421" spans="1:8">
      <c r="A421" s="201">
        <v>44183.638032407405</v>
      </c>
      <c r="B421" s="204" t="s">
        <v>507</v>
      </c>
      <c r="C421" s="204" t="s">
        <v>806</v>
      </c>
      <c r="D421" s="204" t="s">
        <v>30</v>
      </c>
      <c r="E421" s="205">
        <v>15</v>
      </c>
      <c r="G421" s="205" t="s">
        <v>458</v>
      </c>
      <c r="H421" s="203" t="s">
        <v>327</v>
      </c>
    </row>
    <row r="422" spans="1:8">
      <c r="A422" s="201">
        <v>44183.638043981482</v>
      </c>
      <c r="B422" s="204" t="s">
        <v>507</v>
      </c>
      <c r="C422" s="204" t="s">
        <v>800</v>
      </c>
      <c r="D422" s="204" t="s">
        <v>314</v>
      </c>
      <c r="E422" s="205">
        <v>15</v>
      </c>
      <c r="G422" s="205" t="s">
        <v>458</v>
      </c>
      <c r="H422" s="203" t="s">
        <v>327</v>
      </c>
    </row>
    <row r="423" spans="1:8">
      <c r="A423" s="201">
        <v>44183.638171296298</v>
      </c>
      <c r="B423" s="204" t="s">
        <v>507</v>
      </c>
      <c r="C423" s="204" t="s">
        <v>807</v>
      </c>
      <c r="D423" s="204" t="s">
        <v>97</v>
      </c>
      <c r="E423" s="205">
        <v>2</v>
      </c>
      <c r="G423" s="205">
        <v>5</v>
      </c>
      <c r="H423" s="203" t="s">
        <v>327</v>
      </c>
    </row>
    <row r="424" spans="1:8">
      <c r="A424" s="201">
        <v>44183.638229166667</v>
      </c>
      <c r="B424" s="204" t="s">
        <v>507</v>
      </c>
      <c r="C424" s="204" t="s">
        <v>808</v>
      </c>
      <c r="D424" s="204" t="s">
        <v>314</v>
      </c>
      <c r="E424" s="205">
        <v>2</v>
      </c>
      <c r="G424" s="205">
        <v>5</v>
      </c>
      <c r="H424" s="203" t="s">
        <v>327</v>
      </c>
    </row>
    <row r="425" spans="1:8">
      <c r="A425" s="201">
        <v>44183.638252314813</v>
      </c>
      <c r="B425" s="204" t="s">
        <v>507</v>
      </c>
      <c r="C425" s="204" t="s">
        <v>809</v>
      </c>
      <c r="D425" s="204" t="s">
        <v>99</v>
      </c>
      <c r="E425" s="205">
        <v>2</v>
      </c>
      <c r="G425" s="205">
        <v>5</v>
      </c>
      <c r="H425" s="203" t="s">
        <v>327</v>
      </c>
    </row>
    <row r="426" spans="1:8">
      <c r="A426" s="201">
        <v>44183.638460648152</v>
      </c>
      <c r="B426" s="204" t="s">
        <v>507</v>
      </c>
      <c r="C426" s="204" t="s">
        <v>798</v>
      </c>
      <c r="D426" s="204" t="s">
        <v>97</v>
      </c>
      <c r="E426" s="205">
        <v>15</v>
      </c>
      <c r="G426" s="205">
        <v>5</v>
      </c>
      <c r="H426" s="203" t="s">
        <v>327</v>
      </c>
    </row>
    <row r="427" spans="1:8">
      <c r="A427" s="201">
        <v>44183.638483796298</v>
      </c>
      <c r="B427" s="204" t="s">
        <v>507</v>
      </c>
      <c r="C427" s="204" t="s">
        <v>800</v>
      </c>
      <c r="D427" s="204" t="s">
        <v>314</v>
      </c>
      <c r="E427" s="205">
        <v>15</v>
      </c>
      <c r="G427" s="205">
        <v>5</v>
      </c>
      <c r="H427" s="203" t="s">
        <v>327</v>
      </c>
    </row>
    <row r="428" spans="1:8">
      <c r="A428" s="201">
        <v>44183.638692129629</v>
      </c>
      <c r="B428" s="505" t="s">
        <v>566</v>
      </c>
      <c r="C428" s="506"/>
      <c r="D428" s="506"/>
      <c r="E428" s="506"/>
      <c r="F428" s="506"/>
      <c r="G428" s="507"/>
      <c r="H428" s="203" t="s">
        <v>327</v>
      </c>
    </row>
    <row r="429" spans="1:8">
      <c r="A429" s="201">
        <v>44183.645046296297</v>
      </c>
      <c r="B429" s="505" t="s">
        <v>452</v>
      </c>
      <c r="C429" s="506"/>
      <c r="D429" s="506"/>
      <c r="E429" s="506"/>
      <c r="F429" s="506"/>
      <c r="G429" s="507"/>
      <c r="H429" s="203" t="s">
        <v>327</v>
      </c>
    </row>
    <row r="430" spans="1:8">
      <c r="A430" s="201">
        <v>44183.650949074072</v>
      </c>
      <c r="B430" s="204" t="s">
        <v>507</v>
      </c>
      <c r="C430" s="204" t="s">
        <v>810</v>
      </c>
      <c r="D430" s="204" t="s">
        <v>51</v>
      </c>
      <c r="E430" s="205">
        <v>10</v>
      </c>
      <c r="G430" s="205" t="s">
        <v>458</v>
      </c>
      <c r="H430" s="203" t="s">
        <v>327</v>
      </c>
    </row>
    <row r="431" spans="1:8">
      <c r="A431" s="201">
        <v>44183.651053240741</v>
      </c>
      <c r="B431" s="204" t="s">
        <v>453</v>
      </c>
      <c r="C431" s="204" t="s">
        <v>454</v>
      </c>
      <c r="G431" s="205">
        <v>1</v>
      </c>
      <c r="H431" s="203" t="s">
        <v>327</v>
      </c>
    </row>
    <row r="432" spans="1:8">
      <c r="A432" s="201">
        <v>44183.651053240741</v>
      </c>
      <c r="B432" s="204" t="s">
        <v>453</v>
      </c>
      <c r="C432" s="204" t="s">
        <v>454</v>
      </c>
      <c r="G432" s="205">
        <v>1</v>
      </c>
      <c r="H432" s="203" t="s">
        <v>327</v>
      </c>
    </row>
    <row r="433" spans="1:8">
      <c r="A433" s="201">
        <v>44183.651053240741</v>
      </c>
      <c r="B433" s="204" t="s">
        <v>680</v>
      </c>
      <c r="C433" s="204" t="s">
        <v>681</v>
      </c>
      <c r="G433" s="205">
        <v>1</v>
      </c>
      <c r="H433" s="203" t="s">
        <v>327</v>
      </c>
    </row>
    <row r="434" spans="1:8">
      <c r="A434" s="201">
        <v>44183.651053240741</v>
      </c>
      <c r="B434" s="204" t="s">
        <v>680</v>
      </c>
      <c r="C434" s="204" t="s">
        <v>682</v>
      </c>
      <c r="G434" s="205">
        <v>1</v>
      </c>
      <c r="H434" s="203" t="s">
        <v>327</v>
      </c>
    </row>
    <row r="435" spans="1:8">
      <c r="A435" s="201">
        <v>44183.651064814818</v>
      </c>
      <c r="B435" s="204" t="s">
        <v>680</v>
      </c>
      <c r="C435" s="204" t="s">
        <v>683</v>
      </c>
      <c r="G435" s="205">
        <v>1</v>
      </c>
      <c r="H435" s="203" t="s">
        <v>327</v>
      </c>
    </row>
    <row r="436" spans="1:8">
      <c r="A436" s="201">
        <v>44183.651064814818</v>
      </c>
      <c r="B436" s="204" t="s">
        <v>680</v>
      </c>
      <c r="C436" s="204" t="s">
        <v>684</v>
      </c>
      <c r="G436" s="205">
        <v>1</v>
      </c>
      <c r="H436" s="203" t="s">
        <v>327</v>
      </c>
    </row>
    <row r="437" spans="1:8">
      <c r="A437" s="201">
        <v>44183.651064814818</v>
      </c>
      <c r="B437" s="204" t="s">
        <v>680</v>
      </c>
      <c r="C437" s="204" t="s">
        <v>685</v>
      </c>
      <c r="G437" s="205">
        <v>1</v>
      </c>
      <c r="H437" s="203" t="s">
        <v>327</v>
      </c>
    </row>
    <row r="438" spans="1:8">
      <c r="A438" s="201">
        <v>44183.651064814818</v>
      </c>
      <c r="B438" s="204" t="s">
        <v>680</v>
      </c>
      <c r="C438" s="204" t="s">
        <v>811</v>
      </c>
      <c r="G438" s="205">
        <v>1</v>
      </c>
      <c r="H438" s="203" t="s">
        <v>327</v>
      </c>
    </row>
    <row r="439" spans="1:8">
      <c r="A439" s="201">
        <v>44183.651087962964</v>
      </c>
      <c r="B439" s="204" t="s">
        <v>680</v>
      </c>
      <c r="C439" s="204" t="s">
        <v>811</v>
      </c>
      <c r="G439" s="205">
        <v>0</v>
      </c>
      <c r="H439" s="203" t="s">
        <v>327</v>
      </c>
    </row>
    <row r="440" spans="1:8">
      <c r="A440" s="201">
        <v>44183.667673611111</v>
      </c>
      <c r="B440" s="505" t="s">
        <v>566</v>
      </c>
      <c r="C440" s="506"/>
      <c r="D440" s="506"/>
      <c r="E440" s="506"/>
      <c r="F440" s="506"/>
      <c r="G440" s="507"/>
      <c r="H440" s="203" t="s">
        <v>327</v>
      </c>
    </row>
    <row r="441" spans="1:8">
      <c r="A441" s="201">
        <v>44184.611504629633</v>
      </c>
      <c r="B441" s="505" t="s">
        <v>452</v>
      </c>
      <c r="C441" s="506"/>
      <c r="D441" s="506"/>
      <c r="E441" s="506"/>
      <c r="F441" s="506"/>
      <c r="G441" s="507"/>
      <c r="H441" s="203" t="s">
        <v>327</v>
      </c>
    </row>
    <row r="442" spans="1:8">
      <c r="A442" s="201">
        <v>44184.628136574072</v>
      </c>
      <c r="B442" s="505" t="s">
        <v>566</v>
      </c>
      <c r="C442" s="506"/>
      <c r="D442" s="506"/>
      <c r="E442" s="506"/>
      <c r="F442" s="506"/>
      <c r="G442" s="507"/>
      <c r="H442" s="203" t="s">
        <v>327</v>
      </c>
    </row>
    <row r="443" spans="1:8">
      <c r="A443" s="201">
        <v>44184.812592592592</v>
      </c>
      <c r="B443" s="505" t="s">
        <v>452</v>
      </c>
      <c r="C443" s="506"/>
      <c r="D443" s="506"/>
      <c r="E443" s="506"/>
      <c r="F443" s="506"/>
      <c r="G443" s="507"/>
      <c r="H443" s="203" t="s">
        <v>327</v>
      </c>
    </row>
    <row r="444" spans="1:8">
      <c r="A444" s="201">
        <v>44184.8202662037</v>
      </c>
      <c r="B444" s="204" t="s">
        <v>502</v>
      </c>
      <c r="C444" s="204" t="s">
        <v>812</v>
      </c>
      <c r="D444" s="204" t="s">
        <v>393</v>
      </c>
      <c r="E444" s="205">
        <v>18</v>
      </c>
      <c r="G444" s="205">
        <v>1</v>
      </c>
      <c r="H444" s="203" t="s">
        <v>327</v>
      </c>
    </row>
    <row r="445" spans="1:8">
      <c r="A445" s="201">
        <v>44184.820324074077</v>
      </c>
      <c r="B445" s="204" t="s">
        <v>502</v>
      </c>
      <c r="C445" s="204" t="s">
        <v>812</v>
      </c>
      <c r="D445" s="204" t="s">
        <v>393</v>
      </c>
      <c r="E445" s="205">
        <v>18</v>
      </c>
      <c r="G445" s="205" t="s">
        <v>458</v>
      </c>
      <c r="H445" s="203" t="s">
        <v>327</v>
      </c>
    </row>
    <row r="446" spans="1:8">
      <c r="A446" s="201">
        <v>44184.820347222223</v>
      </c>
      <c r="B446" s="204" t="s">
        <v>502</v>
      </c>
      <c r="C446" s="204" t="s">
        <v>813</v>
      </c>
      <c r="D446" s="204" t="s">
        <v>393</v>
      </c>
      <c r="E446" s="205">
        <v>19</v>
      </c>
      <c r="G446" s="205">
        <v>1</v>
      </c>
      <c r="H446" s="203" t="s">
        <v>327</v>
      </c>
    </row>
    <row r="447" spans="1:8">
      <c r="A447" s="201">
        <v>44184.820370370369</v>
      </c>
      <c r="B447" s="204" t="s">
        <v>502</v>
      </c>
      <c r="C447" s="204" t="s">
        <v>813</v>
      </c>
      <c r="D447" s="204" t="s">
        <v>393</v>
      </c>
      <c r="E447" s="205">
        <v>19</v>
      </c>
      <c r="G447" s="205" t="s">
        <v>458</v>
      </c>
      <c r="H447" s="203" t="s">
        <v>327</v>
      </c>
    </row>
    <row r="448" spans="1:8">
      <c r="A448" s="201">
        <v>44184.820393518516</v>
      </c>
      <c r="B448" s="204" t="s">
        <v>502</v>
      </c>
      <c r="C448" s="204" t="s">
        <v>813</v>
      </c>
      <c r="D448" s="204" t="s">
        <v>393</v>
      </c>
      <c r="E448" s="205">
        <v>19</v>
      </c>
      <c r="G448" s="205">
        <v>1</v>
      </c>
      <c r="H448" s="203" t="s">
        <v>327</v>
      </c>
    </row>
    <row r="449" spans="1:8">
      <c r="A449" s="201">
        <v>44184.820416666669</v>
      </c>
      <c r="B449" s="204" t="s">
        <v>502</v>
      </c>
      <c r="C449" s="204" t="s">
        <v>813</v>
      </c>
      <c r="D449" s="204" t="s">
        <v>393</v>
      </c>
      <c r="E449" s="205">
        <v>19</v>
      </c>
      <c r="G449" s="205" t="s">
        <v>458</v>
      </c>
      <c r="H449" s="203" t="s">
        <v>327</v>
      </c>
    </row>
    <row r="450" spans="1:8">
      <c r="A450" s="201">
        <v>44184.820474537039</v>
      </c>
      <c r="B450" s="204" t="s">
        <v>502</v>
      </c>
      <c r="C450" s="204" t="s">
        <v>812</v>
      </c>
      <c r="D450" s="204" t="s">
        <v>393</v>
      </c>
      <c r="E450" s="205">
        <v>18</v>
      </c>
      <c r="G450" s="205">
        <v>1</v>
      </c>
      <c r="H450" s="203" t="s">
        <v>327</v>
      </c>
    </row>
    <row r="451" spans="1:8">
      <c r="A451" s="201">
        <v>44184.820486111108</v>
      </c>
      <c r="B451" s="204" t="s">
        <v>502</v>
      </c>
      <c r="C451" s="204" t="s">
        <v>812</v>
      </c>
      <c r="D451" s="204" t="s">
        <v>393</v>
      </c>
      <c r="E451" s="205">
        <v>18</v>
      </c>
      <c r="G451" s="205" t="s">
        <v>458</v>
      </c>
      <c r="H451" s="203" t="s">
        <v>327</v>
      </c>
    </row>
    <row r="452" spans="1:8">
      <c r="A452" s="201">
        <v>44184.822314814817</v>
      </c>
      <c r="B452" s="204" t="s">
        <v>453</v>
      </c>
      <c r="C452" s="204" t="s">
        <v>454</v>
      </c>
      <c r="G452" s="205">
        <v>1</v>
      </c>
      <c r="H452" s="203" t="s">
        <v>327</v>
      </c>
    </row>
    <row r="453" spans="1:8">
      <c r="A453" s="201">
        <v>44184.822314814817</v>
      </c>
      <c r="B453" s="204" t="s">
        <v>453</v>
      </c>
      <c r="C453" s="204" t="s">
        <v>454</v>
      </c>
      <c r="G453" s="205">
        <v>1</v>
      </c>
      <c r="H453" s="203" t="s">
        <v>327</v>
      </c>
    </row>
    <row r="454" spans="1:8">
      <c r="A454" s="201">
        <v>44184.822314814817</v>
      </c>
      <c r="B454" s="204" t="s">
        <v>680</v>
      </c>
      <c r="C454" s="204" t="s">
        <v>681</v>
      </c>
      <c r="G454" s="205">
        <v>1</v>
      </c>
      <c r="H454" s="203" t="s">
        <v>327</v>
      </c>
    </row>
    <row r="455" spans="1:8">
      <c r="A455" s="201">
        <v>44184.822314814817</v>
      </c>
      <c r="B455" s="204" t="s">
        <v>680</v>
      </c>
      <c r="C455" s="204" t="s">
        <v>682</v>
      </c>
      <c r="G455" s="205">
        <v>1</v>
      </c>
      <c r="H455" s="203" t="s">
        <v>327</v>
      </c>
    </row>
    <row r="456" spans="1:8">
      <c r="A456" s="201">
        <v>44184.822314814817</v>
      </c>
      <c r="B456" s="204" t="s">
        <v>680</v>
      </c>
      <c r="C456" s="204" t="s">
        <v>683</v>
      </c>
      <c r="G456" s="205">
        <v>1</v>
      </c>
      <c r="H456" s="203" t="s">
        <v>327</v>
      </c>
    </row>
    <row r="457" spans="1:8">
      <c r="A457" s="201">
        <v>44184.822314814817</v>
      </c>
      <c r="B457" s="204" t="s">
        <v>680</v>
      </c>
      <c r="C457" s="204" t="s">
        <v>684</v>
      </c>
      <c r="G457" s="205">
        <v>1</v>
      </c>
      <c r="H457" s="203" t="s">
        <v>327</v>
      </c>
    </row>
    <row r="458" spans="1:8">
      <c r="A458" s="201">
        <v>44184.822314814817</v>
      </c>
      <c r="B458" s="204" t="s">
        <v>680</v>
      </c>
      <c r="C458" s="204" t="s">
        <v>685</v>
      </c>
      <c r="G458" s="206">
        <v>1</v>
      </c>
      <c r="H458" s="203" t="s">
        <v>327</v>
      </c>
    </row>
    <row r="459" spans="1:8">
      <c r="A459" s="201">
        <v>44184.82234953704</v>
      </c>
      <c r="B459" s="202" t="s">
        <v>453</v>
      </c>
      <c r="C459" s="202" t="s">
        <v>454</v>
      </c>
      <c r="D459" s="202"/>
      <c r="E459" s="202"/>
      <c r="F459" s="202"/>
      <c r="G459" s="202">
        <v>1</v>
      </c>
      <c r="H459" s="203" t="s">
        <v>327</v>
      </c>
    </row>
    <row r="460" spans="1:8">
      <c r="A460" s="201">
        <v>44184.82236111111</v>
      </c>
      <c r="B460" s="202" t="s">
        <v>453</v>
      </c>
      <c r="C460" s="202" t="s">
        <v>454</v>
      </c>
      <c r="D460" s="202"/>
      <c r="E460" s="202"/>
      <c r="F460" s="202"/>
      <c r="G460" s="202">
        <v>1</v>
      </c>
      <c r="H460" s="203" t="s">
        <v>327</v>
      </c>
    </row>
    <row r="461" spans="1:8">
      <c r="A461" s="201">
        <v>44184.822395833333</v>
      </c>
      <c r="B461" s="204" t="s">
        <v>680</v>
      </c>
      <c r="C461" s="204" t="s">
        <v>686</v>
      </c>
      <c r="G461" s="205" t="s">
        <v>327</v>
      </c>
      <c r="H461" s="203" t="s">
        <v>327</v>
      </c>
    </row>
    <row r="462" spans="1:8">
      <c r="A462" s="201">
        <v>44184.82240740741</v>
      </c>
      <c r="B462" s="204" t="s">
        <v>680</v>
      </c>
      <c r="C462" s="204" t="s">
        <v>687</v>
      </c>
      <c r="G462" s="205">
        <v>193973</v>
      </c>
      <c r="H462" s="203" t="s">
        <v>327</v>
      </c>
    </row>
    <row r="463" spans="1:8">
      <c r="A463" s="201">
        <v>44185.615173611113</v>
      </c>
      <c r="B463" s="505" t="s">
        <v>452</v>
      </c>
      <c r="C463" s="506"/>
      <c r="D463" s="506"/>
      <c r="E463" s="506"/>
      <c r="F463" s="506"/>
      <c r="G463" s="507"/>
      <c r="H463" s="203" t="s">
        <v>327</v>
      </c>
    </row>
    <row r="464" spans="1:8">
      <c r="A464" s="201">
        <v>44185.712280092594</v>
      </c>
      <c r="B464" s="505" t="s">
        <v>566</v>
      </c>
      <c r="C464" s="506"/>
      <c r="D464" s="506"/>
      <c r="E464" s="506"/>
      <c r="F464" s="506"/>
      <c r="G464" s="507"/>
      <c r="H464" s="203" t="s">
        <v>327</v>
      </c>
    </row>
    <row r="465" spans="1:8">
      <c r="A465" s="201">
        <v>44185.822627314818</v>
      </c>
      <c r="B465" s="505" t="s">
        <v>452</v>
      </c>
      <c r="C465" s="506"/>
      <c r="D465" s="506"/>
      <c r="E465" s="506"/>
      <c r="F465" s="506"/>
      <c r="G465" s="507"/>
      <c r="H465" s="203" t="s">
        <v>327</v>
      </c>
    </row>
    <row r="466" spans="1:8">
      <c r="A466" s="201">
        <v>44185.823564814818</v>
      </c>
      <c r="B466" s="202" t="s">
        <v>453</v>
      </c>
      <c r="C466" s="202" t="s">
        <v>454</v>
      </c>
      <c r="D466" s="202"/>
      <c r="E466" s="202"/>
      <c r="F466" s="202"/>
      <c r="G466" s="202">
        <v>1</v>
      </c>
      <c r="H466" s="203" t="s">
        <v>327</v>
      </c>
    </row>
    <row r="467" spans="1:8">
      <c r="A467" s="201">
        <v>44185.823564814818</v>
      </c>
      <c r="B467" s="204" t="s">
        <v>502</v>
      </c>
      <c r="C467" s="204" t="s">
        <v>814</v>
      </c>
      <c r="D467" s="204" t="s">
        <v>226</v>
      </c>
      <c r="E467" s="205">
        <v>6</v>
      </c>
      <c r="G467" s="205">
        <v>4</v>
      </c>
      <c r="H467" s="203" t="s">
        <v>327</v>
      </c>
    </row>
    <row r="468" spans="1:8">
      <c r="A468" s="201">
        <v>44185.824178240742</v>
      </c>
      <c r="B468" s="505" t="s">
        <v>566</v>
      </c>
      <c r="C468" s="506"/>
      <c r="D468" s="506"/>
      <c r="E468" s="506"/>
      <c r="F468" s="506"/>
      <c r="G468" s="507"/>
      <c r="H468" s="203" t="s">
        <v>327</v>
      </c>
    </row>
    <row r="469" spans="1:8">
      <c r="A469" s="201">
        <v>44186.429039351853</v>
      </c>
      <c r="B469" s="505" t="s">
        <v>452</v>
      </c>
      <c r="C469" s="506"/>
      <c r="D469" s="506"/>
      <c r="E469" s="506"/>
      <c r="F469" s="506"/>
      <c r="G469" s="507"/>
      <c r="H469" s="203" t="s">
        <v>327</v>
      </c>
    </row>
    <row r="470" spans="1:8">
      <c r="A470" s="201">
        <v>44186.431076388886</v>
      </c>
      <c r="B470" s="505" t="s">
        <v>566</v>
      </c>
      <c r="C470" s="506"/>
      <c r="D470" s="506"/>
      <c r="E470" s="506"/>
      <c r="F470" s="506"/>
      <c r="G470" s="507"/>
      <c r="H470" s="203" t="s">
        <v>327</v>
      </c>
    </row>
    <row r="471" spans="1:8">
      <c r="A471" s="201">
        <v>44186.434270833335</v>
      </c>
      <c r="B471" s="505" t="s">
        <v>452</v>
      </c>
      <c r="C471" s="506"/>
      <c r="D471" s="506"/>
      <c r="E471" s="506"/>
      <c r="F471" s="506"/>
      <c r="G471" s="507"/>
      <c r="H471" s="203" t="s">
        <v>327</v>
      </c>
    </row>
    <row r="472" spans="1:8">
      <c r="A472" s="201">
        <v>44186.434374999997</v>
      </c>
      <c r="B472" s="204" t="s">
        <v>455</v>
      </c>
      <c r="C472" s="204" t="s">
        <v>815</v>
      </c>
      <c r="D472" s="204" t="s">
        <v>24</v>
      </c>
      <c r="G472" s="205">
        <v>2.5</v>
      </c>
      <c r="H472" s="203" t="s">
        <v>327</v>
      </c>
    </row>
    <row r="473" spans="1:8">
      <c r="A473" s="201">
        <v>44186.434606481482</v>
      </c>
      <c r="B473" s="204" t="s">
        <v>455</v>
      </c>
      <c r="C473" s="204" t="s">
        <v>815</v>
      </c>
      <c r="D473" s="204" t="s">
        <v>24</v>
      </c>
      <c r="G473" s="205">
        <v>2.5499999999999998</v>
      </c>
      <c r="H473" s="203" t="s">
        <v>327</v>
      </c>
    </row>
    <row r="474" spans="1:8">
      <c r="A474" s="201">
        <v>44186.434652777774</v>
      </c>
      <c r="B474" s="204" t="s">
        <v>455</v>
      </c>
      <c r="C474" s="204" t="s">
        <v>815</v>
      </c>
      <c r="D474" s="204" t="s">
        <v>24</v>
      </c>
      <c r="G474" s="205">
        <v>2.5</v>
      </c>
      <c r="H474" s="203" t="s">
        <v>327</v>
      </c>
    </row>
    <row r="475" spans="1:8">
      <c r="A475" s="201">
        <v>44186.435208333336</v>
      </c>
      <c r="B475" s="505" t="s">
        <v>566</v>
      </c>
      <c r="C475" s="506"/>
      <c r="D475" s="506"/>
      <c r="E475" s="506"/>
      <c r="F475" s="506"/>
      <c r="G475" s="507"/>
      <c r="H475" s="203" t="s">
        <v>327</v>
      </c>
    </row>
    <row r="476" spans="1:8">
      <c r="A476" s="201">
        <v>44186.436261574076</v>
      </c>
      <c r="B476" s="505" t="s">
        <v>452</v>
      </c>
      <c r="C476" s="506"/>
      <c r="D476" s="506"/>
      <c r="E476" s="506"/>
      <c r="F476" s="506"/>
      <c r="G476" s="507"/>
      <c r="H476" s="203" t="s">
        <v>327</v>
      </c>
    </row>
    <row r="477" spans="1:8">
      <c r="A477" s="201">
        <v>44186.436261574076</v>
      </c>
      <c r="B477" s="505" t="s">
        <v>566</v>
      </c>
      <c r="C477" s="506"/>
      <c r="D477" s="506"/>
      <c r="E477" s="506"/>
      <c r="F477" s="506"/>
      <c r="G477" s="507"/>
      <c r="H477" s="203" t="s">
        <v>327</v>
      </c>
    </row>
    <row r="478" spans="1:8">
      <c r="A478" s="201">
        <v>44186.450428240743</v>
      </c>
      <c r="B478" s="505" t="s">
        <v>452</v>
      </c>
      <c r="C478" s="506"/>
      <c r="D478" s="506"/>
      <c r="E478" s="506"/>
      <c r="F478" s="506"/>
      <c r="G478" s="507"/>
      <c r="H478" s="203" t="s">
        <v>327</v>
      </c>
    </row>
    <row r="479" spans="1:8">
      <c r="A479" s="201">
        <v>44186.450601851851</v>
      </c>
      <c r="B479" s="204" t="s">
        <v>502</v>
      </c>
      <c r="C479" s="204" t="s">
        <v>816</v>
      </c>
      <c r="D479" s="204" t="s">
        <v>418</v>
      </c>
      <c r="E479" s="205">
        <v>18</v>
      </c>
      <c r="G479" s="205">
        <v>6</v>
      </c>
      <c r="H479" s="203" t="s">
        <v>327</v>
      </c>
    </row>
    <row r="480" spans="1:8">
      <c r="A480" s="201">
        <v>44186.450694444444</v>
      </c>
      <c r="B480" s="204" t="s">
        <v>502</v>
      </c>
      <c r="C480" s="204" t="s">
        <v>817</v>
      </c>
      <c r="D480" s="204" t="s">
        <v>346</v>
      </c>
      <c r="E480" s="205">
        <v>18</v>
      </c>
      <c r="G480" s="205">
        <v>5</v>
      </c>
      <c r="H480" s="203" t="s">
        <v>327</v>
      </c>
    </row>
    <row r="481" spans="1:8">
      <c r="A481" s="201">
        <v>44186.45076388889</v>
      </c>
      <c r="B481" s="204" t="s">
        <v>502</v>
      </c>
      <c r="C481" s="204" t="s">
        <v>818</v>
      </c>
      <c r="D481" s="204" t="s">
        <v>363</v>
      </c>
      <c r="E481" s="205">
        <v>18</v>
      </c>
      <c r="G481" s="205">
        <v>1</v>
      </c>
      <c r="H481" s="203" t="s">
        <v>327</v>
      </c>
    </row>
    <row r="482" spans="1:8">
      <c r="A482" s="201">
        <v>44186.451168981483</v>
      </c>
      <c r="B482" s="204" t="s">
        <v>502</v>
      </c>
      <c r="C482" s="204" t="s">
        <v>819</v>
      </c>
      <c r="D482" s="204" t="s">
        <v>367</v>
      </c>
      <c r="E482" s="205">
        <v>18</v>
      </c>
      <c r="G482" s="205">
        <v>1</v>
      </c>
      <c r="H482" s="203" t="s">
        <v>327</v>
      </c>
    </row>
    <row r="483" spans="1:8">
      <c r="A483" s="201">
        <v>44186.451238425929</v>
      </c>
      <c r="B483" s="204" t="s">
        <v>502</v>
      </c>
      <c r="C483" s="204" t="s">
        <v>820</v>
      </c>
      <c r="D483" s="204" t="s">
        <v>381</v>
      </c>
      <c r="E483" s="205">
        <v>18</v>
      </c>
      <c r="G483" s="205">
        <v>1</v>
      </c>
      <c r="H483" s="203" t="s">
        <v>327</v>
      </c>
    </row>
    <row r="484" spans="1:8">
      <c r="A484" s="201">
        <v>44186.451249999998</v>
      </c>
      <c r="B484" s="204" t="s">
        <v>502</v>
      </c>
      <c r="C484" s="204" t="s">
        <v>821</v>
      </c>
      <c r="D484" s="204" t="s">
        <v>384</v>
      </c>
      <c r="E484" s="205">
        <v>18</v>
      </c>
      <c r="G484" s="205">
        <v>1</v>
      </c>
      <c r="H484" s="203" t="s">
        <v>327</v>
      </c>
    </row>
    <row r="485" spans="1:8">
      <c r="A485" s="201">
        <v>44186.451261574075</v>
      </c>
      <c r="B485" s="204" t="s">
        <v>502</v>
      </c>
      <c r="C485" s="204" t="s">
        <v>822</v>
      </c>
      <c r="D485" s="204" t="s">
        <v>382</v>
      </c>
      <c r="E485" s="205">
        <v>18</v>
      </c>
      <c r="G485" s="205">
        <v>1</v>
      </c>
      <c r="H485" s="203" t="s">
        <v>327</v>
      </c>
    </row>
    <row r="486" spans="1:8">
      <c r="A486" s="201">
        <v>44186.451296296298</v>
      </c>
      <c r="B486" s="204" t="s">
        <v>502</v>
      </c>
      <c r="C486" s="204" t="s">
        <v>821</v>
      </c>
      <c r="D486" s="204" t="s">
        <v>384</v>
      </c>
      <c r="E486" s="205">
        <v>18</v>
      </c>
      <c r="G486" s="205" t="s">
        <v>458</v>
      </c>
      <c r="H486" s="203" t="s">
        <v>327</v>
      </c>
    </row>
    <row r="487" spans="1:8">
      <c r="A487" s="201">
        <v>44186.451307870368</v>
      </c>
      <c r="B487" s="204" t="s">
        <v>502</v>
      </c>
      <c r="C487" s="204" t="s">
        <v>823</v>
      </c>
      <c r="D487" s="204" t="s">
        <v>383</v>
      </c>
      <c r="E487" s="205">
        <v>18</v>
      </c>
      <c r="G487" s="205">
        <v>1</v>
      </c>
      <c r="H487" s="203" t="s">
        <v>327</v>
      </c>
    </row>
    <row r="488" spans="1:8">
      <c r="A488" s="201">
        <v>44186.451435185183</v>
      </c>
      <c r="B488" s="204" t="s">
        <v>502</v>
      </c>
      <c r="C488" s="204" t="s">
        <v>812</v>
      </c>
      <c r="D488" s="204" t="s">
        <v>393</v>
      </c>
      <c r="E488" s="205">
        <v>18</v>
      </c>
      <c r="G488" s="205">
        <v>10</v>
      </c>
      <c r="H488" s="203" t="s">
        <v>327</v>
      </c>
    </row>
    <row r="489" spans="1:8">
      <c r="A489" s="201">
        <v>44186.451724537037</v>
      </c>
      <c r="B489" s="204" t="s">
        <v>502</v>
      </c>
      <c r="C489" s="204" t="s">
        <v>824</v>
      </c>
      <c r="D489" s="204" t="s">
        <v>71</v>
      </c>
      <c r="E489" s="205">
        <v>18</v>
      </c>
      <c r="G489" s="205">
        <v>2</v>
      </c>
      <c r="H489" s="203" t="s">
        <v>327</v>
      </c>
    </row>
    <row r="490" spans="1:8">
      <c r="A490" s="201">
        <v>44186.451770833337</v>
      </c>
      <c r="B490" s="204" t="s">
        <v>502</v>
      </c>
      <c r="C490" s="204" t="s">
        <v>825</v>
      </c>
      <c r="D490" s="204" t="s">
        <v>73</v>
      </c>
      <c r="E490" s="205">
        <v>18</v>
      </c>
      <c r="G490" s="205">
        <v>14</v>
      </c>
      <c r="H490" s="203" t="s">
        <v>327</v>
      </c>
    </row>
    <row r="491" spans="1:8">
      <c r="A491" s="201">
        <v>44186.451909722222</v>
      </c>
      <c r="B491" s="204" t="s">
        <v>502</v>
      </c>
      <c r="C491" s="204" t="s">
        <v>826</v>
      </c>
      <c r="D491" s="204" t="s">
        <v>228</v>
      </c>
      <c r="E491" s="205">
        <v>18</v>
      </c>
      <c r="G491" s="205">
        <v>8</v>
      </c>
      <c r="H491" s="203" t="s">
        <v>327</v>
      </c>
    </row>
    <row r="492" spans="1:8">
      <c r="A492" s="201">
        <v>44186.451979166668</v>
      </c>
      <c r="B492" s="204" t="s">
        <v>502</v>
      </c>
      <c r="C492" s="204" t="s">
        <v>827</v>
      </c>
      <c r="D492" s="204" t="s">
        <v>87</v>
      </c>
      <c r="E492" s="205">
        <v>18</v>
      </c>
      <c r="G492" s="205">
        <v>1</v>
      </c>
      <c r="H492" s="203" t="s">
        <v>327</v>
      </c>
    </row>
    <row r="493" spans="1:8">
      <c r="A493" s="201">
        <v>44186.451990740738</v>
      </c>
      <c r="B493" s="204" t="s">
        <v>502</v>
      </c>
      <c r="C493" s="204" t="s">
        <v>828</v>
      </c>
      <c r="D493" s="204" t="s">
        <v>88</v>
      </c>
      <c r="E493" s="205">
        <v>18</v>
      </c>
      <c r="G493" s="205">
        <v>1</v>
      </c>
      <c r="H493" s="203" t="s">
        <v>327</v>
      </c>
    </row>
    <row r="494" spans="1:8">
      <c r="A494" s="201">
        <v>44186.45208333333</v>
      </c>
      <c r="B494" s="204" t="s">
        <v>502</v>
      </c>
      <c r="C494" s="204" t="s">
        <v>829</v>
      </c>
      <c r="D494" s="204" t="s">
        <v>93</v>
      </c>
      <c r="E494" s="205">
        <v>18</v>
      </c>
      <c r="G494" s="205">
        <v>1</v>
      </c>
      <c r="H494" s="203" t="s">
        <v>327</v>
      </c>
    </row>
    <row r="495" spans="1:8">
      <c r="A495" s="201">
        <v>44186.452210648145</v>
      </c>
      <c r="B495" s="204" t="s">
        <v>502</v>
      </c>
      <c r="C495" s="204" t="s">
        <v>830</v>
      </c>
      <c r="D495" s="204" t="s">
        <v>256</v>
      </c>
      <c r="E495" s="205">
        <v>18</v>
      </c>
      <c r="G495" s="205">
        <v>1.9750000000000001</v>
      </c>
      <c r="H495" s="203" t="s">
        <v>327</v>
      </c>
    </row>
    <row r="496" spans="1:8">
      <c r="A496" s="201">
        <v>44186.452337962961</v>
      </c>
      <c r="B496" s="204" t="s">
        <v>502</v>
      </c>
      <c r="C496" s="204" t="s">
        <v>831</v>
      </c>
      <c r="D496" s="204" t="s">
        <v>291</v>
      </c>
      <c r="E496" s="205">
        <v>18</v>
      </c>
      <c r="G496" s="205">
        <v>3.105</v>
      </c>
      <c r="H496" s="203" t="s">
        <v>327</v>
      </c>
    </row>
    <row r="497" spans="1:8">
      <c r="A497" s="201">
        <v>44186.452372685184</v>
      </c>
      <c r="B497" s="204" t="s">
        <v>502</v>
      </c>
      <c r="C497" s="204" t="s">
        <v>832</v>
      </c>
      <c r="D497" s="204" t="s">
        <v>293</v>
      </c>
      <c r="E497" s="205">
        <v>18</v>
      </c>
      <c r="G497" s="205">
        <v>4</v>
      </c>
      <c r="H497" s="203" t="s">
        <v>327</v>
      </c>
    </row>
    <row r="498" spans="1:8">
      <c r="A498" s="201">
        <v>44186.452453703707</v>
      </c>
      <c r="B498" s="204" t="s">
        <v>502</v>
      </c>
      <c r="C498" s="204" t="s">
        <v>833</v>
      </c>
      <c r="D498" s="204" t="s">
        <v>298</v>
      </c>
      <c r="E498" s="205">
        <v>18</v>
      </c>
      <c r="G498" s="205">
        <v>4.625</v>
      </c>
      <c r="H498" s="203" t="s">
        <v>327</v>
      </c>
    </row>
    <row r="499" spans="1:8">
      <c r="A499" s="201">
        <v>44186.452476851853</v>
      </c>
      <c r="B499" s="204" t="s">
        <v>502</v>
      </c>
      <c r="C499" s="204" t="s">
        <v>834</v>
      </c>
      <c r="D499" s="204" t="s">
        <v>299</v>
      </c>
      <c r="E499" s="205">
        <v>18</v>
      </c>
      <c r="G499" s="205">
        <v>2.06</v>
      </c>
      <c r="H499" s="203" t="s">
        <v>327</v>
      </c>
    </row>
    <row r="500" spans="1:8">
      <c r="A500" s="201">
        <v>44186.452569444446</v>
      </c>
      <c r="B500" s="204" t="s">
        <v>502</v>
      </c>
      <c r="C500" s="204" t="s">
        <v>835</v>
      </c>
      <c r="D500" s="204" t="s">
        <v>303</v>
      </c>
      <c r="E500" s="205">
        <v>18</v>
      </c>
      <c r="G500" s="205">
        <v>3.72</v>
      </c>
      <c r="H500" s="203" t="s">
        <v>327</v>
      </c>
    </row>
    <row r="501" spans="1:8">
      <c r="A501" s="201">
        <v>44186.452592592592</v>
      </c>
      <c r="B501" s="204" t="s">
        <v>502</v>
      </c>
      <c r="C501" s="204" t="s">
        <v>836</v>
      </c>
      <c r="D501" s="204" t="s">
        <v>304</v>
      </c>
      <c r="E501" s="205">
        <v>18</v>
      </c>
      <c r="G501" s="205">
        <v>1.39</v>
      </c>
      <c r="H501" s="203" t="s">
        <v>327</v>
      </c>
    </row>
    <row r="502" spans="1:8">
      <c r="A502" s="201">
        <v>44186.452662037038</v>
      </c>
      <c r="B502" s="204" t="s">
        <v>502</v>
      </c>
      <c r="C502" s="204" t="s">
        <v>837</v>
      </c>
      <c r="D502" s="204" t="s">
        <v>284</v>
      </c>
      <c r="E502" s="205">
        <v>18</v>
      </c>
      <c r="G502" s="205">
        <v>2.8849999999999998</v>
      </c>
      <c r="H502" s="203" t="s">
        <v>327</v>
      </c>
    </row>
    <row r="503" spans="1:8">
      <c r="A503" s="201">
        <v>44186.4528125</v>
      </c>
      <c r="B503" s="204" t="s">
        <v>502</v>
      </c>
      <c r="C503" s="204" t="s">
        <v>838</v>
      </c>
      <c r="D503" s="204" t="s">
        <v>310</v>
      </c>
      <c r="E503" s="205">
        <v>18</v>
      </c>
      <c r="G503" s="205">
        <v>12</v>
      </c>
      <c r="H503" s="203" t="s">
        <v>327</v>
      </c>
    </row>
    <row r="504" spans="1:8">
      <c r="A504" s="201">
        <v>44186.452916666669</v>
      </c>
      <c r="B504" s="204" t="s">
        <v>502</v>
      </c>
      <c r="C504" s="204" t="s">
        <v>839</v>
      </c>
      <c r="D504" s="204" t="s">
        <v>274</v>
      </c>
      <c r="E504" s="205">
        <v>18</v>
      </c>
      <c r="G504" s="205">
        <v>0.28499999999999998</v>
      </c>
      <c r="H504" s="203" t="s">
        <v>327</v>
      </c>
    </row>
    <row r="505" spans="1:8">
      <c r="A505" s="201">
        <v>44186.452962962961</v>
      </c>
      <c r="B505" s="204" t="s">
        <v>502</v>
      </c>
      <c r="C505" s="204" t="s">
        <v>840</v>
      </c>
      <c r="D505" s="204" t="s">
        <v>271</v>
      </c>
      <c r="E505" s="205">
        <v>18</v>
      </c>
      <c r="G505" s="205">
        <v>0.61499999999999999</v>
      </c>
      <c r="H505" s="203" t="s">
        <v>327</v>
      </c>
    </row>
    <row r="506" spans="1:8">
      <c r="A506" s="201">
        <v>44186.452986111108</v>
      </c>
      <c r="B506" s="204" t="s">
        <v>502</v>
      </c>
      <c r="C506" s="204" t="s">
        <v>841</v>
      </c>
      <c r="D506" s="204" t="s">
        <v>266</v>
      </c>
      <c r="E506" s="205">
        <v>18</v>
      </c>
      <c r="G506" s="205">
        <v>1</v>
      </c>
      <c r="H506" s="203" t="s">
        <v>327</v>
      </c>
    </row>
    <row r="507" spans="1:8">
      <c r="A507" s="201">
        <v>44186.453055555554</v>
      </c>
      <c r="B507" s="204" t="s">
        <v>502</v>
      </c>
      <c r="C507" s="204" t="s">
        <v>842</v>
      </c>
      <c r="D507" s="204" t="s">
        <v>263</v>
      </c>
      <c r="E507" s="205">
        <v>18</v>
      </c>
      <c r="G507" s="205">
        <v>6.42</v>
      </c>
      <c r="H507" s="203" t="s">
        <v>327</v>
      </c>
    </row>
    <row r="508" spans="1:8">
      <c r="A508" s="201">
        <v>44186.453136574077</v>
      </c>
      <c r="B508" s="204" t="s">
        <v>502</v>
      </c>
      <c r="C508" s="204" t="s">
        <v>843</v>
      </c>
      <c r="D508" s="204" t="s">
        <v>133</v>
      </c>
      <c r="E508" s="205">
        <v>18</v>
      </c>
      <c r="G508" s="205">
        <v>1</v>
      </c>
      <c r="H508" s="203" t="s">
        <v>327</v>
      </c>
    </row>
    <row r="509" spans="1:8">
      <c r="A509" s="201">
        <v>44186.453263888892</v>
      </c>
      <c r="B509" s="204" t="s">
        <v>502</v>
      </c>
      <c r="C509" s="204" t="s">
        <v>844</v>
      </c>
      <c r="D509" s="204" t="s">
        <v>4</v>
      </c>
      <c r="E509" s="205">
        <v>18</v>
      </c>
      <c r="G509" s="205">
        <v>2</v>
      </c>
      <c r="H509" s="203" t="s">
        <v>327</v>
      </c>
    </row>
    <row r="510" spans="1:8">
      <c r="A510" s="201">
        <v>44186.453321759262</v>
      </c>
      <c r="B510" s="204" t="s">
        <v>502</v>
      </c>
      <c r="C510" s="204" t="s">
        <v>845</v>
      </c>
      <c r="D510" s="204" t="s">
        <v>240</v>
      </c>
      <c r="E510" s="205">
        <v>18</v>
      </c>
      <c r="G510" s="205">
        <v>0.5</v>
      </c>
      <c r="H510" s="203" t="s">
        <v>327</v>
      </c>
    </row>
    <row r="511" spans="1:8">
      <c r="A511" s="201">
        <v>44186.453460648147</v>
      </c>
      <c r="B511" s="204" t="s">
        <v>502</v>
      </c>
      <c r="C511" s="204" t="s">
        <v>846</v>
      </c>
      <c r="D511" s="204" t="s">
        <v>22</v>
      </c>
      <c r="E511" s="205">
        <v>18</v>
      </c>
      <c r="G511" s="205">
        <v>1</v>
      </c>
      <c r="H511" s="203" t="s">
        <v>327</v>
      </c>
    </row>
    <row r="512" spans="1:8">
      <c r="A512" s="201">
        <v>44186.45349537037</v>
      </c>
      <c r="B512" s="204" t="s">
        <v>502</v>
      </c>
      <c r="C512" s="204" t="s">
        <v>847</v>
      </c>
      <c r="D512" s="204" t="s">
        <v>79</v>
      </c>
      <c r="E512" s="205">
        <v>18</v>
      </c>
      <c r="G512" s="205">
        <v>5</v>
      </c>
      <c r="H512" s="203" t="s">
        <v>327</v>
      </c>
    </row>
    <row r="513" spans="1:8">
      <c r="A513" s="201">
        <v>44186.453611111108</v>
      </c>
      <c r="B513" s="204" t="s">
        <v>502</v>
      </c>
      <c r="C513" s="204" t="s">
        <v>848</v>
      </c>
      <c r="D513" s="204" t="s">
        <v>236</v>
      </c>
      <c r="E513" s="205">
        <v>18</v>
      </c>
      <c r="G513" s="205">
        <v>1</v>
      </c>
      <c r="H513" s="203" t="s">
        <v>327</v>
      </c>
    </row>
    <row r="514" spans="1:8">
      <c r="A514" s="201">
        <v>44186.453761574077</v>
      </c>
      <c r="B514" s="204" t="s">
        <v>502</v>
      </c>
      <c r="C514" s="204" t="s">
        <v>849</v>
      </c>
      <c r="D514" s="204" t="s">
        <v>224</v>
      </c>
      <c r="E514" s="205">
        <v>18</v>
      </c>
      <c r="G514" s="205">
        <v>2</v>
      </c>
      <c r="H514" s="203" t="s">
        <v>327</v>
      </c>
    </row>
    <row r="515" spans="1:8">
      <c r="A515" s="201">
        <v>44186.453819444447</v>
      </c>
      <c r="B515" s="204" t="s">
        <v>502</v>
      </c>
      <c r="C515" s="204" t="s">
        <v>850</v>
      </c>
      <c r="D515" s="204" t="s">
        <v>223</v>
      </c>
      <c r="E515" s="205">
        <v>18</v>
      </c>
      <c r="G515" s="205">
        <v>6.2</v>
      </c>
      <c r="H515" s="203" t="s">
        <v>327</v>
      </c>
    </row>
    <row r="516" spans="1:8">
      <c r="A516" s="201">
        <v>44186.453923611109</v>
      </c>
      <c r="B516" s="204" t="s">
        <v>502</v>
      </c>
      <c r="C516" s="204" t="s">
        <v>851</v>
      </c>
      <c r="D516" s="204" t="s">
        <v>44</v>
      </c>
      <c r="E516" s="205">
        <v>18</v>
      </c>
      <c r="G516" s="205">
        <v>3.4249999999999998</v>
      </c>
      <c r="H516" s="203" t="s">
        <v>327</v>
      </c>
    </row>
    <row r="517" spans="1:8">
      <c r="A517" s="201">
        <v>44186.454050925924</v>
      </c>
      <c r="B517" s="204" t="s">
        <v>502</v>
      </c>
      <c r="C517" s="204" t="s">
        <v>852</v>
      </c>
      <c r="D517" s="204" t="s">
        <v>59</v>
      </c>
      <c r="E517" s="205">
        <v>18</v>
      </c>
      <c r="G517" s="205">
        <v>3</v>
      </c>
      <c r="H517" s="203" t="s">
        <v>327</v>
      </c>
    </row>
    <row r="518" spans="1:8">
      <c r="A518" s="201">
        <v>44186.454108796293</v>
      </c>
      <c r="B518" s="204" t="s">
        <v>502</v>
      </c>
      <c r="C518" s="204" t="s">
        <v>853</v>
      </c>
      <c r="D518" s="204" t="s">
        <v>244</v>
      </c>
      <c r="E518" s="205">
        <v>18</v>
      </c>
      <c r="G518" s="205">
        <v>1</v>
      </c>
      <c r="H518" s="203" t="s">
        <v>327</v>
      </c>
    </row>
    <row r="519" spans="1:8">
      <c r="A519" s="201">
        <v>44186.454201388886</v>
      </c>
      <c r="B519" s="204" t="s">
        <v>502</v>
      </c>
      <c r="C519" s="204" t="s">
        <v>854</v>
      </c>
      <c r="D519" s="204" t="s">
        <v>58</v>
      </c>
      <c r="E519" s="205">
        <v>18</v>
      </c>
      <c r="G519" s="205">
        <v>6</v>
      </c>
      <c r="H519" s="203" t="s">
        <v>327</v>
      </c>
    </row>
    <row r="520" spans="1:8">
      <c r="A520" s="201">
        <v>44186.454432870371</v>
      </c>
      <c r="B520" s="204" t="s">
        <v>502</v>
      </c>
      <c r="C520" s="204" t="s">
        <v>855</v>
      </c>
      <c r="D520" s="204" t="s">
        <v>76</v>
      </c>
      <c r="E520" s="205">
        <v>18</v>
      </c>
      <c r="G520" s="205">
        <v>10</v>
      </c>
      <c r="H520" s="203" t="s">
        <v>327</v>
      </c>
    </row>
    <row r="521" spans="1:8">
      <c r="A521" s="201">
        <v>44186.454479166663</v>
      </c>
      <c r="B521" s="204" t="s">
        <v>502</v>
      </c>
      <c r="C521" s="204" t="s">
        <v>856</v>
      </c>
      <c r="D521" s="204" t="s">
        <v>78</v>
      </c>
      <c r="E521" s="205">
        <v>18</v>
      </c>
      <c r="G521" s="205">
        <v>5</v>
      </c>
      <c r="H521" s="203" t="s">
        <v>327</v>
      </c>
    </row>
    <row r="522" spans="1:8">
      <c r="A522" s="201">
        <v>44186.454722222225</v>
      </c>
      <c r="B522" s="204" t="s">
        <v>502</v>
      </c>
      <c r="C522" s="204" t="s">
        <v>857</v>
      </c>
      <c r="D522" s="204" t="s">
        <v>219</v>
      </c>
      <c r="E522" s="205">
        <v>18</v>
      </c>
      <c r="G522" s="205">
        <v>10</v>
      </c>
      <c r="H522" s="203" t="s">
        <v>327</v>
      </c>
    </row>
    <row r="523" spans="1:8">
      <c r="A523" s="201">
        <v>44186.454756944448</v>
      </c>
      <c r="B523" s="204" t="s">
        <v>502</v>
      </c>
      <c r="C523" s="204" t="s">
        <v>857</v>
      </c>
      <c r="D523" s="204" t="s">
        <v>219</v>
      </c>
      <c r="E523" s="205">
        <v>18</v>
      </c>
      <c r="G523" s="205">
        <v>10.5</v>
      </c>
      <c r="H523" s="203" t="s">
        <v>327</v>
      </c>
    </row>
    <row r="524" spans="1:8">
      <c r="A524" s="201">
        <v>44186.454814814817</v>
      </c>
      <c r="B524" s="204" t="s">
        <v>502</v>
      </c>
      <c r="C524" s="204" t="s">
        <v>858</v>
      </c>
      <c r="D524" s="204" t="s">
        <v>109</v>
      </c>
      <c r="E524" s="205">
        <v>18</v>
      </c>
      <c r="G524" s="205">
        <v>8.59</v>
      </c>
      <c r="H524" s="203" t="s">
        <v>327</v>
      </c>
    </row>
    <row r="525" spans="1:8">
      <c r="A525" s="201">
        <v>44186.454930555556</v>
      </c>
      <c r="B525" s="204" t="s">
        <v>502</v>
      </c>
      <c r="C525" s="204" t="s">
        <v>859</v>
      </c>
      <c r="D525" s="204" t="s">
        <v>50</v>
      </c>
      <c r="E525" s="205">
        <v>18</v>
      </c>
      <c r="G525" s="205">
        <v>7.44</v>
      </c>
      <c r="H525" s="203" t="s">
        <v>327</v>
      </c>
    </row>
    <row r="526" spans="1:8">
      <c r="A526" s="201">
        <v>44186.45516203704</v>
      </c>
      <c r="B526" s="204" t="s">
        <v>502</v>
      </c>
      <c r="C526" s="204" t="s">
        <v>860</v>
      </c>
      <c r="D526" s="204" t="s">
        <v>36</v>
      </c>
      <c r="E526" s="205">
        <v>18</v>
      </c>
      <c r="G526" s="205">
        <v>6.1400000000000006</v>
      </c>
      <c r="H526" s="203" t="s">
        <v>327</v>
      </c>
    </row>
    <row r="527" spans="1:8">
      <c r="A527" s="201">
        <v>44186.455243055556</v>
      </c>
      <c r="B527" s="204" t="s">
        <v>502</v>
      </c>
      <c r="C527" s="204" t="s">
        <v>861</v>
      </c>
      <c r="D527" s="204" t="s">
        <v>290</v>
      </c>
      <c r="E527" s="205">
        <v>18</v>
      </c>
      <c r="G527" s="205">
        <v>10</v>
      </c>
      <c r="H527" s="203" t="s">
        <v>327</v>
      </c>
    </row>
    <row r="528" spans="1:8">
      <c r="A528" s="201">
        <v>44186.455381944441</v>
      </c>
      <c r="B528" s="204" t="s">
        <v>502</v>
      </c>
      <c r="C528" s="204" t="s">
        <v>837</v>
      </c>
      <c r="D528" s="204" t="s">
        <v>284</v>
      </c>
      <c r="E528" s="205">
        <v>18</v>
      </c>
      <c r="G528" s="205">
        <v>3.17</v>
      </c>
      <c r="H528" s="203" t="s">
        <v>327</v>
      </c>
    </row>
    <row r="529" spans="1:8">
      <c r="A529" s="201">
        <v>44186.455428240741</v>
      </c>
      <c r="B529" s="204" t="s">
        <v>502</v>
      </c>
      <c r="C529" s="204" t="s">
        <v>862</v>
      </c>
      <c r="D529" s="204" t="s">
        <v>316</v>
      </c>
      <c r="E529" s="205">
        <v>18</v>
      </c>
      <c r="G529" s="205">
        <v>4</v>
      </c>
      <c r="H529" s="203" t="s">
        <v>327</v>
      </c>
    </row>
    <row r="530" spans="1:8">
      <c r="A530" s="201">
        <v>44186.455474537041</v>
      </c>
      <c r="B530" s="204" t="s">
        <v>502</v>
      </c>
      <c r="C530" s="204" t="s">
        <v>863</v>
      </c>
      <c r="D530" s="204" t="s">
        <v>282</v>
      </c>
      <c r="E530" s="205">
        <v>18</v>
      </c>
      <c r="G530" s="205">
        <v>0.32</v>
      </c>
      <c r="H530" s="203" t="s">
        <v>327</v>
      </c>
    </row>
    <row r="531" spans="1:8">
      <c r="A531" s="201">
        <v>44186.455520833333</v>
      </c>
      <c r="B531" s="204" t="s">
        <v>502</v>
      </c>
      <c r="C531" s="204" t="s">
        <v>864</v>
      </c>
      <c r="D531" s="204" t="s">
        <v>278</v>
      </c>
      <c r="E531" s="205">
        <v>18</v>
      </c>
      <c r="G531" s="205">
        <v>3</v>
      </c>
      <c r="H531" s="203" t="s">
        <v>327</v>
      </c>
    </row>
    <row r="532" spans="1:8">
      <c r="A532" s="201">
        <v>44186.45585648148</v>
      </c>
      <c r="B532" s="204" t="s">
        <v>502</v>
      </c>
      <c r="C532" s="204" t="s">
        <v>865</v>
      </c>
      <c r="D532" s="204" t="s">
        <v>344</v>
      </c>
      <c r="E532" s="205">
        <v>17</v>
      </c>
      <c r="G532" s="205">
        <v>2</v>
      </c>
      <c r="H532" s="203" t="s">
        <v>327</v>
      </c>
    </row>
    <row r="533" spans="1:8">
      <c r="A533" s="201">
        <v>44186.455925925926</v>
      </c>
      <c r="B533" s="204" t="s">
        <v>502</v>
      </c>
      <c r="C533" s="204" t="s">
        <v>866</v>
      </c>
      <c r="D533" s="204" t="s">
        <v>344</v>
      </c>
      <c r="E533" s="205">
        <v>16</v>
      </c>
      <c r="G533" s="205">
        <v>2</v>
      </c>
      <c r="H533" s="203" t="s">
        <v>327</v>
      </c>
    </row>
    <row r="534" spans="1:8">
      <c r="A534" s="201">
        <v>44186.455949074072</v>
      </c>
      <c r="B534" s="204" t="s">
        <v>502</v>
      </c>
      <c r="C534" s="204" t="s">
        <v>867</v>
      </c>
      <c r="D534" s="204" t="s">
        <v>248</v>
      </c>
      <c r="E534" s="205">
        <v>16</v>
      </c>
      <c r="G534" s="205">
        <v>5</v>
      </c>
      <c r="H534" s="203" t="s">
        <v>327</v>
      </c>
    </row>
    <row r="535" spans="1:8">
      <c r="A535" s="201">
        <v>44186.456041666665</v>
      </c>
      <c r="B535" s="204" t="s">
        <v>502</v>
      </c>
      <c r="C535" s="204" t="s">
        <v>868</v>
      </c>
      <c r="D535" s="204" t="s">
        <v>363</v>
      </c>
      <c r="E535" s="205">
        <v>16</v>
      </c>
      <c r="G535" s="205">
        <v>1</v>
      </c>
      <c r="H535" s="203" t="s">
        <v>327</v>
      </c>
    </row>
    <row r="536" spans="1:8">
      <c r="A536" s="201">
        <v>44186.456122685187</v>
      </c>
      <c r="B536" s="204" t="s">
        <v>502</v>
      </c>
      <c r="C536" s="204" t="s">
        <v>869</v>
      </c>
      <c r="D536" s="204" t="s">
        <v>375</v>
      </c>
      <c r="E536" s="205">
        <v>16</v>
      </c>
      <c r="G536" s="205">
        <v>5</v>
      </c>
      <c r="H536" s="203" t="s">
        <v>327</v>
      </c>
    </row>
    <row r="537" spans="1:8">
      <c r="A537" s="201">
        <v>44186.456250000003</v>
      </c>
      <c r="B537" s="204" t="s">
        <v>502</v>
      </c>
      <c r="C537" s="204" t="s">
        <v>870</v>
      </c>
      <c r="D537" s="204" t="s">
        <v>381</v>
      </c>
      <c r="E537" s="205">
        <v>14</v>
      </c>
      <c r="G537" s="205">
        <v>1</v>
      </c>
      <c r="H537" s="203" t="s">
        <v>327</v>
      </c>
    </row>
    <row r="538" spans="1:8">
      <c r="A538" s="201">
        <v>44186.456307870372</v>
      </c>
      <c r="B538" s="204" t="s">
        <v>502</v>
      </c>
      <c r="C538" s="204" t="s">
        <v>871</v>
      </c>
      <c r="D538" s="204" t="s">
        <v>363</v>
      </c>
      <c r="E538" s="205">
        <v>14</v>
      </c>
      <c r="G538" s="205">
        <v>1</v>
      </c>
      <c r="H538" s="203" t="s">
        <v>327</v>
      </c>
    </row>
    <row r="539" spans="1:8">
      <c r="A539" s="201">
        <v>44186.456377314818</v>
      </c>
      <c r="B539" s="204" t="s">
        <v>502</v>
      </c>
      <c r="C539" s="204" t="s">
        <v>872</v>
      </c>
      <c r="D539" s="204" t="s">
        <v>357</v>
      </c>
      <c r="E539" s="205">
        <v>14</v>
      </c>
      <c r="G539" s="205">
        <v>1</v>
      </c>
      <c r="H539" s="203" t="s">
        <v>327</v>
      </c>
    </row>
    <row r="540" spans="1:8">
      <c r="A540" s="201">
        <v>44186.456388888888</v>
      </c>
      <c r="B540" s="204" t="s">
        <v>502</v>
      </c>
      <c r="C540" s="204" t="s">
        <v>873</v>
      </c>
      <c r="D540" s="204" t="s">
        <v>341</v>
      </c>
      <c r="E540" s="205">
        <v>14</v>
      </c>
      <c r="G540" s="205">
        <v>1</v>
      </c>
      <c r="H540" s="203" t="s">
        <v>327</v>
      </c>
    </row>
    <row r="541" spans="1:8">
      <c r="A541" s="201">
        <v>44186.456504629627</v>
      </c>
      <c r="B541" s="204" t="s">
        <v>502</v>
      </c>
      <c r="C541" s="204" t="s">
        <v>874</v>
      </c>
      <c r="D541" s="204" t="s">
        <v>344</v>
      </c>
      <c r="E541" s="205">
        <v>14</v>
      </c>
      <c r="G541" s="205">
        <v>1</v>
      </c>
      <c r="H541" s="203" t="s">
        <v>327</v>
      </c>
    </row>
    <row r="542" spans="1:8">
      <c r="A542" s="201">
        <v>44186.45653935185</v>
      </c>
      <c r="B542" s="204" t="s">
        <v>502</v>
      </c>
      <c r="C542" s="204" t="s">
        <v>875</v>
      </c>
      <c r="D542" s="204" t="s">
        <v>346</v>
      </c>
      <c r="E542" s="205">
        <v>14</v>
      </c>
      <c r="G542" s="205">
        <v>20</v>
      </c>
      <c r="H542" s="203" t="s">
        <v>327</v>
      </c>
    </row>
    <row r="543" spans="1:8">
      <c r="A543" s="201">
        <v>44186.457060185188</v>
      </c>
      <c r="B543" s="204" t="s">
        <v>502</v>
      </c>
      <c r="C543" s="204" t="s">
        <v>876</v>
      </c>
      <c r="D543" s="204" t="s">
        <v>346</v>
      </c>
      <c r="E543" s="205">
        <v>19</v>
      </c>
      <c r="G543" s="205">
        <v>5</v>
      </c>
      <c r="H543" s="203" t="s">
        <v>327</v>
      </c>
    </row>
    <row r="544" spans="1:8">
      <c r="A544" s="201">
        <v>44186.457141203704</v>
      </c>
      <c r="B544" s="204" t="s">
        <v>502</v>
      </c>
      <c r="C544" s="204" t="s">
        <v>877</v>
      </c>
      <c r="D544" s="204" t="s">
        <v>363</v>
      </c>
      <c r="E544" s="205">
        <v>19</v>
      </c>
      <c r="G544" s="205">
        <v>1</v>
      </c>
      <c r="H544" s="203" t="s">
        <v>327</v>
      </c>
    </row>
    <row r="545" spans="1:8">
      <c r="A545" s="201">
        <v>44186.457187499997</v>
      </c>
      <c r="B545" s="204" t="s">
        <v>502</v>
      </c>
      <c r="C545" s="204" t="s">
        <v>878</v>
      </c>
      <c r="D545" s="204" t="s">
        <v>367</v>
      </c>
      <c r="E545" s="205">
        <v>19</v>
      </c>
      <c r="G545" s="205">
        <v>3</v>
      </c>
      <c r="H545" s="203" t="s">
        <v>327</v>
      </c>
    </row>
    <row r="546" spans="1:8">
      <c r="A546" s="201">
        <v>44186.457303240742</v>
      </c>
      <c r="B546" s="204" t="s">
        <v>502</v>
      </c>
      <c r="C546" s="204" t="s">
        <v>879</v>
      </c>
      <c r="D546" s="204" t="s">
        <v>374</v>
      </c>
      <c r="E546" s="205">
        <v>19</v>
      </c>
      <c r="G546" s="205">
        <v>5</v>
      </c>
      <c r="H546" s="203" t="s">
        <v>327</v>
      </c>
    </row>
    <row r="547" spans="1:8">
      <c r="A547" s="201">
        <v>44186.457395833335</v>
      </c>
      <c r="B547" s="204" t="s">
        <v>502</v>
      </c>
      <c r="C547" s="204" t="s">
        <v>880</v>
      </c>
      <c r="D547" s="204" t="s">
        <v>384</v>
      </c>
      <c r="E547" s="205">
        <v>19</v>
      </c>
      <c r="G547" s="205">
        <v>1</v>
      </c>
      <c r="H547" s="203" t="s">
        <v>327</v>
      </c>
    </row>
    <row r="548" spans="1:8">
      <c r="A548" s="201">
        <v>44186.457592592589</v>
      </c>
      <c r="B548" s="204" t="s">
        <v>502</v>
      </c>
      <c r="C548" s="204" t="s">
        <v>813</v>
      </c>
      <c r="D548" s="204" t="s">
        <v>393</v>
      </c>
      <c r="E548" s="205">
        <v>19</v>
      </c>
      <c r="G548" s="205">
        <v>6</v>
      </c>
      <c r="H548" s="203" t="s">
        <v>327</v>
      </c>
    </row>
    <row r="549" spans="1:8">
      <c r="A549" s="201">
        <v>44186.457650462966</v>
      </c>
      <c r="B549" s="204" t="s">
        <v>502</v>
      </c>
      <c r="C549" s="204" t="s">
        <v>881</v>
      </c>
      <c r="D549" s="204" t="s">
        <v>397</v>
      </c>
      <c r="E549" s="205">
        <v>19</v>
      </c>
      <c r="G549" s="205">
        <v>1</v>
      </c>
      <c r="H549" s="203" t="s">
        <v>327</v>
      </c>
    </row>
    <row r="550" spans="1:8">
      <c r="A550" s="201">
        <v>44186.457928240743</v>
      </c>
      <c r="B550" s="204" t="s">
        <v>502</v>
      </c>
      <c r="C550" s="204" t="s">
        <v>882</v>
      </c>
      <c r="D550" s="204" t="s">
        <v>247</v>
      </c>
      <c r="E550" s="205">
        <v>19</v>
      </c>
      <c r="G550" s="205">
        <v>5</v>
      </c>
      <c r="H550" s="203" t="s">
        <v>327</v>
      </c>
    </row>
    <row r="551" spans="1:8">
      <c r="A551" s="201">
        <v>44186.457974537036</v>
      </c>
      <c r="B551" s="204" t="s">
        <v>502</v>
      </c>
      <c r="C551" s="204" t="s">
        <v>883</v>
      </c>
      <c r="D551" s="204" t="s">
        <v>240</v>
      </c>
      <c r="E551" s="205">
        <v>19</v>
      </c>
      <c r="G551" s="205">
        <v>2</v>
      </c>
      <c r="H551" s="203" t="s">
        <v>327</v>
      </c>
    </row>
    <row r="552" spans="1:8">
      <c r="A552" s="201">
        <v>44186.458090277774</v>
      </c>
      <c r="B552" s="204" t="s">
        <v>502</v>
      </c>
      <c r="C552" s="204" t="s">
        <v>884</v>
      </c>
      <c r="D552" s="204" t="s">
        <v>79</v>
      </c>
      <c r="E552" s="205">
        <v>19</v>
      </c>
      <c r="G552" s="205">
        <v>6</v>
      </c>
      <c r="H552" s="203" t="s">
        <v>327</v>
      </c>
    </row>
    <row r="553" spans="1:8">
      <c r="A553" s="201">
        <v>44186.458194444444</v>
      </c>
      <c r="B553" s="204" t="s">
        <v>502</v>
      </c>
      <c r="C553" s="204" t="s">
        <v>885</v>
      </c>
      <c r="D553" s="204" t="s">
        <v>21</v>
      </c>
      <c r="E553" s="205">
        <v>19</v>
      </c>
      <c r="G553" s="205">
        <v>3.5</v>
      </c>
      <c r="H553" s="203" t="s">
        <v>327</v>
      </c>
    </row>
    <row r="554" spans="1:8">
      <c r="A554" s="201">
        <v>44186.458275462966</v>
      </c>
      <c r="B554" s="204" t="s">
        <v>502</v>
      </c>
      <c r="C554" s="204" t="s">
        <v>886</v>
      </c>
      <c r="D554" s="204" t="s">
        <v>86</v>
      </c>
      <c r="E554" s="205">
        <v>19</v>
      </c>
      <c r="G554" s="205">
        <v>2</v>
      </c>
      <c r="H554" s="203" t="s">
        <v>327</v>
      </c>
    </row>
    <row r="555" spans="1:8">
      <c r="A555" s="201">
        <v>44186.458344907405</v>
      </c>
      <c r="B555" s="204" t="s">
        <v>502</v>
      </c>
      <c r="C555" s="204" t="s">
        <v>887</v>
      </c>
      <c r="D555" s="204" t="s">
        <v>224</v>
      </c>
      <c r="E555" s="205">
        <v>19</v>
      </c>
      <c r="G555" s="205">
        <v>3</v>
      </c>
      <c r="H555" s="203" t="s">
        <v>327</v>
      </c>
    </row>
    <row r="556" spans="1:8">
      <c r="A556" s="201">
        <v>44186.458391203705</v>
      </c>
      <c r="B556" s="204" t="s">
        <v>502</v>
      </c>
      <c r="C556" s="204" t="s">
        <v>888</v>
      </c>
      <c r="D556" s="204" t="s">
        <v>236</v>
      </c>
      <c r="E556" s="205">
        <v>19</v>
      </c>
      <c r="G556" s="205">
        <v>3</v>
      </c>
      <c r="H556" s="203" t="s">
        <v>327</v>
      </c>
    </row>
    <row r="557" spans="1:8">
      <c r="A557" s="201">
        <v>44186.458414351851</v>
      </c>
      <c r="B557" s="204" t="s">
        <v>502</v>
      </c>
      <c r="C557" s="204" t="s">
        <v>888</v>
      </c>
      <c r="D557" s="204" t="s">
        <v>236</v>
      </c>
      <c r="E557" s="205">
        <v>19</v>
      </c>
      <c r="G557" s="205">
        <v>5</v>
      </c>
      <c r="H557" s="203" t="s">
        <v>327</v>
      </c>
    </row>
    <row r="558" spans="1:8">
      <c r="A558" s="201">
        <v>44186.458483796298</v>
      </c>
      <c r="B558" s="204" t="s">
        <v>502</v>
      </c>
      <c r="C558" s="204" t="s">
        <v>889</v>
      </c>
      <c r="D558" s="204" t="s">
        <v>223</v>
      </c>
      <c r="E558" s="205">
        <v>19</v>
      </c>
      <c r="G558" s="205">
        <v>6.2</v>
      </c>
      <c r="H558" s="203" t="s">
        <v>327</v>
      </c>
    </row>
    <row r="559" spans="1:8">
      <c r="A559" s="201">
        <v>44186.458564814813</v>
      </c>
      <c r="B559" s="204" t="s">
        <v>502</v>
      </c>
      <c r="C559" s="204" t="s">
        <v>890</v>
      </c>
      <c r="D559" s="204" t="s">
        <v>27</v>
      </c>
      <c r="E559" s="205">
        <v>19</v>
      </c>
      <c r="G559" s="205">
        <v>1</v>
      </c>
      <c r="H559" s="203" t="s">
        <v>327</v>
      </c>
    </row>
    <row r="560" spans="1:8">
      <c r="A560" s="201">
        <v>44186.458622685182</v>
      </c>
      <c r="B560" s="204" t="s">
        <v>502</v>
      </c>
      <c r="C560" s="204" t="s">
        <v>891</v>
      </c>
      <c r="D560" s="204" t="s">
        <v>253</v>
      </c>
      <c r="E560" s="205">
        <v>19</v>
      </c>
      <c r="G560" s="205">
        <v>1</v>
      </c>
      <c r="H560" s="203" t="s">
        <v>327</v>
      </c>
    </row>
    <row r="561" spans="1:8">
      <c r="A561" s="201">
        <v>44186.458738425928</v>
      </c>
      <c r="B561" s="204" t="s">
        <v>502</v>
      </c>
      <c r="C561" s="204" t="s">
        <v>892</v>
      </c>
      <c r="D561" s="204" t="s">
        <v>61</v>
      </c>
      <c r="E561" s="205">
        <v>19</v>
      </c>
      <c r="G561" s="205">
        <v>1.5</v>
      </c>
      <c r="H561" s="203" t="s">
        <v>327</v>
      </c>
    </row>
    <row r="562" spans="1:8">
      <c r="A562" s="201">
        <v>44186.458831018521</v>
      </c>
      <c r="B562" s="204" t="s">
        <v>502</v>
      </c>
      <c r="C562" s="204" t="s">
        <v>893</v>
      </c>
      <c r="D562" s="204" t="s">
        <v>234</v>
      </c>
      <c r="E562" s="205">
        <v>19</v>
      </c>
      <c r="G562" s="205">
        <v>1</v>
      </c>
      <c r="H562" s="203" t="s">
        <v>327</v>
      </c>
    </row>
    <row r="563" spans="1:8">
      <c r="A563" s="201">
        <v>44186.458969907406</v>
      </c>
      <c r="B563" s="204" t="s">
        <v>502</v>
      </c>
      <c r="C563" s="204" t="s">
        <v>894</v>
      </c>
      <c r="D563" s="204" t="s">
        <v>256</v>
      </c>
      <c r="E563" s="205">
        <v>19</v>
      </c>
      <c r="G563" s="205">
        <v>2.4900000000000002</v>
      </c>
      <c r="H563" s="203" t="s">
        <v>327</v>
      </c>
    </row>
    <row r="564" spans="1:8">
      <c r="A564" s="201">
        <v>44186.459085648145</v>
      </c>
      <c r="B564" s="204" t="s">
        <v>502</v>
      </c>
      <c r="C564" s="204" t="s">
        <v>895</v>
      </c>
      <c r="D564" s="204" t="s">
        <v>310</v>
      </c>
      <c r="E564" s="205">
        <v>19</v>
      </c>
      <c r="G564" s="205">
        <v>60</v>
      </c>
      <c r="H564" s="203" t="s">
        <v>327</v>
      </c>
    </row>
    <row r="565" spans="1:8">
      <c r="A565" s="201">
        <v>44186.459178240744</v>
      </c>
      <c r="B565" s="204" t="s">
        <v>502</v>
      </c>
      <c r="C565" s="204" t="s">
        <v>896</v>
      </c>
      <c r="D565" s="204" t="s">
        <v>316</v>
      </c>
      <c r="E565" s="205">
        <v>19</v>
      </c>
      <c r="G565" s="205">
        <v>6</v>
      </c>
      <c r="H565" s="203" t="s">
        <v>327</v>
      </c>
    </row>
    <row r="566" spans="1:8">
      <c r="A566" s="201">
        <v>44186.459270833337</v>
      </c>
      <c r="B566" s="204" t="s">
        <v>502</v>
      </c>
      <c r="C566" s="204" t="s">
        <v>897</v>
      </c>
      <c r="D566" s="204" t="s">
        <v>317</v>
      </c>
      <c r="E566" s="205">
        <v>19</v>
      </c>
      <c r="G566" s="205">
        <v>2.1549999999999998</v>
      </c>
      <c r="H566" s="203" t="s">
        <v>327</v>
      </c>
    </row>
    <row r="567" spans="1:8">
      <c r="A567" s="201">
        <v>44186.459456018521</v>
      </c>
      <c r="B567" s="204" t="s">
        <v>502</v>
      </c>
      <c r="C567" s="204" t="s">
        <v>898</v>
      </c>
      <c r="D567" s="204" t="s">
        <v>47</v>
      </c>
      <c r="E567" s="205">
        <v>19</v>
      </c>
      <c r="G567" s="205">
        <v>4.2699999999999996</v>
      </c>
      <c r="H567" s="203" t="s">
        <v>327</v>
      </c>
    </row>
    <row r="568" spans="1:8">
      <c r="A568" s="201">
        <v>44186.459479166668</v>
      </c>
      <c r="B568" s="204" t="s">
        <v>502</v>
      </c>
      <c r="C568" s="204" t="s">
        <v>899</v>
      </c>
      <c r="D568" s="204" t="s">
        <v>48</v>
      </c>
      <c r="E568" s="205">
        <v>19</v>
      </c>
      <c r="G568" s="205">
        <v>1</v>
      </c>
      <c r="H568" s="203" t="s">
        <v>327</v>
      </c>
    </row>
    <row r="569" spans="1:8">
      <c r="A569" s="201">
        <v>44186.459629629629</v>
      </c>
      <c r="B569" s="204" t="s">
        <v>502</v>
      </c>
      <c r="C569" s="204" t="s">
        <v>900</v>
      </c>
      <c r="D569" s="204" t="s">
        <v>105</v>
      </c>
      <c r="E569" s="205">
        <v>19</v>
      </c>
      <c r="G569" s="205">
        <v>7.51</v>
      </c>
      <c r="H569" s="203" t="s">
        <v>327</v>
      </c>
    </row>
    <row r="570" spans="1:8">
      <c r="A570" s="201">
        <v>44186.459675925929</v>
      </c>
      <c r="B570" s="204" t="s">
        <v>502</v>
      </c>
      <c r="C570" s="204" t="s">
        <v>901</v>
      </c>
      <c r="D570" s="204" t="s">
        <v>254</v>
      </c>
      <c r="E570" s="205">
        <v>19</v>
      </c>
      <c r="G570" s="205">
        <v>13.87</v>
      </c>
      <c r="H570" s="203" t="s">
        <v>327</v>
      </c>
    </row>
    <row r="571" spans="1:8">
      <c r="A571" s="201">
        <v>44186.459745370368</v>
      </c>
      <c r="B571" s="204" t="s">
        <v>502</v>
      </c>
      <c r="C571" s="204" t="s">
        <v>902</v>
      </c>
      <c r="D571" s="204" t="s">
        <v>109</v>
      </c>
      <c r="E571" s="205">
        <v>19</v>
      </c>
      <c r="G571" s="205">
        <v>6.4649999999999999</v>
      </c>
      <c r="H571" s="203" t="s">
        <v>327</v>
      </c>
    </row>
    <row r="572" spans="1:8">
      <c r="A572" s="201">
        <v>44186.459803240738</v>
      </c>
      <c r="B572" s="204" t="s">
        <v>502</v>
      </c>
      <c r="C572" s="204" t="s">
        <v>903</v>
      </c>
      <c r="D572" s="204" t="s">
        <v>180</v>
      </c>
      <c r="E572" s="205">
        <v>19</v>
      </c>
      <c r="G572" s="205">
        <v>10</v>
      </c>
      <c r="H572" s="203" t="s">
        <v>327</v>
      </c>
    </row>
    <row r="573" spans="1:8">
      <c r="A573" s="201">
        <v>44186.459861111114</v>
      </c>
      <c r="B573" s="204" t="s">
        <v>502</v>
      </c>
      <c r="C573" s="204" t="s">
        <v>904</v>
      </c>
      <c r="D573" s="204" t="s">
        <v>37</v>
      </c>
      <c r="E573" s="205">
        <v>19</v>
      </c>
      <c r="G573" s="205">
        <v>7.12</v>
      </c>
      <c r="H573" s="203" t="s">
        <v>327</v>
      </c>
    </row>
    <row r="574" spans="1:8">
      <c r="A574" s="201">
        <v>44186.45994212963</v>
      </c>
      <c r="B574" s="204" t="s">
        <v>502</v>
      </c>
      <c r="C574" s="204" t="s">
        <v>905</v>
      </c>
      <c r="D574" s="204" t="s">
        <v>179</v>
      </c>
      <c r="E574" s="205">
        <v>19</v>
      </c>
      <c r="G574" s="205">
        <v>7.5</v>
      </c>
      <c r="H574" s="203" t="s">
        <v>327</v>
      </c>
    </row>
    <row r="575" spans="1:8">
      <c r="A575" s="201">
        <v>44186.459965277776</v>
      </c>
      <c r="B575" s="204" t="s">
        <v>502</v>
      </c>
      <c r="C575" s="204" t="s">
        <v>906</v>
      </c>
      <c r="D575" s="204" t="s">
        <v>178</v>
      </c>
      <c r="E575" s="205">
        <v>19</v>
      </c>
      <c r="G575" s="205" t="s">
        <v>458</v>
      </c>
      <c r="H575" s="203" t="s">
        <v>327</v>
      </c>
    </row>
    <row r="576" spans="1:8">
      <c r="A576" s="201">
        <v>44186.459988425922</v>
      </c>
      <c r="B576" s="204" t="s">
        <v>502</v>
      </c>
      <c r="C576" s="204" t="s">
        <v>907</v>
      </c>
      <c r="D576" s="204" t="s">
        <v>177</v>
      </c>
      <c r="E576" s="205">
        <v>19</v>
      </c>
      <c r="G576" s="205">
        <v>2.5</v>
      </c>
      <c r="H576" s="203" t="s">
        <v>327</v>
      </c>
    </row>
    <row r="577" spans="1:8">
      <c r="A577" s="201">
        <v>44186.460069444445</v>
      </c>
      <c r="B577" s="204" t="s">
        <v>502</v>
      </c>
      <c r="C577" s="204" t="s">
        <v>908</v>
      </c>
      <c r="D577" s="204" t="s">
        <v>53</v>
      </c>
      <c r="E577" s="205">
        <v>19</v>
      </c>
      <c r="G577" s="205">
        <v>1.76</v>
      </c>
      <c r="H577" s="203" t="s">
        <v>327</v>
      </c>
    </row>
    <row r="578" spans="1:8">
      <c r="A578" s="201">
        <v>44186.460150462961</v>
      </c>
      <c r="B578" s="204" t="s">
        <v>502</v>
      </c>
      <c r="C578" s="204" t="s">
        <v>909</v>
      </c>
      <c r="D578" s="204" t="s">
        <v>291</v>
      </c>
      <c r="E578" s="205">
        <v>19</v>
      </c>
      <c r="G578" s="205">
        <v>2.7349999999999999</v>
      </c>
      <c r="H578" s="203" t="s">
        <v>327</v>
      </c>
    </row>
    <row r="579" spans="1:8">
      <c r="A579" s="201">
        <v>44186.460162037038</v>
      </c>
      <c r="B579" s="204" t="s">
        <v>502</v>
      </c>
      <c r="C579" s="204" t="s">
        <v>910</v>
      </c>
      <c r="D579" s="204" t="s">
        <v>293</v>
      </c>
      <c r="E579" s="205">
        <v>19</v>
      </c>
      <c r="G579" s="205">
        <v>1</v>
      </c>
      <c r="H579" s="203" t="s">
        <v>327</v>
      </c>
    </row>
    <row r="580" spans="1:8">
      <c r="A580" s="201">
        <v>44186.460173611114</v>
      </c>
      <c r="B580" s="204" t="s">
        <v>502</v>
      </c>
      <c r="C580" s="204" t="s">
        <v>911</v>
      </c>
      <c r="D580" s="204" t="s">
        <v>294</v>
      </c>
      <c r="E580" s="205">
        <v>19</v>
      </c>
      <c r="G580" s="205">
        <v>1</v>
      </c>
      <c r="H580" s="203" t="s">
        <v>327</v>
      </c>
    </row>
    <row r="581" spans="1:8">
      <c r="A581" s="201">
        <v>44186.460196759261</v>
      </c>
      <c r="B581" s="204" t="s">
        <v>502</v>
      </c>
      <c r="C581" s="204" t="s">
        <v>911</v>
      </c>
      <c r="D581" s="204" t="s">
        <v>294</v>
      </c>
      <c r="E581" s="205">
        <v>19</v>
      </c>
      <c r="G581" s="205">
        <v>2</v>
      </c>
      <c r="H581" s="203" t="s">
        <v>327</v>
      </c>
    </row>
    <row r="582" spans="1:8">
      <c r="A582" s="201">
        <v>44186.460196759261</v>
      </c>
      <c r="B582" s="204" t="s">
        <v>502</v>
      </c>
      <c r="C582" s="204" t="s">
        <v>912</v>
      </c>
      <c r="D582" s="204" t="s">
        <v>322</v>
      </c>
      <c r="E582" s="205">
        <v>19</v>
      </c>
      <c r="G582" s="205">
        <v>1</v>
      </c>
      <c r="H582" s="203" t="s">
        <v>327</v>
      </c>
    </row>
    <row r="583" spans="1:8">
      <c r="A583" s="201">
        <v>44186.460300925923</v>
      </c>
      <c r="B583" s="204" t="s">
        <v>502</v>
      </c>
      <c r="C583" s="204" t="s">
        <v>913</v>
      </c>
      <c r="D583" s="204" t="s">
        <v>298</v>
      </c>
      <c r="E583" s="205">
        <v>19</v>
      </c>
      <c r="G583" s="205">
        <v>4.1550000000000002</v>
      </c>
      <c r="H583" s="203" t="s">
        <v>327</v>
      </c>
    </row>
    <row r="584" spans="1:8">
      <c r="A584" s="201">
        <v>44186.460381944446</v>
      </c>
      <c r="B584" s="204" t="s">
        <v>502</v>
      </c>
      <c r="C584" s="204" t="s">
        <v>914</v>
      </c>
      <c r="D584" s="204" t="s">
        <v>303</v>
      </c>
      <c r="E584" s="205">
        <v>19</v>
      </c>
      <c r="G584" s="205">
        <v>6.8999999999999995</v>
      </c>
      <c r="H584" s="203" t="s">
        <v>327</v>
      </c>
    </row>
    <row r="585" spans="1:8">
      <c r="A585" s="201">
        <v>44186.460416666669</v>
      </c>
      <c r="B585" s="204" t="s">
        <v>502</v>
      </c>
      <c r="C585" s="204" t="s">
        <v>915</v>
      </c>
      <c r="D585" s="204" t="s">
        <v>304</v>
      </c>
      <c r="E585" s="205">
        <v>19</v>
      </c>
      <c r="G585" s="205">
        <v>0.81499999999999995</v>
      </c>
      <c r="H585" s="203" t="s">
        <v>327</v>
      </c>
    </row>
    <row r="586" spans="1:8">
      <c r="A586" s="201">
        <v>44186.460451388892</v>
      </c>
      <c r="B586" s="204" t="s">
        <v>502</v>
      </c>
      <c r="C586" s="204" t="s">
        <v>916</v>
      </c>
      <c r="D586" s="204" t="s">
        <v>306</v>
      </c>
      <c r="E586" s="205">
        <v>19</v>
      </c>
      <c r="G586" s="205">
        <v>7</v>
      </c>
      <c r="H586" s="203" t="s">
        <v>327</v>
      </c>
    </row>
    <row r="587" spans="1:8">
      <c r="A587" s="201">
        <v>44186.460462962961</v>
      </c>
      <c r="B587" s="204" t="s">
        <v>502</v>
      </c>
      <c r="C587" s="204" t="s">
        <v>917</v>
      </c>
      <c r="D587" s="204" t="s">
        <v>133</v>
      </c>
      <c r="E587" s="205">
        <v>19</v>
      </c>
      <c r="G587" s="205">
        <v>2</v>
      </c>
      <c r="H587" s="203" t="s">
        <v>327</v>
      </c>
    </row>
    <row r="588" spans="1:8">
      <c r="A588" s="201">
        <v>44186.460636574076</v>
      </c>
      <c r="B588" s="204" t="s">
        <v>502</v>
      </c>
      <c r="C588" s="204" t="s">
        <v>918</v>
      </c>
      <c r="D588" s="204" t="s">
        <v>284</v>
      </c>
      <c r="E588" s="205">
        <v>19</v>
      </c>
      <c r="G588" s="205">
        <v>2.38</v>
      </c>
      <c r="H588" s="203" t="s">
        <v>327</v>
      </c>
    </row>
    <row r="589" spans="1:8">
      <c r="A589" s="201">
        <v>44186.460717592592</v>
      </c>
      <c r="B589" s="204" t="s">
        <v>502</v>
      </c>
      <c r="C589" s="204" t="s">
        <v>919</v>
      </c>
      <c r="D589" s="204" t="s">
        <v>274</v>
      </c>
      <c r="E589" s="205">
        <v>19</v>
      </c>
      <c r="G589" s="205">
        <v>0.64500000000000002</v>
      </c>
      <c r="H589" s="203" t="s">
        <v>327</v>
      </c>
    </row>
    <row r="590" spans="1:8">
      <c r="A590" s="201">
        <v>44186.460787037038</v>
      </c>
      <c r="B590" s="204" t="s">
        <v>502</v>
      </c>
      <c r="C590" s="204" t="s">
        <v>920</v>
      </c>
      <c r="D590" s="204" t="s">
        <v>271</v>
      </c>
      <c r="E590" s="205">
        <v>19</v>
      </c>
      <c r="G590" s="205">
        <v>2.25</v>
      </c>
      <c r="H590" s="203" t="s">
        <v>327</v>
      </c>
    </row>
    <row r="591" spans="1:8">
      <c r="A591" s="201">
        <v>44186.460810185185</v>
      </c>
      <c r="B591" s="204" t="s">
        <v>502</v>
      </c>
      <c r="C591" s="204" t="s">
        <v>921</v>
      </c>
      <c r="D591" s="204" t="s">
        <v>266</v>
      </c>
      <c r="E591" s="205">
        <v>19</v>
      </c>
      <c r="G591" s="205">
        <v>1</v>
      </c>
      <c r="H591" s="203" t="s">
        <v>327</v>
      </c>
    </row>
    <row r="592" spans="1:8">
      <c r="A592" s="201">
        <v>44186.460868055554</v>
      </c>
      <c r="B592" s="204" t="s">
        <v>502</v>
      </c>
      <c r="C592" s="204" t="s">
        <v>922</v>
      </c>
      <c r="D592" s="204" t="s">
        <v>263</v>
      </c>
      <c r="E592" s="205">
        <v>19</v>
      </c>
      <c r="G592" s="205">
        <v>6.9349999999999996</v>
      </c>
      <c r="H592" s="203" t="s">
        <v>327</v>
      </c>
    </row>
    <row r="593" spans="1:8">
      <c r="A593" s="201">
        <v>44186.460949074077</v>
      </c>
      <c r="B593" s="204" t="s">
        <v>502</v>
      </c>
      <c r="C593" s="204" t="s">
        <v>923</v>
      </c>
      <c r="D593" s="204" t="s">
        <v>134</v>
      </c>
      <c r="E593" s="205">
        <v>19</v>
      </c>
      <c r="G593" s="205">
        <v>1</v>
      </c>
      <c r="H593" s="203" t="s">
        <v>327</v>
      </c>
    </row>
    <row r="594" spans="1:8">
      <c r="A594" s="201">
        <v>44186.461064814815</v>
      </c>
      <c r="B594" s="505" t="s">
        <v>566</v>
      </c>
      <c r="C594" s="506"/>
      <c r="D594" s="506"/>
      <c r="E594" s="506"/>
      <c r="F594" s="506"/>
      <c r="G594" s="507"/>
      <c r="H594" s="203" t="s">
        <v>327</v>
      </c>
    </row>
    <row r="595" spans="1:8">
      <c r="A595" s="201">
        <v>44186.501875000002</v>
      </c>
      <c r="B595" s="505" t="s">
        <v>452</v>
      </c>
      <c r="C595" s="506"/>
      <c r="D595" s="506"/>
      <c r="E595" s="506"/>
      <c r="F595" s="506"/>
      <c r="G595" s="507"/>
      <c r="H595" s="203" t="s">
        <v>327</v>
      </c>
    </row>
    <row r="596" spans="1:8">
      <c r="A596" s="201">
        <v>44186.502118055556</v>
      </c>
      <c r="B596" s="204" t="s">
        <v>507</v>
      </c>
      <c r="C596" s="204" t="s">
        <v>875</v>
      </c>
      <c r="D596" s="204" t="s">
        <v>346</v>
      </c>
      <c r="E596" s="205">
        <v>14</v>
      </c>
      <c r="G596" s="205">
        <v>30</v>
      </c>
      <c r="H596" s="203" t="s">
        <v>327</v>
      </c>
    </row>
    <row r="597" spans="1:8">
      <c r="A597" s="201">
        <v>44186.50271990741</v>
      </c>
      <c r="B597" s="204" t="s">
        <v>507</v>
      </c>
      <c r="C597" s="204" t="s">
        <v>873</v>
      </c>
      <c r="D597" s="204" t="s">
        <v>341</v>
      </c>
      <c r="E597" s="205">
        <v>14</v>
      </c>
      <c r="G597" s="205">
        <v>10</v>
      </c>
      <c r="H597" s="203" t="s">
        <v>327</v>
      </c>
    </row>
    <row r="598" spans="1:8">
      <c r="A598" s="201">
        <v>44186.502916666665</v>
      </c>
      <c r="B598" s="204" t="s">
        <v>507</v>
      </c>
      <c r="C598" s="204" t="s">
        <v>871</v>
      </c>
      <c r="D598" s="204" t="s">
        <v>363</v>
      </c>
      <c r="E598" s="205">
        <v>14</v>
      </c>
      <c r="G598" s="205">
        <v>3</v>
      </c>
      <c r="H598" s="203" t="s">
        <v>327</v>
      </c>
    </row>
    <row r="599" spans="1:8">
      <c r="A599" s="201">
        <v>44186.50304398148</v>
      </c>
      <c r="B599" s="204" t="s">
        <v>507</v>
      </c>
      <c r="C599" s="204" t="s">
        <v>924</v>
      </c>
      <c r="D599" s="204" t="s">
        <v>367</v>
      </c>
      <c r="E599" s="205">
        <v>14</v>
      </c>
      <c r="G599" s="205">
        <v>4</v>
      </c>
      <c r="H599" s="203" t="s">
        <v>327</v>
      </c>
    </row>
    <row r="600" spans="1:8">
      <c r="A600" s="201">
        <v>44186.50309027778</v>
      </c>
      <c r="B600" s="204" t="s">
        <v>507</v>
      </c>
      <c r="C600" s="204" t="s">
        <v>925</v>
      </c>
      <c r="D600" s="204" t="s">
        <v>368</v>
      </c>
      <c r="E600" s="205">
        <v>14</v>
      </c>
      <c r="G600" s="205">
        <v>6</v>
      </c>
      <c r="H600" s="203" t="s">
        <v>327</v>
      </c>
    </row>
    <row r="601" spans="1:8">
      <c r="A601" s="201">
        <v>44186.503460648149</v>
      </c>
      <c r="B601" s="204" t="s">
        <v>507</v>
      </c>
      <c r="C601" s="204" t="s">
        <v>926</v>
      </c>
      <c r="D601" s="204" t="s">
        <v>404</v>
      </c>
      <c r="E601" s="205">
        <v>14</v>
      </c>
      <c r="G601" s="205">
        <v>1</v>
      </c>
      <c r="H601" s="203" t="s">
        <v>327</v>
      </c>
    </row>
    <row r="602" spans="1:8">
      <c r="A602" s="201">
        <v>44186.503564814811</v>
      </c>
      <c r="B602" s="204" t="s">
        <v>507</v>
      </c>
      <c r="C602" s="204" t="s">
        <v>870</v>
      </c>
      <c r="D602" s="204" t="s">
        <v>381</v>
      </c>
      <c r="E602" s="205">
        <v>14</v>
      </c>
      <c r="G602" s="205">
        <v>6</v>
      </c>
      <c r="H602" s="203" t="s">
        <v>327</v>
      </c>
    </row>
    <row r="603" spans="1:8">
      <c r="A603" s="201">
        <v>44186.503576388888</v>
      </c>
      <c r="B603" s="204" t="s">
        <v>507</v>
      </c>
      <c r="C603" s="204" t="s">
        <v>927</v>
      </c>
      <c r="D603" s="204" t="s">
        <v>382</v>
      </c>
      <c r="E603" s="205">
        <v>14</v>
      </c>
      <c r="G603" s="205">
        <v>5</v>
      </c>
      <c r="H603" s="203" t="s">
        <v>327</v>
      </c>
    </row>
    <row r="604" spans="1:8">
      <c r="A604" s="201">
        <v>44186.504270833335</v>
      </c>
      <c r="B604" s="204" t="s">
        <v>507</v>
      </c>
      <c r="C604" s="204" t="s">
        <v>855</v>
      </c>
      <c r="D604" s="204" t="s">
        <v>76</v>
      </c>
      <c r="E604" s="205">
        <v>18</v>
      </c>
      <c r="G604" s="205">
        <v>6</v>
      </c>
      <c r="H604" s="203" t="s">
        <v>327</v>
      </c>
    </row>
    <row r="605" spans="1:8">
      <c r="A605" s="201">
        <v>44186.504374999997</v>
      </c>
      <c r="B605" s="204" t="s">
        <v>507</v>
      </c>
      <c r="C605" s="204" t="s">
        <v>928</v>
      </c>
      <c r="D605" s="204" t="s">
        <v>81</v>
      </c>
      <c r="E605" s="205">
        <v>18</v>
      </c>
      <c r="G605" s="205">
        <v>5</v>
      </c>
      <c r="H605" s="203" t="s">
        <v>327</v>
      </c>
    </row>
    <row r="606" spans="1:8">
      <c r="A606" s="201">
        <v>44186.504803240743</v>
      </c>
      <c r="B606" s="204" t="s">
        <v>507</v>
      </c>
      <c r="C606" s="204" t="s">
        <v>929</v>
      </c>
      <c r="D606" s="204" t="s">
        <v>230</v>
      </c>
      <c r="E606" s="205">
        <v>18</v>
      </c>
      <c r="G606" s="205">
        <v>45</v>
      </c>
      <c r="H606" s="203" t="s">
        <v>327</v>
      </c>
    </row>
    <row r="607" spans="1:8">
      <c r="A607" s="201">
        <v>44186.50503472222</v>
      </c>
      <c r="B607" s="204" t="s">
        <v>507</v>
      </c>
      <c r="C607" s="204" t="s">
        <v>930</v>
      </c>
      <c r="D607" s="204" t="s">
        <v>226</v>
      </c>
      <c r="E607" s="205">
        <v>18</v>
      </c>
      <c r="G607" s="205">
        <v>9</v>
      </c>
      <c r="H607" s="203" t="s">
        <v>327</v>
      </c>
    </row>
    <row r="608" spans="1:8">
      <c r="A608" s="201">
        <v>44186.505173611113</v>
      </c>
      <c r="B608" s="204" t="s">
        <v>507</v>
      </c>
      <c r="C608" s="204" t="s">
        <v>931</v>
      </c>
      <c r="D608" s="204" t="s">
        <v>7</v>
      </c>
      <c r="E608" s="205">
        <v>18</v>
      </c>
      <c r="G608" s="205">
        <v>1</v>
      </c>
      <c r="H608" s="203" t="s">
        <v>327</v>
      </c>
    </row>
    <row r="609" spans="1:8">
      <c r="A609" s="201">
        <v>44186.505312499998</v>
      </c>
      <c r="B609" s="204" t="s">
        <v>507</v>
      </c>
      <c r="C609" s="204" t="s">
        <v>932</v>
      </c>
      <c r="D609" s="204" t="s">
        <v>89</v>
      </c>
      <c r="E609" s="205">
        <v>18</v>
      </c>
      <c r="G609" s="205">
        <v>5</v>
      </c>
      <c r="H609" s="203" t="s">
        <v>327</v>
      </c>
    </row>
    <row r="610" spans="1:8">
      <c r="A610" s="201">
        <v>44186.505532407406</v>
      </c>
      <c r="B610" s="204" t="s">
        <v>507</v>
      </c>
      <c r="C610" s="204" t="s">
        <v>835</v>
      </c>
      <c r="D610" s="204" t="s">
        <v>303</v>
      </c>
      <c r="E610" s="205">
        <v>18</v>
      </c>
      <c r="G610" s="205">
        <v>3</v>
      </c>
      <c r="H610" s="203" t="s">
        <v>327</v>
      </c>
    </row>
    <row r="611" spans="1:8">
      <c r="A611" s="201">
        <v>44186.50576388889</v>
      </c>
      <c r="B611" s="204" t="s">
        <v>507</v>
      </c>
      <c r="C611" s="204" t="s">
        <v>911</v>
      </c>
      <c r="D611" s="204" t="s">
        <v>294</v>
      </c>
      <c r="E611" s="205">
        <v>19</v>
      </c>
      <c r="G611" s="205">
        <v>5</v>
      </c>
      <c r="H611" s="203" t="s">
        <v>327</v>
      </c>
    </row>
    <row r="612" spans="1:8">
      <c r="A612" s="201">
        <v>44186.50577546296</v>
      </c>
      <c r="B612" s="204" t="s">
        <v>507</v>
      </c>
      <c r="C612" s="204" t="s">
        <v>912</v>
      </c>
      <c r="D612" s="204" t="s">
        <v>322</v>
      </c>
      <c r="E612" s="205">
        <v>19</v>
      </c>
      <c r="G612" s="205">
        <v>5</v>
      </c>
      <c r="H612" s="203" t="s">
        <v>327</v>
      </c>
    </row>
    <row r="613" spans="1:8">
      <c r="A613" s="201">
        <v>44186.505833333336</v>
      </c>
      <c r="B613" s="204" t="s">
        <v>507</v>
      </c>
      <c r="C613" s="204" t="s">
        <v>917</v>
      </c>
      <c r="D613" s="204" t="s">
        <v>133</v>
      </c>
      <c r="E613" s="205">
        <v>19</v>
      </c>
      <c r="G613" s="205">
        <v>1</v>
      </c>
      <c r="H613" s="203" t="s">
        <v>327</v>
      </c>
    </row>
    <row r="614" spans="1:8">
      <c r="A614" s="201">
        <v>44186.505856481483</v>
      </c>
      <c r="B614" s="204" t="s">
        <v>507</v>
      </c>
      <c r="C614" s="204" t="s">
        <v>916</v>
      </c>
      <c r="D614" s="204" t="s">
        <v>306</v>
      </c>
      <c r="E614" s="205">
        <v>19</v>
      </c>
      <c r="G614" s="205">
        <v>4</v>
      </c>
      <c r="H614" s="203" t="s">
        <v>327</v>
      </c>
    </row>
    <row r="615" spans="1:8">
      <c r="A615" s="201">
        <v>44186.505914351852</v>
      </c>
      <c r="B615" s="204" t="s">
        <v>507</v>
      </c>
      <c r="C615" s="204" t="s">
        <v>933</v>
      </c>
      <c r="D615" s="204" t="s">
        <v>308</v>
      </c>
      <c r="E615" s="205">
        <v>19</v>
      </c>
      <c r="G615" s="205">
        <v>5</v>
      </c>
      <c r="H615" s="203" t="s">
        <v>327</v>
      </c>
    </row>
    <row r="616" spans="1:8">
      <c r="A616" s="201">
        <v>44186.505983796298</v>
      </c>
      <c r="B616" s="204" t="s">
        <v>507</v>
      </c>
      <c r="C616" s="204" t="s">
        <v>934</v>
      </c>
      <c r="D616" s="204" t="s">
        <v>267</v>
      </c>
      <c r="E616" s="205">
        <v>19</v>
      </c>
      <c r="G616" s="205">
        <v>6</v>
      </c>
      <c r="H616" s="203" t="s">
        <v>327</v>
      </c>
    </row>
    <row r="617" spans="1:8">
      <c r="A617" s="201">
        <v>44186.506145833337</v>
      </c>
      <c r="B617" s="204" t="s">
        <v>507</v>
      </c>
      <c r="C617" s="204" t="s">
        <v>935</v>
      </c>
      <c r="D617" s="204" t="s">
        <v>300</v>
      </c>
      <c r="E617" s="205">
        <v>19</v>
      </c>
      <c r="G617" s="205">
        <v>5</v>
      </c>
      <c r="H617" s="203" t="s">
        <v>327</v>
      </c>
    </row>
    <row r="618" spans="1:8">
      <c r="A618" s="201">
        <v>44186.506226851852</v>
      </c>
      <c r="B618" s="202" t="s">
        <v>507</v>
      </c>
      <c r="C618" s="202" t="s">
        <v>913</v>
      </c>
      <c r="D618" s="202" t="s">
        <v>298</v>
      </c>
      <c r="E618" s="202">
        <v>19</v>
      </c>
      <c r="F618" s="202"/>
      <c r="G618" s="202">
        <v>24</v>
      </c>
      <c r="H618" s="203" t="s">
        <v>327</v>
      </c>
    </row>
    <row r="619" spans="1:8">
      <c r="A619" s="201">
        <v>44186.506284722222</v>
      </c>
      <c r="B619" s="202" t="s">
        <v>507</v>
      </c>
      <c r="C619" s="202" t="s">
        <v>915</v>
      </c>
      <c r="D619" s="202" t="s">
        <v>304</v>
      </c>
      <c r="E619" s="202">
        <v>19</v>
      </c>
      <c r="F619" s="202"/>
      <c r="G619" s="202">
        <v>18</v>
      </c>
      <c r="H619" s="203" t="s">
        <v>327</v>
      </c>
    </row>
    <row r="620" spans="1:8">
      <c r="A620" s="201">
        <v>44186.506412037037</v>
      </c>
      <c r="B620" s="204" t="s">
        <v>507</v>
      </c>
      <c r="C620" s="204" t="s">
        <v>920</v>
      </c>
      <c r="D620" s="204" t="s">
        <v>271</v>
      </c>
      <c r="E620" s="205">
        <v>19</v>
      </c>
      <c r="G620" s="205">
        <v>6</v>
      </c>
      <c r="H620" s="203" t="s">
        <v>327</v>
      </c>
    </row>
    <row r="621" spans="1:8">
      <c r="A621" s="201">
        <v>44186.506493055553</v>
      </c>
      <c r="B621" s="204" t="s">
        <v>507</v>
      </c>
      <c r="C621" s="204" t="s">
        <v>922</v>
      </c>
      <c r="D621" s="204" t="s">
        <v>263</v>
      </c>
      <c r="E621" s="205">
        <v>19</v>
      </c>
      <c r="G621" s="205">
        <v>18</v>
      </c>
      <c r="H621" s="203" t="s">
        <v>327</v>
      </c>
    </row>
    <row r="622" spans="1:8">
      <c r="A622" s="201">
        <v>44186.506574074076</v>
      </c>
      <c r="B622" s="204" t="s">
        <v>507</v>
      </c>
      <c r="C622" s="204" t="s">
        <v>936</v>
      </c>
      <c r="D622" s="204" t="s">
        <v>297</v>
      </c>
      <c r="E622" s="205">
        <v>19</v>
      </c>
      <c r="G622" s="205">
        <v>10</v>
      </c>
      <c r="H622" s="203" t="s">
        <v>327</v>
      </c>
    </row>
    <row r="623" spans="1:8">
      <c r="A623" s="201">
        <v>44186.506655092591</v>
      </c>
      <c r="B623" s="204" t="s">
        <v>507</v>
      </c>
      <c r="C623" s="204" t="s">
        <v>937</v>
      </c>
      <c r="D623" s="204" t="s">
        <v>309</v>
      </c>
      <c r="E623" s="205">
        <v>19</v>
      </c>
      <c r="G623" s="205">
        <v>15</v>
      </c>
      <c r="H623" s="203" t="s">
        <v>327</v>
      </c>
    </row>
    <row r="624" spans="1:8">
      <c r="A624" s="201">
        <v>44186.506736111114</v>
      </c>
      <c r="B624" s="202" t="s">
        <v>507</v>
      </c>
      <c r="C624" s="202" t="s">
        <v>938</v>
      </c>
      <c r="D624" s="202" t="s">
        <v>279</v>
      </c>
      <c r="E624" s="202">
        <v>19</v>
      </c>
      <c r="F624" s="202"/>
      <c r="G624" s="202">
        <v>1</v>
      </c>
      <c r="H624" s="203" t="s">
        <v>327</v>
      </c>
    </row>
    <row r="625" spans="1:8">
      <c r="A625" s="201">
        <v>44186.50675925926</v>
      </c>
      <c r="B625" s="202" t="s">
        <v>507</v>
      </c>
      <c r="C625" s="202" t="s">
        <v>897</v>
      </c>
      <c r="D625" s="202" t="s">
        <v>317</v>
      </c>
      <c r="E625" s="202">
        <v>19</v>
      </c>
      <c r="F625" s="202"/>
      <c r="G625" s="202">
        <v>2</v>
      </c>
      <c r="H625" s="203" t="s">
        <v>327</v>
      </c>
    </row>
    <row r="626" spans="1:8">
      <c r="A626" s="201">
        <v>44186.506828703707</v>
      </c>
      <c r="B626" s="204" t="s">
        <v>507</v>
      </c>
      <c r="C626" s="204" t="s">
        <v>939</v>
      </c>
      <c r="D626" s="204" t="s">
        <v>278</v>
      </c>
      <c r="E626" s="205">
        <v>19</v>
      </c>
      <c r="G626" s="205">
        <v>3</v>
      </c>
      <c r="H626" s="203" t="s">
        <v>327</v>
      </c>
    </row>
    <row r="627" spans="1:8">
      <c r="A627" s="201">
        <v>44186.506863425922</v>
      </c>
      <c r="B627" s="204" t="s">
        <v>507</v>
      </c>
      <c r="C627" s="204" t="s">
        <v>921</v>
      </c>
      <c r="D627" s="204" t="s">
        <v>266</v>
      </c>
      <c r="E627" s="205">
        <v>19</v>
      </c>
      <c r="G627" s="205">
        <v>2</v>
      </c>
      <c r="H627" s="203" t="s">
        <v>327</v>
      </c>
    </row>
    <row r="628" spans="1:8">
      <c r="A628" s="201">
        <v>44186.506898148145</v>
      </c>
      <c r="B628" s="202" t="s">
        <v>507</v>
      </c>
      <c r="C628" s="202" t="s">
        <v>921</v>
      </c>
      <c r="D628" s="202" t="s">
        <v>266</v>
      </c>
      <c r="E628" s="202">
        <v>19</v>
      </c>
      <c r="F628" s="202"/>
      <c r="G628" s="202">
        <v>4</v>
      </c>
      <c r="H628" s="203" t="s">
        <v>327</v>
      </c>
    </row>
    <row r="629" spans="1:8">
      <c r="A629" s="201">
        <v>44186.507013888891</v>
      </c>
      <c r="B629" s="202" t="s">
        <v>507</v>
      </c>
      <c r="C629" s="202" t="s">
        <v>940</v>
      </c>
      <c r="D629" s="202" t="s">
        <v>306</v>
      </c>
      <c r="E629" s="202">
        <v>18</v>
      </c>
      <c r="F629" s="202"/>
      <c r="G629" s="202">
        <v>8</v>
      </c>
      <c r="H629" s="203" t="s">
        <v>327</v>
      </c>
    </row>
    <row r="630" spans="1:8">
      <c r="A630" s="201">
        <v>44186.507106481484</v>
      </c>
      <c r="B630" s="202" t="s">
        <v>507</v>
      </c>
      <c r="C630" s="202" t="s">
        <v>831</v>
      </c>
      <c r="D630" s="202" t="s">
        <v>291</v>
      </c>
      <c r="E630" s="202">
        <v>18</v>
      </c>
      <c r="F630" s="202"/>
      <c r="G630" s="202">
        <v>5</v>
      </c>
      <c r="H630" s="203" t="s">
        <v>327</v>
      </c>
    </row>
    <row r="631" spans="1:8">
      <c r="A631" s="201">
        <v>44186.507233796299</v>
      </c>
      <c r="B631" s="202" t="s">
        <v>507</v>
      </c>
      <c r="C631" s="202" t="s">
        <v>842</v>
      </c>
      <c r="D631" s="202" t="s">
        <v>263</v>
      </c>
      <c r="E631" s="202">
        <v>18</v>
      </c>
      <c r="F631" s="202"/>
      <c r="G631" s="202">
        <v>18</v>
      </c>
      <c r="H631" s="203" t="s">
        <v>327</v>
      </c>
    </row>
    <row r="632" spans="1:8">
      <c r="A632" s="201">
        <v>44186.507314814815</v>
      </c>
      <c r="B632" s="204" t="s">
        <v>507</v>
      </c>
      <c r="C632" s="204" t="s">
        <v>861</v>
      </c>
      <c r="D632" s="204" t="s">
        <v>290</v>
      </c>
      <c r="E632" s="205">
        <v>18</v>
      </c>
      <c r="G632" s="205">
        <v>5</v>
      </c>
      <c r="H632" s="203" t="s">
        <v>327</v>
      </c>
    </row>
    <row r="633" spans="1:8">
      <c r="A633" s="201">
        <v>44186.507384259261</v>
      </c>
      <c r="B633" s="204" t="s">
        <v>507</v>
      </c>
      <c r="C633" s="204" t="s">
        <v>837</v>
      </c>
      <c r="D633" s="204" t="s">
        <v>284</v>
      </c>
      <c r="E633" s="205">
        <v>18</v>
      </c>
      <c r="G633" s="205">
        <v>12</v>
      </c>
      <c r="H633" s="203" t="s">
        <v>327</v>
      </c>
    </row>
    <row r="634" spans="1:8">
      <c r="A634" s="201">
        <v>44186.507453703707</v>
      </c>
      <c r="B634" s="204" t="s">
        <v>507</v>
      </c>
      <c r="C634" s="204" t="s">
        <v>838</v>
      </c>
      <c r="D634" s="204" t="s">
        <v>310</v>
      </c>
      <c r="E634" s="205">
        <v>18</v>
      </c>
      <c r="G634" s="205">
        <v>360</v>
      </c>
      <c r="H634" s="203" t="s">
        <v>327</v>
      </c>
    </row>
    <row r="635" spans="1:8">
      <c r="A635" s="201">
        <v>44186.507569444446</v>
      </c>
      <c r="B635" s="204" t="s">
        <v>507</v>
      </c>
      <c r="C635" s="204" t="s">
        <v>832</v>
      </c>
      <c r="D635" s="204" t="s">
        <v>293</v>
      </c>
      <c r="E635" s="205">
        <v>18</v>
      </c>
      <c r="G635" s="205">
        <v>6</v>
      </c>
      <c r="H635" s="203" t="s">
        <v>327</v>
      </c>
    </row>
    <row r="636" spans="1:8">
      <c r="A636" s="201">
        <v>44186.507592592592</v>
      </c>
      <c r="B636" s="204" t="s">
        <v>507</v>
      </c>
      <c r="C636" s="204" t="s">
        <v>941</v>
      </c>
      <c r="D636" s="204" t="s">
        <v>292</v>
      </c>
      <c r="E636" s="205">
        <v>18</v>
      </c>
      <c r="G636" s="205">
        <v>1</v>
      </c>
      <c r="H636" s="203" t="s">
        <v>327</v>
      </c>
    </row>
    <row r="637" spans="1:8">
      <c r="A637" s="201">
        <v>44186.507708333331</v>
      </c>
      <c r="B637" s="204" t="s">
        <v>507</v>
      </c>
      <c r="C637" s="204" t="s">
        <v>841</v>
      </c>
      <c r="D637" s="204" t="s">
        <v>266</v>
      </c>
      <c r="E637" s="205">
        <v>18</v>
      </c>
      <c r="G637" s="205">
        <v>2</v>
      </c>
      <c r="H637" s="203" t="s">
        <v>327</v>
      </c>
    </row>
    <row r="638" spans="1:8">
      <c r="A638" s="201">
        <v>44186.507731481484</v>
      </c>
      <c r="B638" s="204" t="s">
        <v>507</v>
      </c>
      <c r="C638" s="204" t="s">
        <v>942</v>
      </c>
      <c r="D638" s="204" t="s">
        <v>261</v>
      </c>
      <c r="E638" s="205">
        <v>18</v>
      </c>
      <c r="G638" s="205">
        <v>1</v>
      </c>
      <c r="H638" s="203" t="s">
        <v>327</v>
      </c>
    </row>
    <row r="639" spans="1:8">
      <c r="A639" s="201">
        <v>44186.507789351854</v>
      </c>
      <c r="B639" s="204" t="s">
        <v>507</v>
      </c>
      <c r="C639" s="204" t="s">
        <v>943</v>
      </c>
      <c r="D639" s="204" t="s">
        <v>305</v>
      </c>
      <c r="E639" s="205">
        <v>18</v>
      </c>
      <c r="G639" s="205">
        <v>8</v>
      </c>
      <c r="H639" s="203" t="s">
        <v>327</v>
      </c>
    </row>
    <row r="640" spans="1:8">
      <c r="A640" s="201">
        <v>44186.50880787037</v>
      </c>
      <c r="B640" s="505" t="s">
        <v>452</v>
      </c>
      <c r="C640" s="506"/>
      <c r="D640" s="506"/>
      <c r="E640" s="506"/>
      <c r="F640" s="506"/>
      <c r="G640" s="507"/>
      <c r="H640" s="203" t="s">
        <v>327</v>
      </c>
    </row>
    <row r="641" spans="1:8">
      <c r="A641" s="201">
        <v>44186.508888888886</v>
      </c>
      <c r="B641" s="505" t="s">
        <v>566</v>
      </c>
      <c r="C641" s="506"/>
      <c r="D641" s="506"/>
      <c r="E641" s="506"/>
      <c r="F641" s="506"/>
      <c r="G641" s="507"/>
      <c r="H641" s="203" t="s">
        <v>327</v>
      </c>
    </row>
    <row r="642" spans="1:8">
      <c r="A642" s="201">
        <v>44186.509143518517</v>
      </c>
      <c r="B642" s="505" t="s">
        <v>452</v>
      </c>
      <c r="C642" s="506"/>
      <c r="D642" s="506"/>
      <c r="E642" s="506"/>
      <c r="F642" s="506"/>
      <c r="G642" s="507"/>
      <c r="H642" s="203" t="s">
        <v>327</v>
      </c>
    </row>
    <row r="643" spans="1:8">
      <c r="A643" s="201">
        <v>44186.509363425925</v>
      </c>
      <c r="B643" s="204" t="s">
        <v>507</v>
      </c>
      <c r="C643" s="204" t="s">
        <v>944</v>
      </c>
      <c r="D643" s="204" t="s">
        <v>187</v>
      </c>
      <c r="E643" s="205">
        <v>18</v>
      </c>
      <c r="G643" s="205">
        <v>10</v>
      </c>
      <c r="H643" s="203" t="s">
        <v>327</v>
      </c>
    </row>
    <row r="644" spans="1:8">
      <c r="A644" s="201">
        <v>44186.509432870371</v>
      </c>
      <c r="B644" s="204" t="s">
        <v>507</v>
      </c>
      <c r="C644" s="204" t="s">
        <v>945</v>
      </c>
      <c r="D644" s="204" t="s">
        <v>106</v>
      </c>
      <c r="E644" s="205">
        <v>18</v>
      </c>
      <c r="G644" s="205">
        <v>40</v>
      </c>
      <c r="H644" s="203" t="s">
        <v>327</v>
      </c>
    </row>
    <row r="645" spans="1:8">
      <c r="A645" s="201">
        <v>44186.509560185186</v>
      </c>
      <c r="B645" s="204" t="s">
        <v>507</v>
      </c>
      <c r="C645" s="204" t="s">
        <v>946</v>
      </c>
      <c r="D645" s="204" t="s">
        <v>40</v>
      </c>
      <c r="E645" s="205">
        <v>18</v>
      </c>
      <c r="G645" s="205">
        <v>40.450000000000003</v>
      </c>
      <c r="H645" s="203" t="s">
        <v>327</v>
      </c>
    </row>
    <row r="646" spans="1:8">
      <c r="A646" s="201">
        <v>44186.509780092594</v>
      </c>
      <c r="B646" s="204" t="s">
        <v>507</v>
      </c>
      <c r="C646" s="204" t="s">
        <v>930</v>
      </c>
      <c r="D646" s="204" t="s">
        <v>226</v>
      </c>
      <c r="E646" s="205">
        <v>18</v>
      </c>
      <c r="G646" s="205">
        <v>18</v>
      </c>
      <c r="H646" s="203" t="s">
        <v>327</v>
      </c>
    </row>
    <row r="647" spans="1:8">
      <c r="A647" s="201">
        <v>44186.510254629633</v>
      </c>
      <c r="B647" s="204" t="s">
        <v>507</v>
      </c>
      <c r="C647" s="204" t="s">
        <v>898</v>
      </c>
      <c r="D647" s="204" t="s">
        <v>47</v>
      </c>
      <c r="E647" s="205">
        <v>19</v>
      </c>
      <c r="G647" s="205">
        <v>12.5</v>
      </c>
      <c r="H647" s="203" t="s">
        <v>327</v>
      </c>
    </row>
    <row r="648" spans="1:8">
      <c r="A648" s="201">
        <v>44186.510266203702</v>
      </c>
      <c r="B648" s="204" t="s">
        <v>507</v>
      </c>
      <c r="C648" s="204" t="s">
        <v>899</v>
      </c>
      <c r="D648" s="204" t="s">
        <v>48</v>
      </c>
      <c r="E648" s="205">
        <v>19</v>
      </c>
      <c r="G648" s="205">
        <v>2</v>
      </c>
      <c r="H648" s="203" t="s">
        <v>327</v>
      </c>
    </row>
    <row r="649" spans="1:8">
      <c r="A649" s="201">
        <v>44186.510601851849</v>
      </c>
      <c r="B649" s="204" t="s">
        <v>507</v>
      </c>
      <c r="C649" s="204" t="s">
        <v>947</v>
      </c>
      <c r="D649" s="204" t="s">
        <v>110</v>
      </c>
      <c r="E649" s="205">
        <v>17</v>
      </c>
      <c r="G649" s="205">
        <v>12</v>
      </c>
      <c r="H649" s="203" t="s">
        <v>327</v>
      </c>
    </row>
    <row r="650" spans="1:8">
      <c r="A650" s="201">
        <v>44186.510682870372</v>
      </c>
      <c r="B650" s="204" t="s">
        <v>507</v>
      </c>
      <c r="C650" s="204" t="s">
        <v>948</v>
      </c>
      <c r="D650" s="204" t="s">
        <v>104</v>
      </c>
      <c r="E650" s="205">
        <v>17</v>
      </c>
      <c r="G650" s="205">
        <v>18.771999999999998</v>
      </c>
      <c r="H650" s="203" t="s">
        <v>327</v>
      </c>
    </row>
    <row r="651" spans="1:8">
      <c r="A651" s="201">
        <v>44186.510868055557</v>
      </c>
      <c r="B651" s="204" t="s">
        <v>507</v>
      </c>
      <c r="C651" s="204" t="s">
        <v>949</v>
      </c>
      <c r="D651" s="204" t="s">
        <v>37</v>
      </c>
      <c r="E651" s="205">
        <v>17</v>
      </c>
      <c r="G651" s="205">
        <v>22.09</v>
      </c>
      <c r="H651" s="203" t="s">
        <v>327</v>
      </c>
    </row>
    <row r="652" spans="1:8">
      <c r="A652" s="201">
        <v>44186.511250000003</v>
      </c>
      <c r="B652" s="204" t="s">
        <v>507</v>
      </c>
      <c r="C652" s="204" t="s">
        <v>950</v>
      </c>
      <c r="D652" s="204" t="s">
        <v>256</v>
      </c>
      <c r="E652" s="205">
        <v>21</v>
      </c>
      <c r="G652" s="205">
        <v>30.4</v>
      </c>
      <c r="H652" s="203" t="s">
        <v>327</v>
      </c>
    </row>
    <row r="653" spans="1:8">
      <c r="A653" s="201">
        <v>44186.511296296296</v>
      </c>
      <c r="B653" s="204" t="s">
        <v>507</v>
      </c>
      <c r="C653" s="204" t="s">
        <v>951</v>
      </c>
      <c r="D653" s="204" t="s">
        <v>47</v>
      </c>
      <c r="E653" s="205">
        <v>21</v>
      </c>
      <c r="G653" s="205">
        <v>4.2</v>
      </c>
      <c r="H653" s="203" t="s">
        <v>327</v>
      </c>
    </row>
    <row r="654" spans="1:8">
      <c r="A654" s="201">
        <v>44186.511319444442</v>
      </c>
      <c r="B654" s="204" t="s">
        <v>507</v>
      </c>
      <c r="C654" s="204" t="s">
        <v>952</v>
      </c>
      <c r="D654" s="204" t="s">
        <v>48</v>
      </c>
      <c r="E654" s="205">
        <v>21</v>
      </c>
      <c r="G654" s="205">
        <v>10</v>
      </c>
      <c r="H654" s="203" t="s">
        <v>327</v>
      </c>
    </row>
    <row r="655" spans="1:8">
      <c r="A655" s="201">
        <v>44186.511550925927</v>
      </c>
      <c r="B655" s="204" t="s">
        <v>507</v>
      </c>
      <c r="C655" s="204" t="s">
        <v>953</v>
      </c>
      <c r="D655" s="204" t="s">
        <v>43</v>
      </c>
      <c r="E655" s="205">
        <v>18</v>
      </c>
      <c r="G655" s="205">
        <v>47.9</v>
      </c>
      <c r="H655" s="203" t="s">
        <v>327</v>
      </c>
    </row>
    <row r="656" spans="1:8">
      <c r="A656" s="201">
        <v>44186.51185185185</v>
      </c>
      <c r="B656" s="505" t="s">
        <v>566</v>
      </c>
      <c r="C656" s="506"/>
      <c r="D656" s="506"/>
      <c r="E656" s="506"/>
      <c r="F656" s="506"/>
      <c r="G656" s="507"/>
      <c r="H656" s="203" t="s">
        <v>327</v>
      </c>
    </row>
    <row r="657" spans="1:8">
      <c r="A657" s="201">
        <v>44186.512731481482</v>
      </c>
      <c r="B657" s="505" t="s">
        <v>452</v>
      </c>
      <c r="C657" s="506"/>
      <c r="D657" s="506"/>
      <c r="E657" s="506"/>
      <c r="F657" s="506"/>
      <c r="G657" s="507"/>
      <c r="H657" s="203" t="s">
        <v>327</v>
      </c>
    </row>
    <row r="658" spans="1:8">
      <c r="A658" s="201">
        <v>44186.512789351851</v>
      </c>
      <c r="B658" s="204" t="s">
        <v>455</v>
      </c>
      <c r="C658" s="204" t="s">
        <v>954</v>
      </c>
      <c r="D658" s="204" t="s">
        <v>87</v>
      </c>
      <c r="G658" s="205">
        <v>1</v>
      </c>
      <c r="H658" s="203" t="s">
        <v>327</v>
      </c>
    </row>
    <row r="659" spans="1:8">
      <c r="A659" s="201">
        <v>44186.512800925928</v>
      </c>
      <c r="B659" s="204" t="s">
        <v>455</v>
      </c>
      <c r="C659" s="204" t="s">
        <v>955</v>
      </c>
      <c r="D659" s="204" t="s">
        <v>88</v>
      </c>
      <c r="G659" s="205">
        <v>7</v>
      </c>
      <c r="H659" s="203" t="s">
        <v>327</v>
      </c>
    </row>
    <row r="660" spans="1:8">
      <c r="A660" s="201">
        <v>44186.51289351852</v>
      </c>
      <c r="B660" s="204" t="s">
        <v>455</v>
      </c>
      <c r="C660" s="204" t="s">
        <v>639</v>
      </c>
      <c r="D660" s="204" t="s">
        <v>107</v>
      </c>
      <c r="G660" s="205">
        <v>6.8000000000000005E-2</v>
      </c>
      <c r="H660" s="203" t="s">
        <v>327</v>
      </c>
    </row>
    <row r="661" spans="1:8">
      <c r="A661" s="201">
        <v>44186.513437499998</v>
      </c>
      <c r="B661" s="204" t="s">
        <v>507</v>
      </c>
      <c r="C661" s="204" t="s">
        <v>956</v>
      </c>
      <c r="D661" s="204" t="s">
        <v>291</v>
      </c>
      <c r="E661" s="205">
        <v>1</v>
      </c>
      <c r="G661" s="205">
        <v>5</v>
      </c>
      <c r="H661" s="203" t="s">
        <v>327</v>
      </c>
    </row>
    <row r="662" spans="1:8">
      <c r="A662" s="201">
        <v>44186.513483796298</v>
      </c>
      <c r="B662" s="204" t="s">
        <v>507</v>
      </c>
      <c r="C662" s="204" t="s">
        <v>503</v>
      </c>
      <c r="D662" s="204" t="s">
        <v>294</v>
      </c>
      <c r="E662" s="205">
        <v>1</v>
      </c>
      <c r="G662" s="205">
        <v>3</v>
      </c>
      <c r="H662" s="203" t="s">
        <v>327</v>
      </c>
    </row>
    <row r="663" spans="1:8">
      <c r="A663" s="201">
        <v>44186.513483796298</v>
      </c>
      <c r="B663" s="204" t="s">
        <v>507</v>
      </c>
      <c r="C663" s="204" t="s">
        <v>957</v>
      </c>
      <c r="D663" s="204" t="s">
        <v>322</v>
      </c>
      <c r="E663" s="205">
        <v>1</v>
      </c>
      <c r="G663" s="205">
        <v>2</v>
      </c>
      <c r="H663" s="203" t="s">
        <v>327</v>
      </c>
    </row>
    <row r="664" spans="1:8">
      <c r="A664" s="201">
        <v>44186.51357638889</v>
      </c>
      <c r="B664" s="204" t="s">
        <v>507</v>
      </c>
      <c r="C664" s="204" t="s">
        <v>958</v>
      </c>
      <c r="D664" s="204" t="s">
        <v>133</v>
      </c>
      <c r="E664" s="205">
        <v>1</v>
      </c>
      <c r="G664" s="205">
        <v>3</v>
      </c>
      <c r="H664" s="203" t="s">
        <v>327</v>
      </c>
    </row>
    <row r="665" spans="1:8">
      <c r="A665" s="201">
        <v>44186.513645833336</v>
      </c>
      <c r="B665" s="204" t="s">
        <v>507</v>
      </c>
      <c r="C665" s="204" t="s">
        <v>959</v>
      </c>
      <c r="D665" s="204" t="s">
        <v>268</v>
      </c>
      <c r="E665" s="205">
        <v>1</v>
      </c>
      <c r="G665" s="205">
        <v>1</v>
      </c>
      <c r="H665" s="203" t="s">
        <v>327</v>
      </c>
    </row>
    <row r="666" spans="1:8">
      <c r="A666" s="201">
        <v>44186.513761574075</v>
      </c>
      <c r="B666" s="204" t="s">
        <v>507</v>
      </c>
      <c r="C666" s="204" t="s">
        <v>960</v>
      </c>
      <c r="D666" s="204" t="s">
        <v>299</v>
      </c>
      <c r="E666" s="205">
        <v>1</v>
      </c>
      <c r="G666" s="205">
        <v>3</v>
      </c>
      <c r="H666" s="203" t="s">
        <v>327</v>
      </c>
    </row>
    <row r="667" spans="1:8">
      <c r="A667" s="201">
        <v>44186.513773148145</v>
      </c>
      <c r="B667" s="204" t="s">
        <v>507</v>
      </c>
      <c r="C667" s="204" t="s">
        <v>961</v>
      </c>
      <c r="D667" s="204" t="s">
        <v>300</v>
      </c>
      <c r="E667" s="205">
        <v>1</v>
      </c>
      <c r="G667" s="205">
        <v>2</v>
      </c>
      <c r="H667" s="203" t="s">
        <v>327</v>
      </c>
    </row>
    <row r="668" spans="1:8">
      <c r="A668" s="201">
        <v>44186.513842592591</v>
      </c>
      <c r="B668" s="204" t="s">
        <v>507</v>
      </c>
      <c r="C668" s="204" t="s">
        <v>962</v>
      </c>
      <c r="D668" s="204" t="s">
        <v>298</v>
      </c>
      <c r="E668" s="205">
        <v>1</v>
      </c>
      <c r="G668" s="205">
        <v>10</v>
      </c>
      <c r="H668" s="203" t="s">
        <v>327</v>
      </c>
    </row>
    <row r="669" spans="1:8">
      <c r="A669" s="201">
        <v>44186.513923611114</v>
      </c>
      <c r="B669" s="204" t="s">
        <v>507</v>
      </c>
      <c r="C669" s="204" t="s">
        <v>963</v>
      </c>
      <c r="D669" s="204" t="s">
        <v>305</v>
      </c>
      <c r="E669" s="205">
        <v>1</v>
      </c>
      <c r="G669" s="205">
        <v>5</v>
      </c>
      <c r="H669" s="203" t="s">
        <v>327</v>
      </c>
    </row>
    <row r="670" spans="1:8">
      <c r="A670" s="201">
        <v>44186.513969907406</v>
      </c>
      <c r="B670" s="204" t="s">
        <v>507</v>
      </c>
      <c r="C670" s="204" t="s">
        <v>964</v>
      </c>
      <c r="D670" s="204" t="s">
        <v>303</v>
      </c>
      <c r="E670" s="205">
        <v>1</v>
      </c>
      <c r="G670" s="205">
        <v>5</v>
      </c>
      <c r="H670" s="203" t="s">
        <v>327</v>
      </c>
    </row>
    <row r="671" spans="1:8">
      <c r="A671" s="201">
        <v>44186.514108796298</v>
      </c>
      <c r="B671" s="204" t="s">
        <v>507</v>
      </c>
      <c r="C671" s="204" t="s">
        <v>965</v>
      </c>
      <c r="D671" s="204" t="s">
        <v>274</v>
      </c>
      <c r="E671" s="205">
        <v>1</v>
      </c>
      <c r="G671" s="205">
        <v>2</v>
      </c>
      <c r="H671" s="203" t="s">
        <v>327</v>
      </c>
    </row>
    <row r="672" spans="1:8">
      <c r="A672" s="201">
        <v>44186.514189814814</v>
      </c>
      <c r="B672" s="202" t="s">
        <v>507</v>
      </c>
      <c r="C672" s="202" t="s">
        <v>505</v>
      </c>
      <c r="D672" s="202" t="s">
        <v>263</v>
      </c>
      <c r="E672" s="215">
        <v>1</v>
      </c>
      <c r="F672" s="202"/>
      <c r="G672" s="202">
        <v>5</v>
      </c>
      <c r="H672" s="203" t="s">
        <v>327</v>
      </c>
    </row>
    <row r="673" spans="1:8">
      <c r="A673" s="201">
        <v>44186.514224537037</v>
      </c>
      <c r="B673" s="202" t="s">
        <v>507</v>
      </c>
      <c r="C673" s="202" t="s">
        <v>966</v>
      </c>
      <c r="D673" s="202" t="s">
        <v>271</v>
      </c>
      <c r="E673" s="215">
        <v>1</v>
      </c>
      <c r="F673" s="202"/>
      <c r="G673" s="202">
        <v>1</v>
      </c>
      <c r="H673" s="203" t="s">
        <v>327</v>
      </c>
    </row>
    <row r="674" spans="1:8">
      <c r="A674" s="208">
        <v>44186.514293981483</v>
      </c>
      <c r="B674" s="202" t="s">
        <v>507</v>
      </c>
      <c r="C674" s="202" t="s">
        <v>967</v>
      </c>
      <c r="D674" s="202" t="s">
        <v>309</v>
      </c>
      <c r="E674" s="215">
        <v>1</v>
      </c>
      <c r="F674" s="202"/>
      <c r="G674" s="202">
        <v>8</v>
      </c>
      <c r="H674" s="204" t="s">
        <v>327</v>
      </c>
    </row>
    <row r="675" spans="1:8">
      <c r="A675" s="201">
        <v>44186.514340277776</v>
      </c>
      <c r="B675" s="204" t="s">
        <v>507</v>
      </c>
      <c r="C675" s="204" t="s">
        <v>968</v>
      </c>
      <c r="D675" s="204" t="s">
        <v>284</v>
      </c>
      <c r="E675" s="205">
        <v>1</v>
      </c>
      <c r="G675" s="205">
        <v>3</v>
      </c>
      <c r="H675" s="203" t="s">
        <v>327</v>
      </c>
    </row>
    <row r="676" spans="1:8">
      <c r="A676" s="201">
        <v>44186.514421296299</v>
      </c>
      <c r="B676" s="204" t="s">
        <v>507</v>
      </c>
      <c r="C676" s="204" t="s">
        <v>969</v>
      </c>
      <c r="D676" s="204" t="s">
        <v>310</v>
      </c>
      <c r="E676" s="205">
        <v>1</v>
      </c>
      <c r="G676" s="205">
        <v>60</v>
      </c>
      <c r="H676" s="203" t="s">
        <v>327</v>
      </c>
    </row>
    <row r="677" spans="1:8">
      <c r="A677" s="201">
        <v>44186.514479166668</v>
      </c>
      <c r="B677" s="204" t="s">
        <v>507</v>
      </c>
      <c r="C677" s="204" t="s">
        <v>970</v>
      </c>
      <c r="D677" s="204" t="s">
        <v>317</v>
      </c>
      <c r="E677" s="205">
        <v>1</v>
      </c>
      <c r="G677" s="205">
        <v>4</v>
      </c>
      <c r="H677" s="203" t="s">
        <v>327</v>
      </c>
    </row>
    <row r="678" spans="1:8">
      <c r="A678" s="201">
        <v>44186.514525462961</v>
      </c>
      <c r="B678" s="204" t="s">
        <v>507</v>
      </c>
      <c r="C678" s="204" t="s">
        <v>971</v>
      </c>
      <c r="D678" s="204" t="s">
        <v>297</v>
      </c>
      <c r="E678" s="205">
        <v>1</v>
      </c>
      <c r="G678" s="205">
        <v>10</v>
      </c>
      <c r="H678" s="203" t="s">
        <v>327</v>
      </c>
    </row>
    <row r="679" spans="1:8">
      <c r="A679" s="201">
        <v>44186.514699074076</v>
      </c>
      <c r="B679" s="204" t="s">
        <v>507</v>
      </c>
      <c r="C679" s="204" t="s">
        <v>972</v>
      </c>
      <c r="D679" s="204" t="s">
        <v>294</v>
      </c>
      <c r="E679" s="205">
        <v>2</v>
      </c>
      <c r="G679" s="205">
        <v>5</v>
      </c>
      <c r="H679" s="203" t="s">
        <v>327</v>
      </c>
    </row>
    <row r="680" spans="1:8">
      <c r="A680" s="201">
        <v>44186.514699074076</v>
      </c>
      <c r="B680" s="204" t="s">
        <v>507</v>
      </c>
      <c r="C680" s="204" t="s">
        <v>534</v>
      </c>
      <c r="D680" s="204" t="s">
        <v>322</v>
      </c>
      <c r="E680" s="205">
        <v>2</v>
      </c>
      <c r="G680" s="205">
        <v>5</v>
      </c>
      <c r="H680" s="203" t="s">
        <v>327</v>
      </c>
    </row>
    <row r="681" spans="1:8">
      <c r="A681" s="201">
        <v>44186.514768518522</v>
      </c>
      <c r="B681" s="204" t="s">
        <v>507</v>
      </c>
      <c r="C681" s="204" t="s">
        <v>973</v>
      </c>
      <c r="D681" s="204" t="s">
        <v>292</v>
      </c>
      <c r="E681" s="205">
        <v>2</v>
      </c>
      <c r="G681" s="205">
        <v>1</v>
      </c>
      <c r="H681" s="203" t="s">
        <v>327</v>
      </c>
    </row>
    <row r="682" spans="1:8">
      <c r="A682" s="201">
        <v>44186.514861111114</v>
      </c>
      <c r="B682" s="204" t="s">
        <v>507</v>
      </c>
      <c r="C682" s="204" t="s">
        <v>974</v>
      </c>
      <c r="D682" s="204" t="s">
        <v>308</v>
      </c>
      <c r="E682" s="205">
        <v>2</v>
      </c>
      <c r="G682" s="205">
        <v>5</v>
      </c>
      <c r="H682" s="203" t="s">
        <v>327</v>
      </c>
    </row>
    <row r="683" spans="1:8">
      <c r="A683" s="201">
        <v>44186.51489583333</v>
      </c>
      <c r="B683" s="204" t="s">
        <v>507</v>
      </c>
      <c r="C683" s="204" t="s">
        <v>542</v>
      </c>
      <c r="D683" s="204" t="s">
        <v>266</v>
      </c>
      <c r="E683" s="205">
        <v>2</v>
      </c>
      <c r="G683" s="205">
        <v>3</v>
      </c>
      <c r="H683" s="203" t="s">
        <v>327</v>
      </c>
    </row>
    <row r="684" spans="1:8">
      <c r="A684" s="201">
        <v>44186.514988425923</v>
      </c>
      <c r="B684" s="204" t="s">
        <v>507</v>
      </c>
      <c r="C684" s="204" t="s">
        <v>535</v>
      </c>
      <c r="D684" s="204" t="s">
        <v>298</v>
      </c>
      <c r="E684" s="205">
        <v>2</v>
      </c>
      <c r="G684" s="205">
        <v>48</v>
      </c>
      <c r="H684" s="203" t="s">
        <v>327</v>
      </c>
    </row>
    <row r="685" spans="1:8">
      <c r="A685" s="201">
        <v>44186.515011574076</v>
      </c>
      <c r="B685" s="204" t="s">
        <v>507</v>
      </c>
      <c r="C685" s="204" t="s">
        <v>536</v>
      </c>
      <c r="D685" s="204" t="s">
        <v>303</v>
      </c>
      <c r="E685" s="205">
        <v>2</v>
      </c>
      <c r="G685" s="205">
        <v>18</v>
      </c>
      <c r="H685" s="203" t="s">
        <v>327</v>
      </c>
    </row>
    <row r="686" spans="1:8">
      <c r="A686" s="201">
        <v>44186.515115740738</v>
      </c>
      <c r="B686" s="204" t="s">
        <v>507</v>
      </c>
      <c r="C686" s="204" t="s">
        <v>543</v>
      </c>
      <c r="D686" s="204" t="s">
        <v>263</v>
      </c>
      <c r="E686" s="205">
        <v>2</v>
      </c>
      <c r="G686" s="205">
        <v>18</v>
      </c>
      <c r="H686" s="203" t="s">
        <v>327</v>
      </c>
    </row>
    <row r="687" spans="1:8">
      <c r="A687" s="201">
        <v>44186.515208333331</v>
      </c>
      <c r="B687" s="204" t="s">
        <v>507</v>
      </c>
      <c r="C687" s="204" t="s">
        <v>975</v>
      </c>
      <c r="D687" s="204" t="s">
        <v>297</v>
      </c>
      <c r="E687" s="205">
        <v>2</v>
      </c>
      <c r="G687" s="205">
        <v>10</v>
      </c>
      <c r="H687" s="203" t="s">
        <v>327</v>
      </c>
    </row>
    <row r="688" spans="1:8">
      <c r="A688" s="201">
        <v>44186.51525462963</v>
      </c>
      <c r="B688" s="204" t="s">
        <v>507</v>
      </c>
      <c r="C688" s="204" t="s">
        <v>976</v>
      </c>
      <c r="D688" s="204" t="s">
        <v>290</v>
      </c>
      <c r="E688" s="205">
        <v>2</v>
      </c>
      <c r="G688" s="205">
        <v>10</v>
      </c>
      <c r="H688" s="203" t="s">
        <v>327</v>
      </c>
    </row>
    <row r="689" spans="1:8">
      <c r="A689" s="201">
        <v>44186.515428240738</v>
      </c>
      <c r="B689" s="204" t="s">
        <v>507</v>
      </c>
      <c r="C689" s="204" t="s">
        <v>977</v>
      </c>
      <c r="D689" s="204" t="s">
        <v>282</v>
      </c>
      <c r="E689" s="205">
        <v>2</v>
      </c>
      <c r="G689" s="205">
        <v>10</v>
      </c>
      <c r="H689" s="203" t="s">
        <v>327</v>
      </c>
    </row>
    <row r="690" spans="1:8">
      <c r="A690" s="201">
        <v>44186.515451388892</v>
      </c>
      <c r="B690" s="204" t="s">
        <v>507</v>
      </c>
      <c r="C690" s="204" t="s">
        <v>978</v>
      </c>
      <c r="D690" s="204" t="s">
        <v>279</v>
      </c>
      <c r="E690" s="205">
        <v>2</v>
      </c>
      <c r="G690" s="205">
        <v>2</v>
      </c>
      <c r="H690" s="203" t="s">
        <v>327</v>
      </c>
    </row>
    <row r="691" spans="1:8">
      <c r="A691" s="201">
        <v>44186.515532407408</v>
      </c>
      <c r="B691" s="204" t="s">
        <v>507</v>
      </c>
      <c r="C691" s="204" t="s">
        <v>979</v>
      </c>
      <c r="D691" s="204" t="s">
        <v>317</v>
      </c>
      <c r="E691" s="205">
        <v>2</v>
      </c>
      <c r="G691" s="205">
        <v>6</v>
      </c>
      <c r="H691" s="203" t="s">
        <v>327</v>
      </c>
    </row>
    <row r="692" spans="1:8">
      <c r="A692" s="201">
        <v>44186.515555555554</v>
      </c>
      <c r="B692" s="204" t="s">
        <v>507</v>
      </c>
      <c r="C692" s="204" t="s">
        <v>980</v>
      </c>
      <c r="D692" s="204" t="s">
        <v>278</v>
      </c>
      <c r="E692" s="205">
        <v>2</v>
      </c>
      <c r="G692" s="205">
        <v>5</v>
      </c>
      <c r="H692" s="203" t="s">
        <v>327</v>
      </c>
    </row>
    <row r="693" spans="1:8">
      <c r="A693" s="201">
        <v>44186.515659722223</v>
      </c>
      <c r="B693" s="204" t="s">
        <v>507</v>
      </c>
      <c r="C693" s="204" t="s">
        <v>537</v>
      </c>
      <c r="D693" s="204" t="s">
        <v>304</v>
      </c>
      <c r="E693" s="205">
        <v>2</v>
      </c>
      <c r="G693" s="205">
        <v>9</v>
      </c>
      <c r="H693" s="203" t="s">
        <v>327</v>
      </c>
    </row>
    <row r="694" spans="1:8">
      <c r="A694" s="201">
        <v>44186.515659722223</v>
      </c>
      <c r="B694" s="204" t="s">
        <v>507</v>
      </c>
      <c r="C694" s="204" t="s">
        <v>538</v>
      </c>
      <c r="D694" s="204" t="s">
        <v>305</v>
      </c>
      <c r="E694" s="205">
        <v>2</v>
      </c>
      <c r="G694" s="205">
        <v>5</v>
      </c>
      <c r="H694" s="203" t="s">
        <v>327</v>
      </c>
    </row>
    <row r="695" spans="1:8">
      <c r="A695" s="201">
        <v>44186.515787037039</v>
      </c>
      <c r="B695" s="204" t="s">
        <v>507</v>
      </c>
      <c r="C695" s="204" t="s">
        <v>555</v>
      </c>
      <c r="D695" s="204" t="s">
        <v>310</v>
      </c>
      <c r="E695" s="205">
        <v>2</v>
      </c>
      <c r="G695" s="205">
        <v>180</v>
      </c>
      <c r="H695" s="203" t="s">
        <v>327</v>
      </c>
    </row>
    <row r="696" spans="1:8">
      <c r="A696" s="201">
        <v>44186.515833333331</v>
      </c>
      <c r="B696" s="204" t="s">
        <v>507</v>
      </c>
      <c r="C696" s="204" t="s">
        <v>981</v>
      </c>
      <c r="D696" s="204" t="s">
        <v>316</v>
      </c>
      <c r="E696" s="205">
        <v>2</v>
      </c>
      <c r="G696" s="205">
        <v>24</v>
      </c>
      <c r="H696" s="203" t="s">
        <v>327</v>
      </c>
    </row>
    <row r="697" spans="1:8">
      <c r="A697" s="201">
        <v>44186.516168981485</v>
      </c>
      <c r="B697" s="204" t="s">
        <v>507</v>
      </c>
      <c r="C697" s="204" t="s">
        <v>982</v>
      </c>
      <c r="D697" s="204" t="s">
        <v>293</v>
      </c>
      <c r="E697" s="205">
        <v>4</v>
      </c>
      <c r="G697" s="205">
        <v>5</v>
      </c>
      <c r="H697" s="203" t="s">
        <v>327</v>
      </c>
    </row>
    <row r="698" spans="1:8">
      <c r="A698" s="201">
        <v>44186.516180555554</v>
      </c>
      <c r="B698" s="204" t="s">
        <v>507</v>
      </c>
      <c r="C698" s="204" t="s">
        <v>983</v>
      </c>
      <c r="D698" s="204" t="s">
        <v>294</v>
      </c>
      <c r="E698" s="205">
        <v>4</v>
      </c>
      <c r="G698" s="205">
        <v>6</v>
      </c>
      <c r="H698" s="203" t="s">
        <v>327</v>
      </c>
    </row>
    <row r="699" spans="1:8">
      <c r="A699" s="201">
        <v>44186.516180555554</v>
      </c>
      <c r="B699" s="204" t="s">
        <v>507</v>
      </c>
      <c r="C699" s="204" t="s">
        <v>984</v>
      </c>
      <c r="D699" s="204" t="s">
        <v>322</v>
      </c>
      <c r="E699" s="205">
        <v>4</v>
      </c>
      <c r="G699" s="205">
        <v>6</v>
      </c>
      <c r="H699" s="203" t="s">
        <v>327</v>
      </c>
    </row>
    <row r="700" spans="1:8">
      <c r="A700" s="201">
        <v>44186.516284722224</v>
      </c>
      <c r="B700" s="204" t="s">
        <v>507</v>
      </c>
      <c r="C700" s="204" t="s">
        <v>985</v>
      </c>
      <c r="D700" s="204" t="s">
        <v>306</v>
      </c>
      <c r="E700" s="205">
        <v>4</v>
      </c>
      <c r="G700" s="205">
        <v>10</v>
      </c>
      <c r="H700" s="203" t="s">
        <v>327</v>
      </c>
    </row>
    <row r="701" spans="1:8">
      <c r="A701" s="201">
        <v>44186.516342592593</v>
      </c>
      <c r="B701" s="204" t="s">
        <v>507</v>
      </c>
      <c r="C701" s="204" t="s">
        <v>986</v>
      </c>
      <c r="D701" s="204" t="s">
        <v>308</v>
      </c>
      <c r="E701" s="205">
        <v>4</v>
      </c>
      <c r="G701" s="205">
        <v>3</v>
      </c>
      <c r="H701" s="203" t="s">
        <v>327</v>
      </c>
    </row>
    <row r="702" spans="1:8">
      <c r="A702" s="201">
        <v>44186.516412037039</v>
      </c>
      <c r="B702" s="204" t="s">
        <v>507</v>
      </c>
      <c r="C702" s="204" t="s">
        <v>987</v>
      </c>
      <c r="D702" s="204" t="s">
        <v>291</v>
      </c>
      <c r="E702" s="205">
        <v>4</v>
      </c>
      <c r="G702" s="205">
        <v>6</v>
      </c>
      <c r="H702" s="203" t="s">
        <v>327</v>
      </c>
    </row>
    <row r="703" spans="1:8">
      <c r="A703" s="201">
        <v>44186.516458333332</v>
      </c>
      <c r="B703" s="204" t="s">
        <v>507</v>
      </c>
      <c r="C703" s="204" t="s">
        <v>988</v>
      </c>
      <c r="D703" s="204" t="s">
        <v>266</v>
      </c>
      <c r="E703" s="205">
        <v>4</v>
      </c>
      <c r="G703" s="205">
        <v>4</v>
      </c>
      <c r="H703" s="203" t="s">
        <v>327</v>
      </c>
    </row>
    <row r="704" spans="1:8">
      <c r="A704" s="201">
        <v>44186.516597222224</v>
      </c>
      <c r="B704" s="204" t="s">
        <v>507</v>
      </c>
      <c r="C704" s="204" t="s">
        <v>989</v>
      </c>
      <c r="D704" s="204" t="s">
        <v>300</v>
      </c>
      <c r="E704" s="205">
        <v>4</v>
      </c>
      <c r="G704" s="205">
        <v>5</v>
      </c>
      <c r="H704" s="203" t="s">
        <v>327</v>
      </c>
    </row>
    <row r="705" spans="1:8">
      <c r="A705" s="201">
        <v>44186.516655092593</v>
      </c>
      <c r="B705" s="204" t="s">
        <v>507</v>
      </c>
      <c r="C705" s="204" t="s">
        <v>990</v>
      </c>
      <c r="D705" s="204" t="s">
        <v>303</v>
      </c>
      <c r="E705" s="205">
        <v>4</v>
      </c>
      <c r="G705" s="205">
        <v>9</v>
      </c>
      <c r="H705" s="203" t="s">
        <v>327</v>
      </c>
    </row>
    <row r="706" spans="1:8">
      <c r="A706" s="201">
        <v>44186.516712962963</v>
      </c>
      <c r="B706" s="204" t="s">
        <v>507</v>
      </c>
      <c r="C706" s="204" t="s">
        <v>991</v>
      </c>
      <c r="D706" s="204" t="s">
        <v>305</v>
      </c>
      <c r="E706" s="205">
        <v>4</v>
      </c>
      <c r="G706" s="205">
        <v>4</v>
      </c>
      <c r="H706" s="203" t="s">
        <v>327</v>
      </c>
    </row>
    <row r="707" spans="1:8">
      <c r="A707" s="201">
        <v>44186.516817129632</v>
      </c>
      <c r="B707" s="204" t="s">
        <v>507</v>
      </c>
      <c r="C707" s="204" t="s">
        <v>992</v>
      </c>
      <c r="D707" s="204" t="s">
        <v>274</v>
      </c>
      <c r="E707" s="205">
        <v>4</v>
      </c>
      <c r="G707" s="205">
        <v>2</v>
      </c>
      <c r="H707" s="203" t="s">
        <v>327</v>
      </c>
    </row>
    <row r="708" spans="1:8">
      <c r="A708" s="201">
        <v>44186.516851851855</v>
      </c>
      <c r="B708" s="204" t="s">
        <v>507</v>
      </c>
      <c r="C708" s="204" t="s">
        <v>993</v>
      </c>
      <c r="D708" s="204" t="s">
        <v>271</v>
      </c>
      <c r="E708" s="205">
        <v>4</v>
      </c>
      <c r="G708" s="205">
        <v>3</v>
      </c>
      <c r="H708" s="203" t="s">
        <v>327</v>
      </c>
    </row>
    <row r="709" spans="1:8">
      <c r="A709" s="201">
        <v>44186.516932870371</v>
      </c>
      <c r="B709" s="204" t="s">
        <v>507</v>
      </c>
      <c r="C709" s="204" t="s">
        <v>994</v>
      </c>
      <c r="D709" s="204" t="s">
        <v>263</v>
      </c>
      <c r="E709" s="205">
        <v>4</v>
      </c>
      <c r="G709" s="205">
        <v>18</v>
      </c>
      <c r="H709" s="203" t="s">
        <v>327</v>
      </c>
    </row>
    <row r="710" spans="1:8">
      <c r="A710" s="201">
        <v>44186.517071759263</v>
      </c>
      <c r="B710" s="204" t="s">
        <v>507</v>
      </c>
      <c r="C710" s="204" t="s">
        <v>995</v>
      </c>
      <c r="D710" s="204" t="s">
        <v>297</v>
      </c>
      <c r="E710" s="205">
        <v>4</v>
      </c>
      <c r="G710" s="205">
        <v>4</v>
      </c>
      <c r="H710" s="203" t="s">
        <v>327</v>
      </c>
    </row>
    <row r="711" spans="1:8">
      <c r="A711" s="201">
        <v>44186.517118055555</v>
      </c>
      <c r="B711" s="204" t="s">
        <v>507</v>
      </c>
      <c r="C711" s="204" t="s">
        <v>996</v>
      </c>
      <c r="D711" s="204" t="s">
        <v>309</v>
      </c>
      <c r="E711" s="205">
        <v>4</v>
      </c>
      <c r="G711" s="205">
        <v>6</v>
      </c>
      <c r="H711" s="203" t="s">
        <v>327</v>
      </c>
    </row>
    <row r="712" spans="1:8">
      <c r="A712" s="201">
        <v>44186.517199074071</v>
      </c>
      <c r="B712" s="204" t="s">
        <v>507</v>
      </c>
      <c r="C712" s="204" t="s">
        <v>997</v>
      </c>
      <c r="D712" s="204" t="s">
        <v>279</v>
      </c>
      <c r="E712" s="205">
        <v>4</v>
      </c>
      <c r="G712" s="205">
        <v>1</v>
      </c>
      <c r="H712" s="203" t="s">
        <v>327</v>
      </c>
    </row>
    <row r="713" spans="1:8">
      <c r="A713" s="201">
        <v>44186.517314814817</v>
      </c>
      <c r="B713" s="204" t="s">
        <v>507</v>
      </c>
      <c r="C713" s="204" t="s">
        <v>998</v>
      </c>
      <c r="D713" s="204" t="s">
        <v>316</v>
      </c>
      <c r="E713" s="205">
        <v>4</v>
      </c>
      <c r="G713" s="205">
        <v>18</v>
      </c>
      <c r="H713" s="203" t="s">
        <v>327</v>
      </c>
    </row>
    <row r="714" spans="1:8">
      <c r="A714" s="201">
        <v>44186.517442129632</v>
      </c>
      <c r="B714" s="204" t="s">
        <v>507</v>
      </c>
      <c r="C714" s="204" t="s">
        <v>999</v>
      </c>
      <c r="D714" s="204" t="s">
        <v>278</v>
      </c>
      <c r="E714" s="205">
        <v>4</v>
      </c>
      <c r="G714" s="205">
        <v>2</v>
      </c>
      <c r="H714" s="203" t="s">
        <v>327</v>
      </c>
    </row>
    <row r="715" spans="1:8">
      <c r="A715" s="201">
        <v>44186.518182870372</v>
      </c>
      <c r="B715" s="204" t="s">
        <v>507</v>
      </c>
      <c r="C715" s="204" t="s">
        <v>1000</v>
      </c>
      <c r="D715" s="204" t="s">
        <v>294</v>
      </c>
      <c r="E715" s="205">
        <v>9</v>
      </c>
      <c r="G715" s="205">
        <v>6</v>
      </c>
      <c r="H715" s="203" t="s">
        <v>327</v>
      </c>
    </row>
    <row r="716" spans="1:8">
      <c r="A716" s="201">
        <v>44186.518182870372</v>
      </c>
      <c r="B716" s="204" t="s">
        <v>507</v>
      </c>
      <c r="C716" s="204" t="s">
        <v>1001</v>
      </c>
      <c r="D716" s="204" t="s">
        <v>322</v>
      </c>
      <c r="E716" s="205">
        <v>9</v>
      </c>
      <c r="G716" s="205">
        <v>6</v>
      </c>
      <c r="H716" s="203" t="s">
        <v>327</v>
      </c>
    </row>
    <row r="717" spans="1:8">
      <c r="A717" s="201">
        <v>44186.518287037034</v>
      </c>
      <c r="B717" s="204" t="s">
        <v>507</v>
      </c>
      <c r="C717" s="204" t="s">
        <v>1002</v>
      </c>
      <c r="D717" s="204" t="s">
        <v>296</v>
      </c>
      <c r="E717" s="205">
        <v>9</v>
      </c>
      <c r="G717" s="205">
        <v>2</v>
      </c>
      <c r="H717" s="203" t="s">
        <v>327</v>
      </c>
    </row>
    <row r="718" spans="1:8">
      <c r="A718" s="201">
        <v>44186.518310185187</v>
      </c>
      <c r="B718" s="204" t="s">
        <v>507</v>
      </c>
      <c r="C718" s="204" t="s">
        <v>1003</v>
      </c>
      <c r="D718" s="204" t="s">
        <v>292</v>
      </c>
      <c r="E718" s="205">
        <v>9</v>
      </c>
      <c r="G718" s="205">
        <v>1</v>
      </c>
      <c r="H718" s="203" t="s">
        <v>327</v>
      </c>
    </row>
    <row r="719" spans="1:8">
      <c r="A719" s="201">
        <v>44186.51840277778</v>
      </c>
      <c r="B719" s="204" t="s">
        <v>507</v>
      </c>
      <c r="C719" s="204" t="s">
        <v>1004</v>
      </c>
      <c r="D719" s="204" t="s">
        <v>133</v>
      </c>
      <c r="E719" s="205">
        <v>9</v>
      </c>
      <c r="G719" s="205">
        <v>2</v>
      </c>
      <c r="H719" s="203" t="s">
        <v>327</v>
      </c>
    </row>
    <row r="720" spans="1:8">
      <c r="A720" s="201">
        <v>44186.518472222226</v>
      </c>
      <c r="B720" s="204" t="s">
        <v>507</v>
      </c>
      <c r="C720" s="204" t="s">
        <v>1005</v>
      </c>
      <c r="D720" s="204" t="s">
        <v>306</v>
      </c>
      <c r="E720" s="205">
        <v>9</v>
      </c>
      <c r="G720" s="205">
        <v>7</v>
      </c>
      <c r="H720" s="203" t="s">
        <v>327</v>
      </c>
    </row>
    <row r="721" spans="1:8">
      <c r="A721" s="201">
        <v>44186.518530092595</v>
      </c>
      <c r="B721" s="204" t="s">
        <v>507</v>
      </c>
      <c r="C721" s="204" t="s">
        <v>1006</v>
      </c>
      <c r="D721" s="204" t="s">
        <v>266</v>
      </c>
      <c r="E721" s="205">
        <v>9</v>
      </c>
      <c r="G721" s="205">
        <v>3</v>
      </c>
      <c r="H721" s="203" t="s">
        <v>327</v>
      </c>
    </row>
    <row r="722" spans="1:8">
      <c r="A722" s="201">
        <v>44186.518634259257</v>
      </c>
      <c r="B722" s="202" t="s">
        <v>507</v>
      </c>
      <c r="C722" s="202" t="s">
        <v>1007</v>
      </c>
      <c r="D722" s="202" t="s">
        <v>283</v>
      </c>
      <c r="E722" s="202">
        <v>9</v>
      </c>
      <c r="F722" s="202"/>
      <c r="G722" s="202">
        <v>1</v>
      </c>
      <c r="H722" s="203" t="s">
        <v>327</v>
      </c>
    </row>
    <row r="723" spans="1:8">
      <c r="A723" s="201">
        <v>44186.518761574072</v>
      </c>
      <c r="B723" s="202" t="s">
        <v>507</v>
      </c>
      <c r="C723" s="202" t="s">
        <v>1008</v>
      </c>
      <c r="D723" s="202" t="s">
        <v>268</v>
      </c>
      <c r="E723" s="202">
        <v>9</v>
      </c>
      <c r="F723" s="202"/>
      <c r="G723" s="202">
        <v>1</v>
      </c>
      <c r="H723" s="203" t="s">
        <v>327</v>
      </c>
    </row>
    <row r="724" spans="1:8">
      <c r="A724" s="201">
        <v>44186.518865740742</v>
      </c>
      <c r="B724" s="204" t="s">
        <v>507</v>
      </c>
      <c r="C724" s="204" t="s">
        <v>1009</v>
      </c>
      <c r="D724" s="204" t="s">
        <v>134</v>
      </c>
      <c r="E724" s="205">
        <v>9</v>
      </c>
      <c r="G724" s="205">
        <v>1</v>
      </c>
      <c r="H724" s="203" t="s">
        <v>327</v>
      </c>
    </row>
    <row r="725" spans="1:8">
      <c r="A725" s="201">
        <v>44186.519004629627</v>
      </c>
      <c r="B725" s="204" t="s">
        <v>507</v>
      </c>
      <c r="C725" s="204" t="s">
        <v>1010</v>
      </c>
      <c r="D725" s="204" t="s">
        <v>291</v>
      </c>
      <c r="E725" s="205">
        <v>9</v>
      </c>
      <c r="G725" s="205">
        <v>6</v>
      </c>
      <c r="H725" s="203" t="s">
        <v>327</v>
      </c>
    </row>
    <row r="726" spans="1:8">
      <c r="A726" s="201">
        <v>44186.519120370373</v>
      </c>
      <c r="B726" s="204" t="s">
        <v>507</v>
      </c>
      <c r="C726" s="204" t="s">
        <v>1011</v>
      </c>
      <c r="D726" s="204" t="s">
        <v>299</v>
      </c>
      <c r="E726" s="205">
        <v>9</v>
      </c>
      <c r="G726" s="205">
        <v>4</v>
      </c>
      <c r="H726" s="203" t="s">
        <v>327</v>
      </c>
    </row>
    <row r="727" spans="1:8">
      <c r="A727" s="201">
        <v>44186.519201388888</v>
      </c>
      <c r="B727" s="204" t="s">
        <v>507</v>
      </c>
      <c r="C727" s="204" t="s">
        <v>1012</v>
      </c>
      <c r="D727" s="204" t="s">
        <v>300</v>
      </c>
      <c r="E727" s="205">
        <v>9</v>
      </c>
      <c r="G727" s="205">
        <v>6</v>
      </c>
      <c r="H727" s="203" t="s">
        <v>327</v>
      </c>
    </row>
    <row r="728" spans="1:8">
      <c r="A728" s="201">
        <v>44186.519236111111</v>
      </c>
      <c r="B728" s="204" t="s">
        <v>507</v>
      </c>
      <c r="C728" s="204" t="s">
        <v>1012</v>
      </c>
      <c r="D728" s="204" t="s">
        <v>300</v>
      </c>
      <c r="E728" s="205">
        <v>9</v>
      </c>
      <c r="G728" s="205" t="s">
        <v>458</v>
      </c>
      <c r="H728" s="203" t="s">
        <v>327</v>
      </c>
    </row>
    <row r="729" spans="1:8">
      <c r="A729" s="201">
        <v>44186.519259259258</v>
      </c>
      <c r="B729" s="204" t="s">
        <v>507</v>
      </c>
      <c r="C729" s="204" t="s">
        <v>1013</v>
      </c>
      <c r="D729" s="204" t="s">
        <v>304</v>
      </c>
      <c r="E729" s="205">
        <v>9</v>
      </c>
      <c r="G729" s="205">
        <v>6</v>
      </c>
      <c r="H729" s="203" t="s">
        <v>327</v>
      </c>
    </row>
    <row r="730" spans="1:8">
      <c r="A730" s="201">
        <v>44186.519293981481</v>
      </c>
      <c r="B730" s="204" t="s">
        <v>507</v>
      </c>
      <c r="C730" s="204" t="s">
        <v>1014</v>
      </c>
      <c r="D730" s="204" t="s">
        <v>305</v>
      </c>
      <c r="E730" s="205">
        <v>9</v>
      </c>
      <c r="G730" s="205">
        <v>8</v>
      </c>
      <c r="H730" s="203" t="s">
        <v>327</v>
      </c>
    </row>
    <row r="731" spans="1:8">
      <c r="A731" s="201">
        <v>44186.51934027778</v>
      </c>
      <c r="B731" s="204" t="s">
        <v>507</v>
      </c>
      <c r="C731" s="204" t="s">
        <v>1015</v>
      </c>
      <c r="D731" s="204" t="s">
        <v>303</v>
      </c>
      <c r="E731" s="205">
        <v>9</v>
      </c>
      <c r="G731" s="205">
        <v>18</v>
      </c>
      <c r="H731" s="203" t="s">
        <v>327</v>
      </c>
    </row>
    <row r="732" spans="1:8">
      <c r="A732" s="201">
        <v>44186.519525462965</v>
      </c>
      <c r="B732" s="204" t="s">
        <v>507</v>
      </c>
      <c r="C732" s="204" t="s">
        <v>1016</v>
      </c>
      <c r="D732" s="204" t="s">
        <v>274</v>
      </c>
      <c r="E732" s="205">
        <v>9</v>
      </c>
      <c r="G732" s="205">
        <v>3</v>
      </c>
      <c r="H732" s="203" t="s">
        <v>327</v>
      </c>
    </row>
    <row r="733" spans="1:8">
      <c r="A733" s="201">
        <v>44186.519537037035</v>
      </c>
      <c r="B733" s="204" t="s">
        <v>507</v>
      </c>
      <c r="C733" s="204" t="s">
        <v>1017</v>
      </c>
      <c r="D733" s="204" t="s">
        <v>271</v>
      </c>
      <c r="E733" s="205">
        <v>9</v>
      </c>
      <c r="G733" s="205">
        <v>3</v>
      </c>
      <c r="H733" s="203" t="s">
        <v>327</v>
      </c>
    </row>
    <row r="734" spans="1:8">
      <c r="A734" s="201">
        <v>44186.519629629627</v>
      </c>
      <c r="B734" s="204" t="s">
        <v>507</v>
      </c>
      <c r="C734" s="204" t="s">
        <v>1018</v>
      </c>
      <c r="D734" s="204" t="s">
        <v>263</v>
      </c>
      <c r="E734" s="205">
        <v>9</v>
      </c>
      <c r="G734" s="205">
        <v>18</v>
      </c>
      <c r="H734" s="203" t="s">
        <v>327</v>
      </c>
    </row>
    <row r="735" spans="1:8">
      <c r="A735" s="201">
        <v>44186.519791666666</v>
      </c>
      <c r="B735" s="204" t="s">
        <v>507</v>
      </c>
      <c r="C735" s="204" t="s">
        <v>1019</v>
      </c>
      <c r="D735" s="204" t="s">
        <v>309</v>
      </c>
      <c r="E735" s="205">
        <v>9</v>
      </c>
      <c r="G735" s="205">
        <v>10</v>
      </c>
      <c r="H735" s="203" t="s">
        <v>327</v>
      </c>
    </row>
    <row r="736" spans="1:8">
      <c r="A736" s="201">
        <v>44186.519826388889</v>
      </c>
      <c r="B736" s="204" t="s">
        <v>507</v>
      </c>
      <c r="C736" s="204" t="s">
        <v>1020</v>
      </c>
      <c r="D736" s="204" t="s">
        <v>290</v>
      </c>
      <c r="E736" s="205">
        <v>9</v>
      </c>
      <c r="G736" s="205">
        <v>10</v>
      </c>
      <c r="H736" s="203" t="s">
        <v>327</v>
      </c>
    </row>
    <row r="737" spans="1:8">
      <c r="A737" s="201">
        <v>44186.519872685189</v>
      </c>
      <c r="B737" s="204" t="s">
        <v>507</v>
      </c>
      <c r="C737" s="204" t="s">
        <v>1021</v>
      </c>
      <c r="D737" s="204" t="s">
        <v>297</v>
      </c>
      <c r="E737" s="205">
        <v>9</v>
      </c>
      <c r="G737" s="205">
        <v>15</v>
      </c>
      <c r="H737" s="203" t="s">
        <v>327</v>
      </c>
    </row>
    <row r="738" spans="1:8">
      <c r="A738" s="201">
        <v>44186.52</v>
      </c>
      <c r="B738" s="204" t="s">
        <v>507</v>
      </c>
      <c r="C738" s="204" t="s">
        <v>1022</v>
      </c>
      <c r="D738" s="204" t="s">
        <v>284</v>
      </c>
      <c r="E738" s="205">
        <v>9</v>
      </c>
      <c r="G738" s="205">
        <v>18</v>
      </c>
      <c r="H738" s="203" t="s">
        <v>327</v>
      </c>
    </row>
    <row r="739" spans="1:8">
      <c r="A739" s="201">
        <v>44186.52002314815</v>
      </c>
      <c r="B739" s="204" t="s">
        <v>507</v>
      </c>
      <c r="C739" s="204" t="s">
        <v>1023</v>
      </c>
      <c r="D739" s="204" t="s">
        <v>279</v>
      </c>
      <c r="E739" s="205">
        <v>9</v>
      </c>
      <c r="G739" s="205">
        <v>1</v>
      </c>
      <c r="H739" s="203" t="s">
        <v>327</v>
      </c>
    </row>
    <row r="740" spans="1:8">
      <c r="A740" s="201">
        <v>44186.520092592589</v>
      </c>
      <c r="B740" s="204" t="s">
        <v>507</v>
      </c>
      <c r="C740" s="204" t="s">
        <v>1024</v>
      </c>
      <c r="D740" s="204" t="s">
        <v>282</v>
      </c>
      <c r="E740" s="205">
        <v>9</v>
      </c>
      <c r="G740" s="205">
        <v>10</v>
      </c>
      <c r="H740" s="203" t="s">
        <v>327</v>
      </c>
    </row>
    <row r="741" spans="1:8">
      <c r="A741" s="201">
        <v>44186.520127314812</v>
      </c>
      <c r="B741" s="204" t="s">
        <v>507</v>
      </c>
      <c r="C741" s="204" t="s">
        <v>1025</v>
      </c>
      <c r="D741" s="204" t="s">
        <v>278</v>
      </c>
      <c r="E741" s="205">
        <v>9</v>
      </c>
      <c r="G741" s="205">
        <v>5</v>
      </c>
      <c r="H741" s="203" t="s">
        <v>327</v>
      </c>
    </row>
    <row r="742" spans="1:8">
      <c r="A742" s="201">
        <v>44186.520231481481</v>
      </c>
      <c r="B742" s="204" t="s">
        <v>507</v>
      </c>
      <c r="C742" s="204" t="s">
        <v>1026</v>
      </c>
      <c r="D742" s="204" t="s">
        <v>316</v>
      </c>
      <c r="E742" s="205">
        <v>9</v>
      </c>
      <c r="G742" s="205">
        <v>18</v>
      </c>
      <c r="H742" s="203" t="s">
        <v>327</v>
      </c>
    </row>
    <row r="743" spans="1:8">
      <c r="A743" s="201">
        <v>44186.520254629628</v>
      </c>
      <c r="B743" s="204" t="s">
        <v>507</v>
      </c>
      <c r="C743" s="204" t="s">
        <v>1027</v>
      </c>
      <c r="D743" s="204" t="s">
        <v>310</v>
      </c>
      <c r="E743" s="205">
        <v>9</v>
      </c>
      <c r="G743" s="205">
        <v>540</v>
      </c>
      <c r="H743" s="203" t="s">
        <v>327</v>
      </c>
    </row>
    <row r="744" spans="1:8">
      <c r="A744" s="201">
        <v>44186.52034722222</v>
      </c>
      <c r="B744" s="505" t="s">
        <v>566</v>
      </c>
      <c r="C744" s="506"/>
      <c r="D744" s="506"/>
      <c r="E744" s="506"/>
      <c r="F744" s="506"/>
      <c r="G744" s="507"/>
      <c r="H744" s="203" t="s">
        <v>327</v>
      </c>
    </row>
    <row r="745" spans="1:8">
      <c r="A745" s="201">
        <v>44186.646782407406</v>
      </c>
      <c r="B745" s="505" t="s">
        <v>452</v>
      </c>
      <c r="C745" s="506"/>
      <c r="D745" s="506"/>
      <c r="E745" s="506"/>
      <c r="F745" s="506"/>
      <c r="G745" s="507"/>
      <c r="H745" s="203" t="s">
        <v>327</v>
      </c>
    </row>
    <row r="746" spans="1:8">
      <c r="A746" s="201">
        <v>44186.647685185184</v>
      </c>
      <c r="B746" s="505" t="s">
        <v>566</v>
      </c>
      <c r="C746" s="506"/>
      <c r="D746" s="506"/>
      <c r="E746" s="506"/>
      <c r="F746" s="506"/>
      <c r="G746" s="507"/>
      <c r="H746" s="203" t="s">
        <v>327</v>
      </c>
    </row>
    <row r="747" spans="1:8">
      <c r="A747" s="201">
        <v>44186.649282407408</v>
      </c>
      <c r="B747" s="505" t="s">
        <v>452</v>
      </c>
      <c r="C747" s="506"/>
      <c r="D747" s="506"/>
      <c r="E747" s="506"/>
      <c r="F747" s="506"/>
      <c r="G747" s="507"/>
      <c r="H747" s="203" t="s">
        <v>327</v>
      </c>
    </row>
    <row r="748" spans="1:8">
      <c r="A748" s="201">
        <v>44186.649351851855</v>
      </c>
      <c r="B748" s="204" t="s">
        <v>502</v>
      </c>
      <c r="C748" s="204" t="s">
        <v>855</v>
      </c>
      <c r="D748" s="204" t="s">
        <v>76</v>
      </c>
      <c r="E748" s="205">
        <v>18</v>
      </c>
      <c r="G748" s="205" t="s">
        <v>1028</v>
      </c>
      <c r="H748" s="203" t="s">
        <v>327</v>
      </c>
    </row>
    <row r="749" spans="1:8">
      <c r="A749" s="201">
        <v>44186.649363425924</v>
      </c>
      <c r="B749" s="505" t="s">
        <v>566</v>
      </c>
      <c r="C749" s="506"/>
      <c r="D749" s="506"/>
      <c r="E749" s="506"/>
      <c r="F749" s="506"/>
      <c r="G749" s="507"/>
      <c r="H749" s="203" t="s">
        <v>327</v>
      </c>
    </row>
    <row r="750" spans="1:8">
      <c r="A750" s="201">
        <v>44186.65960648148</v>
      </c>
      <c r="B750" s="505" t="s">
        <v>452</v>
      </c>
      <c r="C750" s="506"/>
      <c r="D750" s="506"/>
      <c r="E750" s="506"/>
      <c r="F750" s="506"/>
      <c r="G750" s="507"/>
      <c r="H750" s="203" t="s">
        <v>327</v>
      </c>
    </row>
    <row r="751" spans="1:8">
      <c r="A751" s="201">
        <v>44186.659837962965</v>
      </c>
      <c r="B751" s="204" t="s">
        <v>502</v>
      </c>
      <c r="C751" s="204" t="s">
        <v>1029</v>
      </c>
      <c r="D751" s="204" t="s">
        <v>86</v>
      </c>
      <c r="E751" s="205">
        <v>21</v>
      </c>
      <c r="G751" s="205">
        <v>1</v>
      </c>
      <c r="H751" s="203" t="s">
        <v>327</v>
      </c>
    </row>
    <row r="752" spans="1:8">
      <c r="A752" s="201">
        <v>44186.659907407404</v>
      </c>
      <c r="B752" s="204" t="s">
        <v>502</v>
      </c>
      <c r="C752" s="204" t="s">
        <v>1030</v>
      </c>
      <c r="D752" s="204" t="s">
        <v>253</v>
      </c>
      <c r="E752" s="205">
        <v>21</v>
      </c>
      <c r="G752" s="205">
        <v>1</v>
      </c>
      <c r="H752" s="203" t="s">
        <v>327</v>
      </c>
    </row>
    <row r="753" spans="1:8">
      <c r="A753" s="201">
        <v>44186.660057870373</v>
      </c>
      <c r="B753" s="204" t="s">
        <v>502</v>
      </c>
      <c r="C753" s="204" t="s">
        <v>1031</v>
      </c>
      <c r="D753" s="204" t="s">
        <v>284</v>
      </c>
      <c r="E753" s="205">
        <v>21</v>
      </c>
      <c r="G753" s="205">
        <v>0.22500000000000001</v>
      </c>
      <c r="H753" s="203" t="s">
        <v>327</v>
      </c>
    </row>
    <row r="754" spans="1:8">
      <c r="A754" s="201">
        <v>44186.660150462965</v>
      </c>
      <c r="B754" s="204" t="s">
        <v>502</v>
      </c>
      <c r="C754" s="204" t="s">
        <v>1032</v>
      </c>
      <c r="D754" s="204" t="s">
        <v>279</v>
      </c>
      <c r="E754" s="205">
        <v>21</v>
      </c>
      <c r="G754" s="205">
        <v>1</v>
      </c>
      <c r="H754" s="203" t="s">
        <v>327</v>
      </c>
    </row>
    <row r="755" spans="1:8">
      <c r="A755" s="201">
        <v>44186.660208333335</v>
      </c>
      <c r="B755" s="204" t="s">
        <v>502</v>
      </c>
      <c r="C755" s="204" t="s">
        <v>1033</v>
      </c>
      <c r="D755" s="204" t="s">
        <v>187</v>
      </c>
      <c r="E755" s="205">
        <v>21</v>
      </c>
      <c r="G755" s="205">
        <v>6.375</v>
      </c>
      <c r="H755" s="203" t="s">
        <v>327</v>
      </c>
    </row>
    <row r="756" spans="1:8">
      <c r="A756" s="201">
        <v>44186.660312499997</v>
      </c>
      <c r="B756" s="204" t="s">
        <v>502</v>
      </c>
      <c r="C756" s="204" t="s">
        <v>950</v>
      </c>
      <c r="D756" s="204" t="s">
        <v>256</v>
      </c>
      <c r="E756" s="205">
        <v>21</v>
      </c>
      <c r="G756" s="205">
        <v>1.425</v>
      </c>
      <c r="H756" s="203" t="s">
        <v>327</v>
      </c>
    </row>
    <row r="757" spans="1:8">
      <c r="A757" s="201">
        <v>44186.660439814812</v>
      </c>
      <c r="B757" s="204" t="s">
        <v>502</v>
      </c>
      <c r="C757" s="204" t="s">
        <v>1034</v>
      </c>
      <c r="D757" s="204" t="s">
        <v>274</v>
      </c>
      <c r="E757" s="205">
        <v>21</v>
      </c>
      <c r="G757" s="205">
        <v>6.6150000000000002</v>
      </c>
      <c r="H757" s="203" t="s">
        <v>327</v>
      </c>
    </row>
    <row r="758" spans="1:8">
      <c r="A758" s="201">
        <v>44186.660520833335</v>
      </c>
      <c r="B758" s="204" t="s">
        <v>502</v>
      </c>
      <c r="C758" s="204" t="s">
        <v>1035</v>
      </c>
      <c r="D758" s="204" t="s">
        <v>346</v>
      </c>
      <c r="E758" s="205">
        <v>21</v>
      </c>
      <c r="G758" s="205">
        <v>10</v>
      </c>
      <c r="H758" s="203" t="s">
        <v>327</v>
      </c>
    </row>
    <row r="759" spans="1:8">
      <c r="A759" s="201">
        <v>44186.660613425927</v>
      </c>
      <c r="B759" s="204" t="s">
        <v>502</v>
      </c>
      <c r="C759" s="204" t="s">
        <v>1036</v>
      </c>
      <c r="D759" s="204" t="s">
        <v>341</v>
      </c>
      <c r="E759" s="205">
        <v>21</v>
      </c>
      <c r="G759" s="205">
        <v>1</v>
      </c>
      <c r="H759" s="203" t="s">
        <v>327</v>
      </c>
    </row>
    <row r="760" spans="1:8">
      <c r="A760" s="201">
        <v>44186.660671296297</v>
      </c>
      <c r="B760" s="204" t="s">
        <v>502</v>
      </c>
      <c r="C760" s="204" t="s">
        <v>1037</v>
      </c>
      <c r="D760" s="204" t="s">
        <v>362</v>
      </c>
      <c r="E760" s="205">
        <v>21</v>
      </c>
      <c r="G760" s="205">
        <v>1</v>
      </c>
      <c r="H760" s="203" t="s">
        <v>327</v>
      </c>
    </row>
    <row r="761" spans="1:8">
      <c r="A761" s="201">
        <v>44186.66070601852</v>
      </c>
      <c r="B761" s="204" t="s">
        <v>502</v>
      </c>
      <c r="C761" s="204" t="s">
        <v>1038</v>
      </c>
      <c r="D761" s="204" t="s">
        <v>363</v>
      </c>
      <c r="E761" s="205">
        <v>21</v>
      </c>
      <c r="G761" s="205">
        <v>2</v>
      </c>
      <c r="H761" s="203" t="s">
        <v>327</v>
      </c>
    </row>
    <row r="762" spans="1:8">
      <c r="A762" s="201">
        <v>44186.660810185182</v>
      </c>
      <c r="B762" s="202" t="s">
        <v>502</v>
      </c>
      <c r="C762" s="202" t="s">
        <v>1039</v>
      </c>
      <c r="D762" s="202" t="s">
        <v>375</v>
      </c>
      <c r="E762" s="202">
        <v>21</v>
      </c>
      <c r="F762" s="202"/>
      <c r="G762" s="202">
        <v>1</v>
      </c>
      <c r="H762" s="203" t="s">
        <v>327</v>
      </c>
    </row>
    <row r="763" spans="1:8">
      <c r="A763" s="201">
        <v>44186.660821759258</v>
      </c>
      <c r="B763" s="202" t="s">
        <v>502</v>
      </c>
      <c r="C763" s="202" t="s">
        <v>869</v>
      </c>
      <c r="D763" s="202" t="s">
        <v>375</v>
      </c>
      <c r="E763" s="202">
        <v>16</v>
      </c>
      <c r="F763" s="202"/>
      <c r="G763" s="202">
        <v>1</v>
      </c>
      <c r="H763" s="203" t="s">
        <v>327</v>
      </c>
    </row>
    <row r="764" spans="1:8">
      <c r="A764" s="201">
        <v>44186.660902777781</v>
      </c>
      <c r="B764" s="202" t="s">
        <v>502</v>
      </c>
      <c r="C764" s="202" t="s">
        <v>1040</v>
      </c>
      <c r="D764" s="202" t="s">
        <v>382</v>
      </c>
      <c r="E764" s="202">
        <v>21</v>
      </c>
      <c r="F764" s="202"/>
      <c r="G764" s="202">
        <v>1</v>
      </c>
      <c r="H764" s="203" t="s">
        <v>327</v>
      </c>
    </row>
    <row r="765" spans="1:8">
      <c r="A765" s="201">
        <v>44186.660949074074</v>
      </c>
      <c r="B765" s="202" t="s">
        <v>502</v>
      </c>
      <c r="C765" s="202" t="s">
        <v>1041</v>
      </c>
      <c r="D765" s="202" t="s">
        <v>368</v>
      </c>
      <c r="E765" s="202">
        <v>21</v>
      </c>
      <c r="F765" s="202"/>
      <c r="G765" s="202">
        <v>1</v>
      </c>
      <c r="H765" s="203" t="s">
        <v>327</v>
      </c>
    </row>
    <row r="766" spans="1:8">
      <c r="A766" s="201">
        <v>44186.664317129631</v>
      </c>
      <c r="B766" s="202" t="s">
        <v>136</v>
      </c>
      <c r="C766" s="202" t="s">
        <v>1042</v>
      </c>
      <c r="D766" s="202"/>
      <c r="E766" s="202"/>
      <c r="F766" s="202"/>
      <c r="G766" s="202" t="s">
        <v>158</v>
      </c>
      <c r="H766" s="203" t="s">
        <v>327</v>
      </c>
    </row>
    <row r="767" spans="1:8">
      <c r="A767" s="201">
        <v>44186.6643287037</v>
      </c>
      <c r="B767" s="202" t="s">
        <v>136</v>
      </c>
      <c r="C767" s="202" t="s">
        <v>1043</v>
      </c>
      <c r="D767" s="202"/>
      <c r="E767" s="202"/>
      <c r="F767" s="202"/>
      <c r="G767" s="202" t="s">
        <v>158</v>
      </c>
      <c r="H767" s="203" t="s">
        <v>327</v>
      </c>
    </row>
    <row r="768" spans="1:8">
      <c r="A768" s="201">
        <v>44186.664583333331</v>
      </c>
      <c r="B768" s="202" t="s">
        <v>455</v>
      </c>
      <c r="C768" s="202" t="s">
        <v>815</v>
      </c>
      <c r="D768" s="202" t="s">
        <v>24</v>
      </c>
      <c r="E768" s="202"/>
      <c r="F768" s="202"/>
      <c r="G768" s="202">
        <v>25.5</v>
      </c>
      <c r="H768" s="203" t="s">
        <v>327</v>
      </c>
    </row>
    <row r="769" spans="1:8">
      <c r="A769" s="201">
        <v>44186.665196759262</v>
      </c>
      <c r="B769" s="202" t="s">
        <v>453</v>
      </c>
      <c r="C769" s="202" t="s">
        <v>454</v>
      </c>
      <c r="D769" s="202"/>
      <c r="E769" s="202"/>
      <c r="F769" s="202"/>
      <c r="G769" s="202">
        <v>1</v>
      </c>
      <c r="H769" s="203" t="s">
        <v>327</v>
      </c>
    </row>
    <row r="770" spans="1:8">
      <c r="A770" s="201">
        <v>44186.665196759262</v>
      </c>
      <c r="B770" s="204" t="s">
        <v>453</v>
      </c>
      <c r="C770" s="204" t="s">
        <v>454</v>
      </c>
      <c r="G770" s="205">
        <v>1</v>
      </c>
      <c r="H770" s="203" t="s">
        <v>327</v>
      </c>
    </row>
    <row r="771" spans="1:8">
      <c r="A771" s="201">
        <v>44186.665196759262</v>
      </c>
      <c r="B771" s="202" t="s">
        <v>680</v>
      </c>
      <c r="C771" s="202" t="s">
        <v>681</v>
      </c>
      <c r="D771" s="202"/>
      <c r="E771" s="202"/>
      <c r="F771" s="202"/>
      <c r="G771" s="202">
        <v>1</v>
      </c>
      <c r="H771" s="203" t="s">
        <v>327</v>
      </c>
    </row>
    <row r="772" spans="1:8">
      <c r="A772" s="201">
        <v>44186.665196759262</v>
      </c>
      <c r="B772" s="202" t="s">
        <v>680</v>
      </c>
      <c r="C772" s="202" t="s">
        <v>682</v>
      </c>
      <c r="D772" s="202"/>
      <c r="E772" s="202"/>
      <c r="F772" s="202"/>
      <c r="G772" s="202">
        <v>1</v>
      </c>
      <c r="H772" s="203" t="s">
        <v>327</v>
      </c>
    </row>
    <row r="773" spans="1:8">
      <c r="A773" s="201">
        <v>44186.665196759262</v>
      </c>
      <c r="B773" s="202" t="s">
        <v>680</v>
      </c>
      <c r="C773" s="202" t="s">
        <v>683</v>
      </c>
      <c r="D773" s="202"/>
      <c r="E773" s="202"/>
      <c r="F773" s="202"/>
      <c r="G773" s="202">
        <v>1</v>
      </c>
      <c r="H773" s="203" t="s">
        <v>327</v>
      </c>
    </row>
    <row r="774" spans="1:8">
      <c r="A774" s="201">
        <v>44186.665196759262</v>
      </c>
      <c r="B774" s="202" t="s">
        <v>680</v>
      </c>
      <c r="C774" s="202" t="s">
        <v>684</v>
      </c>
      <c r="D774" s="202"/>
      <c r="E774" s="202"/>
      <c r="F774" s="202"/>
      <c r="G774" s="202">
        <v>1</v>
      </c>
      <c r="H774" s="203" t="s">
        <v>327</v>
      </c>
    </row>
    <row r="775" spans="1:8">
      <c r="A775" s="201">
        <v>44186.665208333332</v>
      </c>
      <c r="B775" s="202" t="s">
        <v>680</v>
      </c>
      <c r="C775" s="202" t="s">
        <v>685</v>
      </c>
      <c r="D775" s="202"/>
      <c r="E775" s="202"/>
      <c r="F775" s="202"/>
      <c r="G775" s="202">
        <v>1</v>
      </c>
      <c r="H775" s="203" t="s">
        <v>327</v>
      </c>
    </row>
    <row r="776" spans="1:8">
      <c r="A776" s="201">
        <v>44186.666863425926</v>
      </c>
      <c r="B776" s="202" t="s">
        <v>453</v>
      </c>
      <c r="C776" s="202" t="s">
        <v>454</v>
      </c>
      <c r="D776" s="202"/>
      <c r="E776" s="202"/>
      <c r="F776" s="202"/>
      <c r="G776" s="202">
        <v>1</v>
      </c>
      <c r="H776" s="203" t="s">
        <v>327</v>
      </c>
    </row>
    <row r="777" spans="1:8">
      <c r="A777" s="201">
        <v>44186.666863425926</v>
      </c>
      <c r="B777" s="204" t="s">
        <v>453</v>
      </c>
      <c r="C777" s="204" t="s">
        <v>454</v>
      </c>
      <c r="G777" s="205">
        <v>1</v>
      </c>
      <c r="H777" s="203" t="s">
        <v>327</v>
      </c>
    </row>
    <row r="778" spans="1:8">
      <c r="A778" s="201">
        <v>44186.666863425926</v>
      </c>
      <c r="B778" s="204" t="s">
        <v>453</v>
      </c>
      <c r="C778" s="204" t="s">
        <v>454</v>
      </c>
      <c r="G778" s="205">
        <v>1</v>
      </c>
      <c r="H778" s="203" t="s">
        <v>327</v>
      </c>
    </row>
    <row r="779" spans="1:8">
      <c r="A779" s="201">
        <v>44186.666898148149</v>
      </c>
      <c r="B779" s="202" t="s">
        <v>680</v>
      </c>
      <c r="C779" s="202" t="s">
        <v>686</v>
      </c>
      <c r="D779" s="202"/>
      <c r="E779" s="202"/>
      <c r="F779" s="202"/>
      <c r="G779" s="202">
        <v>0</v>
      </c>
      <c r="H779" s="203" t="s">
        <v>327</v>
      </c>
    </row>
    <row r="780" spans="1:8">
      <c r="A780" s="201">
        <v>44186.666898148149</v>
      </c>
      <c r="B780" s="202" t="s">
        <v>680</v>
      </c>
      <c r="C780" s="202" t="s">
        <v>687</v>
      </c>
      <c r="D780" s="202"/>
      <c r="E780" s="202"/>
      <c r="F780" s="202"/>
      <c r="G780" s="202">
        <v>193973</v>
      </c>
      <c r="H780" s="203" t="s">
        <v>327</v>
      </c>
    </row>
    <row r="781" spans="1:8">
      <c r="A781" s="201">
        <v>44186.666944444441</v>
      </c>
      <c r="B781" s="505" t="s">
        <v>566</v>
      </c>
      <c r="C781" s="506"/>
      <c r="D781" s="506"/>
      <c r="E781" s="506"/>
      <c r="F781" s="506"/>
      <c r="G781" s="507"/>
    </row>
    <row r="782" spans="1:8">
      <c r="A782" s="201">
        <v>44186.667013888888</v>
      </c>
      <c r="B782" s="505" t="s">
        <v>452</v>
      </c>
      <c r="C782" s="506"/>
      <c r="D782" s="506"/>
      <c r="E782" s="506"/>
      <c r="F782" s="506"/>
      <c r="G782" s="507"/>
      <c r="H782" s="203" t="s">
        <v>327</v>
      </c>
    </row>
    <row r="783" spans="1:8">
      <c r="A783" s="201">
        <v>44186.667025462964</v>
      </c>
      <c r="B783" s="505" t="s">
        <v>566</v>
      </c>
      <c r="C783" s="506"/>
      <c r="D783" s="506"/>
      <c r="E783" s="506"/>
      <c r="F783" s="506"/>
      <c r="G783" s="507"/>
      <c r="H783" s="203" t="s">
        <v>327</v>
      </c>
    </row>
    <row r="784" spans="1:8">
      <c r="A784" s="201">
        <v>44186.684189814812</v>
      </c>
      <c r="B784" s="505" t="s">
        <v>452</v>
      </c>
      <c r="C784" s="506"/>
      <c r="D784" s="506"/>
      <c r="E784" s="506"/>
      <c r="F784" s="506"/>
      <c r="G784" s="507"/>
      <c r="H784" s="203" t="s">
        <v>327</v>
      </c>
    </row>
    <row r="785" spans="1:8">
      <c r="A785" s="201">
        <v>44186.684305555558</v>
      </c>
      <c r="B785" s="204" t="s">
        <v>502</v>
      </c>
      <c r="C785" s="204" t="s">
        <v>1044</v>
      </c>
      <c r="D785" s="204" t="s">
        <v>279</v>
      </c>
      <c r="E785" s="205">
        <v>20</v>
      </c>
      <c r="G785" s="205">
        <v>2</v>
      </c>
      <c r="H785" s="203" t="s">
        <v>327</v>
      </c>
    </row>
    <row r="786" spans="1:8">
      <c r="A786" s="201">
        <v>44186.684374999997</v>
      </c>
      <c r="B786" s="204" t="s">
        <v>502</v>
      </c>
      <c r="C786" s="204" t="s">
        <v>1045</v>
      </c>
      <c r="D786" s="204" t="s">
        <v>309</v>
      </c>
      <c r="E786" s="205">
        <v>20</v>
      </c>
      <c r="G786" s="205">
        <v>6.75</v>
      </c>
      <c r="H786" s="203" t="s">
        <v>327</v>
      </c>
    </row>
    <row r="787" spans="1:8">
      <c r="A787" s="201">
        <v>44186.684537037036</v>
      </c>
      <c r="B787" s="505" t="s">
        <v>566</v>
      </c>
      <c r="C787" s="506"/>
      <c r="D787" s="506"/>
      <c r="E787" s="506"/>
      <c r="F787" s="506"/>
      <c r="G787" s="507"/>
      <c r="H787" s="203" t="s">
        <v>327</v>
      </c>
    </row>
    <row r="788" spans="1:8">
      <c r="A788" s="201">
        <v>44188.570740740739</v>
      </c>
      <c r="B788" s="505" t="s">
        <v>452</v>
      </c>
      <c r="C788" s="506"/>
      <c r="D788" s="506"/>
      <c r="E788" s="506"/>
      <c r="F788" s="506"/>
      <c r="G788" s="507"/>
      <c r="H788" s="203" t="s">
        <v>327</v>
      </c>
    </row>
    <row r="789" spans="1:8">
      <c r="A789" s="201">
        <v>44188.582245370373</v>
      </c>
      <c r="B789" s="505" t="s">
        <v>566</v>
      </c>
      <c r="C789" s="506"/>
      <c r="D789" s="506"/>
      <c r="E789" s="506"/>
      <c r="F789" s="506"/>
      <c r="G789" s="507"/>
      <c r="H789" s="203" t="s">
        <v>327</v>
      </c>
    </row>
    <row r="790" spans="1:8">
      <c r="A790" s="201">
        <v>44188.582418981481</v>
      </c>
      <c r="B790" s="505" t="s">
        <v>452</v>
      </c>
      <c r="C790" s="506"/>
      <c r="D790" s="506"/>
      <c r="E790" s="506"/>
      <c r="F790" s="506"/>
      <c r="G790" s="507"/>
      <c r="H790" s="203" t="s">
        <v>327</v>
      </c>
    </row>
    <row r="791" spans="1:8">
      <c r="A791" s="201">
        <v>44188.582488425927</v>
      </c>
      <c r="B791" s="204" t="s">
        <v>502</v>
      </c>
      <c r="C791" s="204" t="s">
        <v>816</v>
      </c>
      <c r="D791" s="204" t="s">
        <v>418</v>
      </c>
      <c r="E791" s="205">
        <v>18</v>
      </c>
      <c r="G791" s="205" t="s">
        <v>458</v>
      </c>
      <c r="H791" s="203" t="s">
        <v>327</v>
      </c>
    </row>
    <row r="792" spans="1:8">
      <c r="A792" s="201">
        <v>44188.582499999997</v>
      </c>
      <c r="B792" s="204" t="s">
        <v>502</v>
      </c>
      <c r="C792" s="204" t="s">
        <v>1046</v>
      </c>
      <c r="D792" s="204" t="s">
        <v>419</v>
      </c>
      <c r="E792" s="205">
        <v>14</v>
      </c>
      <c r="G792" s="205" t="s">
        <v>458</v>
      </c>
      <c r="H792" s="203" t="s">
        <v>327</v>
      </c>
    </row>
    <row r="793" spans="1:8">
      <c r="A793" s="201">
        <v>44188.585532407407</v>
      </c>
      <c r="B793" s="204" t="s">
        <v>455</v>
      </c>
      <c r="C793" s="204" t="s">
        <v>1047</v>
      </c>
      <c r="D793" s="204" t="s">
        <v>93</v>
      </c>
      <c r="G793" s="205">
        <v>5</v>
      </c>
      <c r="H793" s="203" t="s">
        <v>327</v>
      </c>
    </row>
    <row r="794" spans="1:8">
      <c r="A794" s="201">
        <v>44188.597326388888</v>
      </c>
      <c r="B794" s="505" t="s">
        <v>566</v>
      </c>
      <c r="C794" s="506"/>
      <c r="D794" s="506"/>
      <c r="E794" s="506"/>
      <c r="F794" s="506"/>
      <c r="G794" s="507"/>
      <c r="H794" s="203" t="s">
        <v>327</v>
      </c>
    </row>
    <row r="795" spans="1:8">
      <c r="A795" s="201">
        <v>44188.714618055557</v>
      </c>
      <c r="B795" s="505" t="s">
        <v>452</v>
      </c>
      <c r="C795" s="506"/>
      <c r="D795" s="506"/>
      <c r="E795" s="506"/>
      <c r="F795" s="506"/>
      <c r="G795" s="507"/>
      <c r="H795" s="203" t="s">
        <v>327</v>
      </c>
    </row>
    <row r="796" spans="1:8">
      <c r="A796" s="201">
        <v>44188.714733796296</v>
      </c>
      <c r="B796" s="204" t="s">
        <v>455</v>
      </c>
      <c r="C796" s="204" t="s">
        <v>457</v>
      </c>
      <c r="D796" s="204" t="s">
        <v>392</v>
      </c>
      <c r="G796" s="205">
        <v>1</v>
      </c>
      <c r="H796" s="203" t="s">
        <v>327</v>
      </c>
    </row>
    <row r="797" spans="1:8">
      <c r="A797" s="201">
        <v>44188.715879629628</v>
      </c>
      <c r="B797" s="204" t="s">
        <v>507</v>
      </c>
      <c r="C797" s="204" t="s">
        <v>769</v>
      </c>
      <c r="D797" s="204" t="s">
        <v>421</v>
      </c>
      <c r="E797" s="205">
        <v>6</v>
      </c>
      <c r="G797" s="205" t="s">
        <v>458</v>
      </c>
      <c r="H797" s="203" t="s">
        <v>327</v>
      </c>
    </row>
    <row r="798" spans="1:8">
      <c r="A798" s="201">
        <v>44188.715891203705</v>
      </c>
      <c r="B798" s="204" t="s">
        <v>507</v>
      </c>
      <c r="C798" s="204" t="s">
        <v>768</v>
      </c>
      <c r="D798" s="204" t="s">
        <v>422</v>
      </c>
      <c r="E798" s="205">
        <v>6</v>
      </c>
      <c r="G798" s="205" t="s">
        <v>458</v>
      </c>
      <c r="H798" s="203" t="s">
        <v>327</v>
      </c>
    </row>
    <row r="799" spans="1:8">
      <c r="A799" s="201">
        <v>44188.730219907404</v>
      </c>
      <c r="B799" s="505" t="s">
        <v>566</v>
      </c>
      <c r="C799" s="506"/>
      <c r="D799" s="506"/>
      <c r="E799" s="506"/>
      <c r="F799" s="506"/>
      <c r="G799" s="507"/>
      <c r="H799" s="203" t="s">
        <v>327</v>
      </c>
    </row>
    <row r="800" spans="1:8">
      <c r="A800" s="201">
        <v>44189.575856481482</v>
      </c>
      <c r="B800" s="505" t="s">
        <v>452</v>
      </c>
      <c r="C800" s="506"/>
      <c r="D800" s="506"/>
      <c r="E800" s="506"/>
      <c r="F800" s="506"/>
      <c r="G800" s="507"/>
      <c r="H800" s="203" t="s">
        <v>327</v>
      </c>
    </row>
    <row r="801" spans="1:8">
      <c r="A801" s="201">
        <v>44189.576041666667</v>
      </c>
      <c r="B801" s="204" t="s">
        <v>455</v>
      </c>
      <c r="C801" s="204" t="s">
        <v>1048</v>
      </c>
      <c r="D801" s="204" t="s">
        <v>393</v>
      </c>
      <c r="G801" s="205">
        <v>16</v>
      </c>
      <c r="H801" s="203" t="s">
        <v>327</v>
      </c>
    </row>
    <row r="802" spans="1:8">
      <c r="A802" s="201">
        <v>44189.576180555552</v>
      </c>
      <c r="B802" s="204" t="s">
        <v>455</v>
      </c>
      <c r="C802" s="204" t="s">
        <v>457</v>
      </c>
      <c r="D802" s="204" t="s">
        <v>392</v>
      </c>
      <c r="G802" s="205">
        <v>3</v>
      </c>
      <c r="H802" s="203" t="s">
        <v>327</v>
      </c>
    </row>
    <row r="803" spans="1:8">
      <c r="A803" s="201">
        <v>44189.576238425929</v>
      </c>
      <c r="B803" s="204" t="s">
        <v>455</v>
      </c>
      <c r="C803" s="204" t="s">
        <v>461</v>
      </c>
      <c r="D803" s="204" t="s">
        <v>350</v>
      </c>
      <c r="G803" s="205">
        <v>5</v>
      </c>
      <c r="H803" s="203" t="s">
        <v>327</v>
      </c>
    </row>
    <row r="804" spans="1:8">
      <c r="A804" s="201">
        <v>44189.576273148145</v>
      </c>
      <c r="B804" s="204" t="s">
        <v>455</v>
      </c>
      <c r="C804" s="204" t="s">
        <v>463</v>
      </c>
      <c r="D804" s="204" t="s">
        <v>353</v>
      </c>
      <c r="G804" s="205">
        <v>20</v>
      </c>
      <c r="H804" s="203" t="s">
        <v>327</v>
      </c>
    </row>
    <row r="805" spans="1:8">
      <c r="A805" s="201">
        <v>44189.576342592591</v>
      </c>
      <c r="B805" s="204" t="s">
        <v>455</v>
      </c>
      <c r="C805" s="204" t="s">
        <v>1049</v>
      </c>
      <c r="D805" s="204" t="s">
        <v>340</v>
      </c>
      <c r="G805" s="205">
        <v>6</v>
      </c>
      <c r="H805" s="203" t="s">
        <v>327</v>
      </c>
    </row>
    <row r="806" spans="1:8">
      <c r="A806" s="201">
        <v>44189.57640046296</v>
      </c>
      <c r="B806" s="204" t="s">
        <v>455</v>
      </c>
      <c r="C806" s="204" t="s">
        <v>1050</v>
      </c>
      <c r="D806" s="204" t="s">
        <v>397</v>
      </c>
      <c r="G806" s="205">
        <v>7</v>
      </c>
      <c r="H806" s="203" t="s">
        <v>327</v>
      </c>
    </row>
    <row r="807" spans="1:8">
      <c r="A807" s="201">
        <v>44189.576423611114</v>
      </c>
      <c r="B807" s="204" t="s">
        <v>455</v>
      </c>
      <c r="C807" s="204" t="s">
        <v>468</v>
      </c>
      <c r="D807" s="204" t="s">
        <v>358</v>
      </c>
      <c r="G807" s="205">
        <v>2</v>
      </c>
      <c r="H807" s="203" t="s">
        <v>327</v>
      </c>
    </row>
    <row r="808" spans="1:8">
      <c r="A808" s="201">
        <v>44189.576493055552</v>
      </c>
      <c r="B808" s="204" t="s">
        <v>455</v>
      </c>
      <c r="C808" s="204" t="s">
        <v>470</v>
      </c>
      <c r="D808" s="204" t="s">
        <v>360</v>
      </c>
      <c r="G808" s="205">
        <v>85</v>
      </c>
      <c r="H808" s="203" t="s">
        <v>327</v>
      </c>
    </row>
    <row r="809" spans="1:8">
      <c r="A809" s="201">
        <v>44189.576562499999</v>
      </c>
      <c r="B809" s="204" t="s">
        <v>455</v>
      </c>
      <c r="C809" s="204" t="s">
        <v>472</v>
      </c>
      <c r="D809" s="204" t="s">
        <v>363</v>
      </c>
      <c r="G809" s="205">
        <v>10</v>
      </c>
      <c r="H809" s="203" t="s">
        <v>327</v>
      </c>
    </row>
    <row r="810" spans="1:8">
      <c r="A810" s="201">
        <v>44189.576620370368</v>
      </c>
      <c r="B810" s="204" t="s">
        <v>455</v>
      </c>
      <c r="C810" s="204" t="s">
        <v>472</v>
      </c>
      <c r="D810" s="204" t="s">
        <v>363</v>
      </c>
      <c r="G810" s="205">
        <v>5</v>
      </c>
      <c r="H810" s="203" t="s">
        <v>327</v>
      </c>
    </row>
    <row r="811" spans="1:8">
      <c r="A811" s="201">
        <v>44189.576689814814</v>
      </c>
      <c r="B811" s="202" t="s">
        <v>455</v>
      </c>
      <c r="C811" s="202" t="s">
        <v>1051</v>
      </c>
      <c r="D811" s="202" t="s">
        <v>364</v>
      </c>
      <c r="E811" s="202"/>
      <c r="F811" s="202"/>
      <c r="G811" s="202">
        <v>8</v>
      </c>
      <c r="H811" s="203" t="s">
        <v>327</v>
      </c>
    </row>
    <row r="812" spans="1:8">
      <c r="A812" s="201">
        <v>44189.576747685183</v>
      </c>
      <c r="B812" s="202" t="s">
        <v>455</v>
      </c>
      <c r="C812" s="202" t="s">
        <v>474</v>
      </c>
      <c r="D812" s="202" t="s">
        <v>367</v>
      </c>
      <c r="E812" s="202"/>
      <c r="F812" s="202"/>
      <c r="G812" s="202">
        <v>7</v>
      </c>
      <c r="H812" s="203" t="s">
        <v>327</v>
      </c>
    </row>
    <row r="813" spans="1:8">
      <c r="A813" s="201">
        <v>44189.576805555553</v>
      </c>
      <c r="B813" s="204" t="s">
        <v>455</v>
      </c>
      <c r="C813" s="204" t="s">
        <v>474</v>
      </c>
      <c r="D813" s="204" t="s">
        <v>367</v>
      </c>
      <c r="G813" s="205">
        <v>4</v>
      </c>
      <c r="H813" s="203" t="s">
        <v>327</v>
      </c>
    </row>
    <row r="814" spans="1:8">
      <c r="A814" s="201">
        <v>44189.576874999999</v>
      </c>
      <c r="B814" s="204" t="s">
        <v>455</v>
      </c>
      <c r="C814" s="204" t="s">
        <v>1052</v>
      </c>
      <c r="D814" s="204" t="s">
        <v>372</v>
      </c>
      <c r="G814" s="205">
        <v>1</v>
      </c>
      <c r="H814" s="203" t="s">
        <v>327</v>
      </c>
    </row>
    <row r="815" spans="1:8">
      <c r="A815" s="201">
        <v>44189.576921296299</v>
      </c>
      <c r="B815" s="204" t="s">
        <v>455</v>
      </c>
      <c r="C815" s="204" t="s">
        <v>475</v>
      </c>
      <c r="D815" s="204" t="s">
        <v>373</v>
      </c>
      <c r="G815" s="205">
        <v>15</v>
      </c>
      <c r="H815" s="203" t="s">
        <v>327</v>
      </c>
    </row>
    <row r="816" spans="1:8">
      <c r="A816" s="201">
        <v>44189.576979166668</v>
      </c>
      <c r="B816" s="204" t="s">
        <v>455</v>
      </c>
      <c r="C816" s="204" t="s">
        <v>478</v>
      </c>
      <c r="D816" s="204" t="s">
        <v>377</v>
      </c>
      <c r="G816" s="205">
        <v>1</v>
      </c>
      <c r="H816" s="203" t="s">
        <v>327</v>
      </c>
    </row>
    <row r="817" spans="1:8">
      <c r="A817" s="201">
        <v>44189.577013888891</v>
      </c>
      <c r="B817" s="204" t="s">
        <v>455</v>
      </c>
      <c r="C817" s="204" t="s">
        <v>479</v>
      </c>
      <c r="D817" s="204" t="s">
        <v>378</v>
      </c>
      <c r="G817" s="205">
        <v>3</v>
      </c>
      <c r="H817" s="203" t="s">
        <v>327</v>
      </c>
    </row>
    <row r="818" spans="1:8">
      <c r="A818" s="201">
        <v>44189.577025462961</v>
      </c>
      <c r="B818" s="204" t="s">
        <v>455</v>
      </c>
      <c r="C818" s="204" t="s">
        <v>480</v>
      </c>
      <c r="D818" s="204" t="s">
        <v>379</v>
      </c>
      <c r="G818" s="205">
        <v>1</v>
      </c>
      <c r="H818" s="203" t="s">
        <v>327</v>
      </c>
    </row>
    <row r="819" spans="1:8">
      <c r="A819" s="201">
        <v>44189.577025462961</v>
      </c>
      <c r="B819" s="202" t="s">
        <v>455</v>
      </c>
      <c r="C819" s="202" t="s">
        <v>481</v>
      </c>
      <c r="D819" s="202" t="s">
        <v>385</v>
      </c>
      <c r="E819" s="202"/>
      <c r="F819" s="202"/>
      <c r="G819" s="202">
        <v>1</v>
      </c>
      <c r="H819" s="203" t="s">
        <v>327</v>
      </c>
    </row>
    <row r="820" spans="1:8">
      <c r="A820" s="201">
        <v>44189.577048611114</v>
      </c>
      <c r="B820" s="202" t="s">
        <v>455</v>
      </c>
      <c r="C820" s="202" t="s">
        <v>1053</v>
      </c>
      <c r="D820" s="202" t="s">
        <v>388</v>
      </c>
      <c r="E820" s="202"/>
      <c r="F820" s="202"/>
      <c r="G820" s="202">
        <v>1</v>
      </c>
      <c r="H820" s="203" t="s">
        <v>327</v>
      </c>
    </row>
    <row r="821" spans="1:8">
      <c r="A821" s="201">
        <v>44189.63590277778</v>
      </c>
      <c r="B821" s="505" t="s">
        <v>566</v>
      </c>
      <c r="C821" s="506"/>
      <c r="D821" s="506"/>
      <c r="E821" s="506"/>
      <c r="F821" s="506"/>
      <c r="G821" s="507"/>
      <c r="H821" s="203" t="s">
        <v>327</v>
      </c>
    </row>
    <row r="822" spans="1:8">
      <c r="A822" s="201">
        <v>44189.645138888889</v>
      </c>
      <c r="B822" s="505" t="s">
        <v>452</v>
      </c>
      <c r="C822" s="506"/>
      <c r="D822" s="506"/>
      <c r="E822" s="506"/>
      <c r="F822" s="506"/>
      <c r="G822" s="507"/>
      <c r="H822" s="203" t="s">
        <v>327</v>
      </c>
    </row>
    <row r="823" spans="1:8">
      <c r="A823" s="201">
        <v>44189.645624999997</v>
      </c>
      <c r="B823" s="204" t="s">
        <v>507</v>
      </c>
      <c r="C823" s="204" t="s">
        <v>1054</v>
      </c>
      <c r="D823" s="204" t="s">
        <v>293</v>
      </c>
      <c r="E823" s="205">
        <v>11</v>
      </c>
      <c r="G823" s="205">
        <v>4</v>
      </c>
      <c r="H823" s="203" t="s">
        <v>327</v>
      </c>
    </row>
    <row r="824" spans="1:8">
      <c r="A824" s="201">
        <v>44189.645636574074</v>
      </c>
      <c r="B824" s="204" t="s">
        <v>507</v>
      </c>
      <c r="C824" s="204" t="s">
        <v>1055</v>
      </c>
      <c r="D824" s="204" t="s">
        <v>322</v>
      </c>
      <c r="E824" s="205">
        <v>11</v>
      </c>
      <c r="G824" s="205">
        <v>4</v>
      </c>
      <c r="H824" s="203" t="s">
        <v>327</v>
      </c>
    </row>
    <row r="825" spans="1:8">
      <c r="A825" s="201">
        <v>44189.645775462966</v>
      </c>
      <c r="B825" s="204" t="s">
        <v>507</v>
      </c>
      <c r="C825" s="204" t="s">
        <v>1056</v>
      </c>
      <c r="D825" s="204" t="s">
        <v>133</v>
      </c>
      <c r="E825" s="205">
        <v>11</v>
      </c>
      <c r="G825" s="205">
        <v>2</v>
      </c>
      <c r="H825" s="203" t="s">
        <v>327</v>
      </c>
    </row>
    <row r="826" spans="1:8">
      <c r="A826" s="201">
        <v>44189.645787037036</v>
      </c>
      <c r="B826" s="204" t="s">
        <v>507</v>
      </c>
      <c r="C826" s="204" t="s">
        <v>1057</v>
      </c>
      <c r="D826" s="204" t="s">
        <v>306</v>
      </c>
      <c r="E826" s="205">
        <v>11</v>
      </c>
      <c r="G826" s="205">
        <v>8</v>
      </c>
      <c r="H826" s="203" t="s">
        <v>327</v>
      </c>
    </row>
    <row r="827" spans="1:8">
      <c r="A827" s="201">
        <v>44189.645868055559</v>
      </c>
      <c r="B827" s="204" t="s">
        <v>507</v>
      </c>
      <c r="C827" s="204" t="s">
        <v>1058</v>
      </c>
      <c r="D827" s="204" t="s">
        <v>308</v>
      </c>
      <c r="E827" s="205">
        <v>11</v>
      </c>
      <c r="G827" s="205">
        <v>4</v>
      </c>
      <c r="H827" s="203" t="s">
        <v>327</v>
      </c>
    </row>
    <row r="828" spans="1:8">
      <c r="A828" s="201">
        <v>44189.645868055559</v>
      </c>
      <c r="B828" s="204" t="s">
        <v>507</v>
      </c>
      <c r="C828" s="204" t="s">
        <v>1059</v>
      </c>
      <c r="D828" s="204" t="s">
        <v>134</v>
      </c>
      <c r="E828" s="205">
        <v>11</v>
      </c>
      <c r="G828" s="205">
        <v>1</v>
      </c>
      <c r="H828" s="203" t="s">
        <v>327</v>
      </c>
    </row>
    <row r="829" spans="1:8">
      <c r="A829" s="201">
        <v>44189.645937499998</v>
      </c>
      <c r="B829" s="204" t="s">
        <v>507</v>
      </c>
      <c r="C829" s="204" t="s">
        <v>1060</v>
      </c>
      <c r="D829" s="204" t="s">
        <v>283</v>
      </c>
      <c r="E829" s="205">
        <v>11</v>
      </c>
      <c r="G829" s="205">
        <v>1</v>
      </c>
      <c r="H829" s="203" t="s">
        <v>327</v>
      </c>
    </row>
    <row r="830" spans="1:8">
      <c r="A830" s="201">
        <v>44189.646041666667</v>
      </c>
      <c r="B830" s="204" t="s">
        <v>507</v>
      </c>
      <c r="C830" s="204" t="s">
        <v>1061</v>
      </c>
      <c r="D830" s="204" t="s">
        <v>267</v>
      </c>
      <c r="E830" s="205">
        <v>11</v>
      </c>
      <c r="G830" s="205">
        <v>4</v>
      </c>
      <c r="H830" s="203" t="s">
        <v>327</v>
      </c>
    </row>
    <row r="831" spans="1:8">
      <c r="A831" s="201">
        <v>44189.646168981482</v>
      </c>
      <c r="B831" s="204" t="s">
        <v>507</v>
      </c>
      <c r="C831" s="204" t="s">
        <v>1062</v>
      </c>
      <c r="D831" s="204" t="s">
        <v>304</v>
      </c>
      <c r="E831" s="205">
        <v>11</v>
      </c>
      <c r="G831" s="205">
        <v>6</v>
      </c>
      <c r="H831" s="203" t="s">
        <v>327</v>
      </c>
    </row>
    <row r="832" spans="1:8">
      <c r="A832" s="201">
        <v>44189.646261574075</v>
      </c>
      <c r="B832" s="204" t="s">
        <v>507</v>
      </c>
      <c r="C832" s="204" t="s">
        <v>1063</v>
      </c>
      <c r="D832" s="204" t="s">
        <v>274</v>
      </c>
      <c r="E832" s="205">
        <v>11</v>
      </c>
      <c r="G832" s="205">
        <v>2</v>
      </c>
      <c r="H832" s="203" t="s">
        <v>327</v>
      </c>
    </row>
    <row r="833" spans="1:8">
      <c r="A833" s="201">
        <v>44189.646331018521</v>
      </c>
      <c r="B833" s="204" t="s">
        <v>507</v>
      </c>
      <c r="C833" s="204" t="s">
        <v>1064</v>
      </c>
      <c r="D833" s="204" t="s">
        <v>266</v>
      </c>
      <c r="E833" s="205">
        <v>11</v>
      </c>
      <c r="G833" s="205">
        <v>3</v>
      </c>
      <c r="H833" s="203" t="s">
        <v>327</v>
      </c>
    </row>
    <row r="834" spans="1:8">
      <c r="A834" s="201">
        <v>44189.646354166667</v>
      </c>
      <c r="B834" s="204" t="s">
        <v>507</v>
      </c>
      <c r="C834" s="204" t="s">
        <v>1065</v>
      </c>
      <c r="D834" s="204" t="s">
        <v>263</v>
      </c>
      <c r="E834" s="205">
        <v>11</v>
      </c>
      <c r="G834" s="205">
        <v>18</v>
      </c>
      <c r="H834" s="203" t="s">
        <v>327</v>
      </c>
    </row>
    <row r="835" spans="1:8">
      <c r="A835" s="201">
        <v>44189.646469907406</v>
      </c>
      <c r="B835" s="204" t="s">
        <v>507</v>
      </c>
      <c r="C835" s="204" t="s">
        <v>1066</v>
      </c>
      <c r="D835" s="204" t="s">
        <v>279</v>
      </c>
      <c r="E835" s="205">
        <v>11</v>
      </c>
      <c r="G835" s="205">
        <v>2</v>
      </c>
      <c r="H835" s="203" t="s">
        <v>327</v>
      </c>
    </row>
    <row r="836" spans="1:8">
      <c r="A836" s="201">
        <v>44189.646504629629</v>
      </c>
      <c r="B836" s="204" t="s">
        <v>507</v>
      </c>
      <c r="C836" s="204" t="s">
        <v>1067</v>
      </c>
      <c r="D836" s="204" t="s">
        <v>309</v>
      </c>
      <c r="E836" s="205">
        <v>11</v>
      </c>
      <c r="G836" s="205">
        <v>10</v>
      </c>
      <c r="H836" s="203" t="s">
        <v>327</v>
      </c>
    </row>
    <row r="837" spans="1:8">
      <c r="A837" s="201">
        <v>44189.646539351852</v>
      </c>
      <c r="B837" s="204" t="s">
        <v>507</v>
      </c>
      <c r="C837" s="204" t="s">
        <v>1068</v>
      </c>
      <c r="D837" s="204" t="s">
        <v>297</v>
      </c>
      <c r="E837" s="205">
        <v>11</v>
      </c>
      <c r="G837" s="205">
        <v>10</v>
      </c>
      <c r="H837" s="203" t="s">
        <v>327</v>
      </c>
    </row>
    <row r="838" spans="1:8">
      <c r="A838" s="201">
        <v>44189.646585648145</v>
      </c>
      <c r="B838" s="204" t="s">
        <v>507</v>
      </c>
      <c r="C838" s="204" t="s">
        <v>1069</v>
      </c>
      <c r="D838" s="204" t="s">
        <v>290</v>
      </c>
      <c r="E838" s="205">
        <v>11</v>
      </c>
      <c r="G838" s="205">
        <v>5</v>
      </c>
      <c r="H838" s="203" t="s">
        <v>327</v>
      </c>
    </row>
    <row r="839" spans="1:8">
      <c r="A839" s="201">
        <v>44189.646828703706</v>
      </c>
      <c r="B839" s="204" t="s">
        <v>507</v>
      </c>
      <c r="C839" s="204" t="s">
        <v>1070</v>
      </c>
      <c r="D839" s="204" t="s">
        <v>294</v>
      </c>
      <c r="E839" s="205">
        <v>16</v>
      </c>
      <c r="G839" s="205">
        <v>4</v>
      </c>
      <c r="H839" s="203" t="s">
        <v>327</v>
      </c>
    </row>
    <row r="840" spans="1:8">
      <c r="A840" s="201">
        <v>44189.646840277775</v>
      </c>
      <c r="B840" s="204" t="s">
        <v>507</v>
      </c>
      <c r="C840" s="204" t="s">
        <v>1071</v>
      </c>
      <c r="D840" s="204" t="s">
        <v>322</v>
      </c>
      <c r="E840" s="205">
        <v>16</v>
      </c>
      <c r="G840" s="205">
        <v>5</v>
      </c>
      <c r="H840" s="203" t="s">
        <v>327</v>
      </c>
    </row>
    <row r="841" spans="1:8">
      <c r="A841" s="201">
        <v>44189.646944444445</v>
      </c>
      <c r="B841" s="204" t="s">
        <v>507</v>
      </c>
      <c r="C841" s="204" t="s">
        <v>1072</v>
      </c>
      <c r="D841" s="204" t="s">
        <v>133</v>
      </c>
      <c r="E841" s="205">
        <v>16</v>
      </c>
      <c r="G841" s="205">
        <v>6</v>
      </c>
      <c r="H841" s="203" t="s">
        <v>327</v>
      </c>
    </row>
    <row r="842" spans="1:8">
      <c r="A842" s="201">
        <v>44189.64707175926</v>
      </c>
      <c r="B842" s="204" t="s">
        <v>507</v>
      </c>
      <c r="C842" s="204" t="s">
        <v>1073</v>
      </c>
      <c r="D842" s="204" t="s">
        <v>268</v>
      </c>
      <c r="E842" s="205">
        <v>16</v>
      </c>
      <c r="G842" s="205">
        <v>2</v>
      </c>
      <c r="H842" s="203" t="s">
        <v>327</v>
      </c>
    </row>
    <row r="843" spans="1:8">
      <c r="A843" s="201">
        <v>44189.647094907406</v>
      </c>
      <c r="B843" s="204" t="s">
        <v>507</v>
      </c>
      <c r="C843" s="204" t="s">
        <v>1074</v>
      </c>
      <c r="D843" s="204" t="s">
        <v>266</v>
      </c>
      <c r="E843" s="205">
        <v>16</v>
      </c>
      <c r="G843" s="205">
        <v>3</v>
      </c>
      <c r="H843" s="203" t="s">
        <v>327</v>
      </c>
    </row>
    <row r="844" spans="1:8">
      <c r="A844" s="201">
        <v>44189.647152777776</v>
      </c>
      <c r="B844" s="204" t="s">
        <v>507</v>
      </c>
      <c r="C844" s="204" t="s">
        <v>1075</v>
      </c>
      <c r="D844" s="204" t="s">
        <v>263</v>
      </c>
      <c r="E844" s="205">
        <v>16</v>
      </c>
      <c r="G844" s="205">
        <v>18</v>
      </c>
      <c r="H844" s="203" t="s">
        <v>327</v>
      </c>
    </row>
    <row r="845" spans="1:8">
      <c r="A845" s="201">
        <v>44189.647245370368</v>
      </c>
      <c r="B845" s="204" t="s">
        <v>507</v>
      </c>
      <c r="C845" s="204" t="s">
        <v>1076</v>
      </c>
      <c r="D845" s="204" t="s">
        <v>291</v>
      </c>
      <c r="E845" s="205">
        <v>16</v>
      </c>
      <c r="G845" s="205">
        <v>6</v>
      </c>
      <c r="H845" s="203" t="s">
        <v>327</v>
      </c>
    </row>
    <row r="846" spans="1:8">
      <c r="A846" s="201">
        <v>44189.647280092591</v>
      </c>
      <c r="B846" s="204" t="s">
        <v>507</v>
      </c>
      <c r="C846" s="204" t="s">
        <v>1077</v>
      </c>
      <c r="D846" s="204" t="s">
        <v>299</v>
      </c>
      <c r="E846" s="205">
        <v>16</v>
      </c>
      <c r="G846" s="205">
        <v>4</v>
      </c>
      <c r="H846" s="203" t="s">
        <v>327</v>
      </c>
    </row>
    <row r="847" spans="1:8">
      <c r="A847" s="201">
        <v>44189.647337962961</v>
      </c>
      <c r="B847" s="204" t="s">
        <v>507</v>
      </c>
      <c r="C847" s="204" t="s">
        <v>1078</v>
      </c>
      <c r="D847" s="204" t="s">
        <v>300</v>
      </c>
      <c r="E847" s="205">
        <v>16</v>
      </c>
      <c r="G847" s="205">
        <v>5</v>
      </c>
      <c r="H847" s="203" t="s">
        <v>327</v>
      </c>
    </row>
    <row r="848" spans="1:8">
      <c r="A848" s="201">
        <v>44189.64739583333</v>
      </c>
      <c r="B848" s="204" t="s">
        <v>507</v>
      </c>
      <c r="C848" s="204" t="s">
        <v>1079</v>
      </c>
      <c r="D848" s="204" t="s">
        <v>303</v>
      </c>
      <c r="E848" s="205">
        <v>16</v>
      </c>
      <c r="G848" s="205">
        <v>18</v>
      </c>
      <c r="H848" s="203" t="s">
        <v>327</v>
      </c>
    </row>
    <row r="849" spans="1:8">
      <c r="A849" s="201">
        <v>44189.64739583333</v>
      </c>
      <c r="B849" s="204" t="s">
        <v>507</v>
      </c>
      <c r="C849" s="204" t="s">
        <v>1080</v>
      </c>
      <c r="D849" s="204" t="s">
        <v>304</v>
      </c>
      <c r="E849" s="205">
        <v>16</v>
      </c>
      <c r="G849" s="205">
        <v>8</v>
      </c>
      <c r="H849" s="203" t="s">
        <v>327</v>
      </c>
    </row>
    <row r="850" spans="1:8">
      <c r="A850" s="201">
        <v>44189.647407407407</v>
      </c>
      <c r="B850" s="204" t="s">
        <v>507</v>
      </c>
      <c r="C850" s="204" t="s">
        <v>1081</v>
      </c>
      <c r="D850" s="204" t="s">
        <v>305</v>
      </c>
      <c r="E850" s="205">
        <v>16</v>
      </c>
      <c r="G850" s="205">
        <v>8</v>
      </c>
      <c r="H850" s="203" t="s">
        <v>327</v>
      </c>
    </row>
    <row r="851" spans="1:8">
      <c r="A851" s="201">
        <v>44189.647499999999</v>
      </c>
      <c r="B851" s="204" t="s">
        <v>507</v>
      </c>
      <c r="C851" s="204" t="s">
        <v>1082</v>
      </c>
      <c r="D851" s="204" t="s">
        <v>274</v>
      </c>
      <c r="E851" s="205">
        <v>16</v>
      </c>
      <c r="G851" s="205">
        <v>3</v>
      </c>
      <c r="H851" s="203" t="s">
        <v>327</v>
      </c>
    </row>
    <row r="852" spans="1:8">
      <c r="A852" s="201">
        <v>44189.647534722222</v>
      </c>
      <c r="B852" s="204" t="s">
        <v>507</v>
      </c>
      <c r="C852" s="204" t="s">
        <v>1083</v>
      </c>
      <c r="D852" s="204" t="s">
        <v>271</v>
      </c>
      <c r="E852" s="205">
        <v>16</v>
      </c>
      <c r="G852" s="205">
        <v>9</v>
      </c>
      <c r="H852" s="203" t="s">
        <v>327</v>
      </c>
    </row>
    <row r="853" spans="1:8">
      <c r="A853" s="201">
        <v>44189.647627314815</v>
      </c>
      <c r="B853" s="204" t="s">
        <v>507</v>
      </c>
      <c r="C853" s="204" t="s">
        <v>1084</v>
      </c>
      <c r="D853" s="204" t="s">
        <v>290</v>
      </c>
      <c r="E853" s="205">
        <v>16</v>
      </c>
      <c r="G853" s="205">
        <v>10</v>
      </c>
      <c r="H853" s="203" t="s">
        <v>327</v>
      </c>
    </row>
    <row r="854" spans="1:8">
      <c r="A854" s="201">
        <v>44189.647662037038</v>
      </c>
      <c r="B854" s="202" t="s">
        <v>507</v>
      </c>
      <c r="C854" s="202" t="s">
        <v>1085</v>
      </c>
      <c r="D854" s="202" t="s">
        <v>297</v>
      </c>
      <c r="E854" s="202">
        <v>16</v>
      </c>
      <c r="F854" s="202"/>
      <c r="G854" s="202">
        <v>1</v>
      </c>
      <c r="H854" s="203" t="s">
        <v>327</v>
      </c>
    </row>
    <row r="855" spans="1:8">
      <c r="A855" s="201">
        <v>44189.64775462963</v>
      </c>
      <c r="B855" s="202" t="s">
        <v>507</v>
      </c>
      <c r="C855" s="202" t="s">
        <v>1086</v>
      </c>
      <c r="D855" s="202" t="s">
        <v>317</v>
      </c>
      <c r="E855" s="202">
        <v>16</v>
      </c>
      <c r="F855" s="202"/>
      <c r="G855" s="202">
        <v>6</v>
      </c>
      <c r="H855" s="203" t="s">
        <v>327</v>
      </c>
    </row>
    <row r="856" spans="1:8">
      <c r="A856" s="201">
        <v>44189.647766203707</v>
      </c>
      <c r="B856" s="202" t="s">
        <v>507</v>
      </c>
      <c r="C856" s="202" t="s">
        <v>1087</v>
      </c>
      <c r="D856" s="202" t="s">
        <v>316</v>
      </c>
      <c r="E856" s="202">
        <v>16</v>
      </c>
      <c r="F856" s="202"/>
      <c r="G856" s="202">
        <v>18</v>
      </c>
      <c r="H856" s="203" t="s">
        <v>327</v>
      </c>
    </row>
    <row r="857" spans="1:8">
      <c r="A857" s="201">
        <v>44189.647858796299</v>
      </c>
      <c r="B857" s="202" t="s">
        <v>507</v>
      </c>
      <c r="C857" s="202" t="s">
        <v>1088</v>
      </c>
      <c r="D857" s="202" t="s">
        <v>282</v>
      </c>
      <c r="E857" s="202">
        <v>16</v>
      </c>
      <c r="F857" s="202"/>
      <c r="G857" s="202">
        <v>10</v>
      </c>
      <c r="H857" s="203" t="s">
        <v>327</v>
      </c>
    </row>
    <row r="858" spans="1:8">
      <c r="A858" s="201">
        <v>44189.647893518515</v>
      </c>
      <c r="B858" s="202" t="s">
        <v>507</v>
      </c>
      <c r="C858" s="202" t="s">
        <v>1089</v>
      </c>
      <c r="D858" s="202" t="s">
        <v>278</v>
      </c>
      <c r="E858" s="202">
        <v>16</v>
      </c>
      <c r="F858" s="202"/>
      <c r="G858" s="202">
        <v>4</v>
      </c>
      <c r="H858" s="203" t="s">
        <v>327</v>
      </c>
    </row>
    <row r="859" spans="1:8">
      <c r="A859" s="201">
        <v>44189.647928240738</v>
      </c>
      <c r="B859" s="202" t="s">
        <v>507</v>
      </c>
      <c r="C859" s="202" t="s">
        <v>1090</v>
      </c>
      <c r="D859" s="202" t="s">
        <v>310</v>
      </c>
      <c r="E859" s="202">
        <v>16</v>
      </c>
      <c r="F859" s="202"/>
      <c r="G859" s="202">
        <v>360</v>
      </c>
      <c r="H859" s="203" t="s">
        <v>327</v>
      </c>
    </row>
    <row r="860" spans="1:8">
      <c r="A860" s="201">
        <v>44189.647962962961</v>
      </c>
      <c r="B860" s="204" t="s">
        <v>507</v>
      </c>
      <c r="C860" s="204" t="s">
        <v>1090</v>
      </c>
      <c r="D860" s="204" t="s">
        <v>310</v>
      </c>
      <c r="E860" s="205">
        <v>16</v>
      </c>
      <c r="G860" s="205">
        <v>180</v>
      </c>
      <c r="H860" s="203" t="s">
        <v>327</v>
      </c>
    </row>
    <row r="861" spans="1:8">
      <c r="A861" s="201">
        <v>44189.648217592592</v>
      </c>
      <c r="B861" s="204" t="s">
        <v>455</v>
      </c>
      <c r="C861" s="204" t="s">
        <v>992</v>
      </c>
      <c r="D861" s="204" t="s">
        <v>274</v>
      </c>
      <c r="G861" s="205">
        <v>2.93</v>
      </c>
      <c r="H861" s="203" t="s">
        <v>327</v>
      </c>
    </row>
    <row r="862" spans="1:8">
      <c r="A862" s="201">
        <v>44189.648275462961</v>
      </c>
      <c r="B862" s="204" t="s">
        <v>455</v>
      </c>
      <c r="C862" s="204" t="s">
        <v>1091</v>
      </c>
      <c r="D862" s="204" t="s">
        <v>290</v>
      </c>
      <c r="G862" s="205">
        <v>1</v>
      </c>
      <c r="H862" s="203" t="s">
        <v>327</v>
      </c>
    </row>
    <row r="863" spans="1:8">
      <c r="A863" s="201">
        <v>44189.649062500001</v>
      </c>
      <c r="B863" s="505" t="s">
        <v>566</v>
      </c>
      <c r="C863" s="506"/>
      <c r="D863" s="506"/>
      <c r="E863" s="506"/>
      <c r="F863" s="506"/>
      <c r="G863" s="507"/>
      <c r="H863" s="203" t="s">
        <v>327</v>
      </c>
    </row>
    <row r="864" spans="1:8">
      <c r="A864" s="201">
        <v>44189.83834490741</v>
      </c>
      <c r="B864" s="505" t="s">
        <v>452</v>
      </c>
      <c r="C864" s="506"/>
      <c r="D864" s="506"/>
      <c r="E864" s="506"/>
      <c r="F864" s="506"/>
      <c r="G864" s="507"/>
      <c r="H864" s="203" t="s">
        <v>327</v>
      </c>
    </row>
    <row r="865" spans="1:8">
      <c r="A865" s="201">
        <v>44189.845567129632</v>
      </c>
      <c r="B865" s="204" t="s">
        <v>502</v>
      </c>
      <c r="C865" s="204" t="s">
        <v>1092</v>
      </c>
      <c r="D865" s="204" t="s">
        <v>293</v>
      </c>
      <c r="E865" s="205">
        <v>20</v>
      </c>
      <c r="G865" s="205">
        <v>2</v>
      </c>
      <c r="H865" s="203" t="s">
        <v>327</v>
      </c>
    </row>
    <row r="866" spans="1:8">
      <c r="A866" s="201">
        <v>44189.845636574071</v>
      </c>
      <c r="B866" s="204" t="s">
        <v>502</v>
      </c>
      <c r="C866" s="204" t="s">
        <v>1093</v>
      </c>
      <c r="D866" s="204" t="s">
        <v>298</v>
      </c>
      <c r="E866" s="205">
        <v>20</v>
      </c>
      <c r="G866" s="205">
        <v>1.1499999999999999</v>
      </c>
      <c r="H866" s="203" t="s">
        <v>327</v>
      </c>
    </row>
    <row r="867" spans="1:8">
      <c r="A867" s="201">
        <v>44189.845636574071</v>
      </c>
      <c r="B867" s="204" t="s">
        <v>502</v>
      </c>
      <c r="C867" s="204" t="s">
        <v>1094</v>
      </c>
      <c r="D867" s="204" t="s">
        <v>299</v>
      </c>
      <c r="E867" s="205">
        <v>20</v>
      </c>
      <c r="G867" s="205">
        <v>4</v>
      </c>
      <c r="H867" s="203" t="s">
        <v>327</v>
      </c>
    </row>
    <row r="868" spans="1:8">
      <c r="A868" s="201">
        <v>44189.845659722225</v>
      </c>
      <c r="B868" s="204" t="s">
        <v>502</v>
      </c>
      <c r="C868" s="204" t="s">
        <v>1095</v>
      </c>
      <c r="D868" s="204" t="s">
        <v>300</v>
      </c>
      <c r="E868" s="205">
        <v>20</v>
      </c>
      <c r="G868" s="205">
        <v>0.94499999999999995</v>
      </c>
      <c r="H868" s="203" t="s">
        <v>327</v>
      </c>
    </row>
    <row r="869" spans="1:8">
      <c r="A869" s="201">
        <v>44189.84578703704</v>
      </c>
      <c r="B869" s="204" t="s">
        <v>502</v>
      </c>
      <c r="C869" s="204" t="s">
        <v>1096</v>
      </c>
      <c r="D869" s="204" t="s">
        <v>303</v>
      </c>
      <c r="E869" s="205">
        <v>20</v>
      </c>
      <c r="G869" s="205">
        <v>3.66</v>
      </c>
      <c r="H869" s="203" t="s">
        <v>327</v>
      </c>
    </row>
    <row r="870" spans="1:8">
      <c r="A870" s="201">
        <v>44189.845856481479</v>
      </c>
      <c r="B870" s="204" t="s">
        <v>502</v>
      </c>
      <c r="C870" s="204" t="s">
        <v>1097</v>
      </c>
      <c r="D870" s="204" t="s">
        <v>304</v>
      </c>
      <c r="E870" s="205">
        <v>20</v>
      </c>
      <c r="G870" s="205">
        <v>2.5350000000000001</v>
      </c>
      <c r="H870" s="203" t="s">
        <v>327</v>
      </c>
    </row>
    <row r="871" spans="1:8">
      <c r="A871" s="201">
        <v>44189.846759259257</v>
      </c>
      <c r="B871" s="204" t="s">
        <v>502</v>
      </c>
      <c r="C871" s="204" t="s">
        <v>1098</v>
      </c>
      <c r="D871" s="204" t="s">
        <v>284</v>
      </c>
      <c r="E871" s="205">
        <v>20</v>
      </c>
      <c r="G871" s="205">
        <v>0.97</v>
      </c>
      <c r="H871" s="203" t="s">
        <v>327</v>
      </c>
    </row>
    <row r="872" spans="1:8">
      <c r="A872" s="201">
        <v>44189.846886574072</v>
      </c>
      <c r="B872" s="204" t="s">
        <v>502</v>
      </c>
      <c r="C872" s="204" t="s">
        <v>1099</v>
      </c>
      <c r="D872" s="204" t="s">
        <v>274</v>
      </c>
      <c r="E872" s="205">
        <v>20</v>
      </c>
      <c r="G872" s="205">
        <v>0.96499999999999997</v>
      </c>
      <c r="H872" s="203" t="s">
        <v>327</v>
      </c>
    </row>
    <row r="873" spans="1:8">
      <c r="A873" s="201">
        <v>44189.846932870372</v>
      </c>
      <c r="B873" s="204" t="s">
        <v>502</v>
      </c>
      <c r="C873" s="204" t="s">
        <v>1100</v>
      </c>
      <c r="D873" s="204" t="s">
        <v>310</v>
      </c>
      <c r="E873" s="205">
        <v>20</v>
      </c>
      <c r="G873" s="205">
        <v>90</v>
      </c>
      <c r="H873" s="203" t="s">
        <v>327</v>
      </c>
    </row>
    <row r="874" spans="1:8">
      <c r="A874" s="201">
        <v>44189.847083333334</v>
      </c>
      <c r="B874" s="204" t="s">
        <v>502</v>
      </c>
      <c r="C874" s="204" t="s">
        <v>1101</v>
      </c>
      <c r="D874" s="204" t="s">
        <v>271</v>
      </c>
      <c r="E874" s="205">
        <v>20</v>
      </c>
      <c r="G874" s="205">
        <v>1.51</v>
      </c>
      <c r="H874" s="203" t="s">
        <v>327</v>
      </c>
    </row>
    <row r="875" spans="1:8">
      <c r="A875" s="201">
        <v>44189.84716435185</v>
      </c>
      <c r="B875" s="204" t="s">
        <v>502</v>
      </c>
      <c r="C875" s="204" t="s">
        <v>1102</v>
      </c>
      <c r="D875" s="204" t="s">
        <v>263</v>
      </c>
      <c r="E875" s="205">
        <v>20</v>
      </c>
      <c r="G875" s="205">
        <v>3.64</v>
      </c>
      <c r="H875" s="203" t="s">
        <v>327</v>
      </c>
    </row>
    <row r="876" spans="1:8">
      <c r="A876" s="201">
        <v>44189.847303240742</v>
      </c>
      <c r="B876" s="204" t="s">
        <v>502</v>
      </c>
      <c r="C876" s="204" t="s">
        <v>1103</v>
      </c>
      <c r="D876" s="204" t="s">
        <v>86</v>
      </c>
      <c r="E876" s="205">
        <v>20</v>
      </c>
      <c r="G876" s="205">
        <v>2</v>
      </c>
      <c r="H876" s="203" t="s">
        <v>327</v>
      </c>
    </row>
    <row r="877" spans="1:8">
      <c r="A877" s="201">
        <v>44189.847442129627</v>
      </c>
      <c r="B877" s="204" t="s">
        <v>502</v>
      </c>
      <c r="C877" s="204" t="s">
        <v>1104</v>
      </c>
      <c r="D877" s="204" t="s">
        <v>95</v>
      </c>
      <c r="E877" s="205">
        <v>20</v>
      </c>
      <c r="G877" s="205">
        <v>2.5</v>
      </c>
      <c r="H877" s="203" t="s">
        <v>327</v>
      </c>
    </row>
    <row r="878" spans="1:8">
      <c r="A878" s="201">
        <v>44189.847557870373</v>
      </c>
      <c r="B878" s="204" t="s">
        <v>502</v>
      </c>
      <c r="C878" s="204" t="s">
        <v>1105</v>
      </c>
      <c r="D878" s="204" t="s">
        <v>316</v>
      </c>
      <c r="E878" s="205">
        <v>20</v>
      </c>
      <c r="G878" s="205">
        <v>8</v>
      </c>
      <c r="H878" s="203" t="s">
        <v>327</v>
      </c>
    </row>
    <row r="879" spans="1:8">
      <c r="A879" s="201">
        <v>44189.847604166665</v>
      </c>
      <c r="B879" s="204" t="s">
        <v>502</v>
      </c>
      <c r="C879" s="204" t="s">
        <v>1106</v>
      </c>
      <c r="D879" s="204" t="s">
        <v>282</v>
      </c>
      <c r="E879" s="205">
        <v>20</v>
      </c>
      <c r="G879" s="205">
        <v>0.505</v>
      </c>
      <c r="H879" s="203" t="s">
        <v>327</v>
      </c>
    </row>
    <row r="880" spans="1:8">
      <c r="A880" s="201">
        <v>44189.847627314812</v>
      </c>
      <c r="B880" s="204" t="s">
        <v>502</v>
      </c>
      <c r="C880" s="204" t="s">
        <v>1107</v>
      </c>
      <c r="D880" s="204" t="s">
        <v>278</v>
      </c>
      <c r="E880" s="205">
        <v>20</v>
      </c>
      <c r="G880" s="205">
        <v>2</v>
      </c>
      <c r="H880" s="203" t="s">
        <v>327</v>
      </c>
    </row>
    <row r="881" spans="1:8">
      <c r="A881" s="201">
        <v>44189.84783564815</v>
      </c>
      <c r="B881" s="204" t="s">
        <v>502</v>
      </c>
      <c r="C881" s="204" t="s">
        <v>1108</v>
      </c>
      <c r="D881" s="204" t="s">
        <v>70</v>
      </c>
      <c r="E881" s="205">
        <v>20</v>
      </c>
      <c r="G881" s="205">
        <v>1</v>
      </c>
      <c r="H881" s="203" t="s">
        <v>327</v>
      </c>
    </row>
    <row r="882" spans="1:8">
      <c r="A882" s="201">
        <v>44189.847928240742</v>
      </c>
      <c r="B882" s="204" t="s">
        <v>502</v>
      </c>
      <c r="C882" s="204" t="s">
        <v>952</v>
      </c>
      <c r="D882" s="204" t="s">
        <v>48</v>
      </c>
      <c r="E882" s="205">
        <v>21</v>
      </c>
      <c r="G882" s="205">
        <v>2</v>
      </c>
      <c r="H882" s="203" t="s">
        <v>327</v>
      </c>
    </row>
    <row r="883" spans="1:8">
      <c r="A883" s="201">
        <v>44189.847951388889</v>
      </c>
      <c r="B883" s="204" t="s">
        <v>502</v>
      </c>
      <c r="C883" s="204" t="s">
        <v>952</v>
      </c>
      <c r="D883" s="204" t="s">
        <v>48</v>
      </c>
      <c r="E883" s="205">
        <v>21</v>
      </c>
      <c r="G883" s="205" t="s">
        <v>458</v>
      </c>
      <c r="H883" s="203" t="s">
        <v>327</v>
      </c>
    </row>
    <row r="884" spans="1:8">
      <c r="A884" s="201">
        <v>44189.847962962966</v>
      </c>
      <c r="B884" s="204" t="s">
        <v>502</v>
      </c>
      <c r="C884" s="204" t="s">
        <v>1109</v>
      </c>
      <c r="D884" s="204" t="s">
        <v>48</v>
      </c>
      <c r="E884" s="205">
        <v>20</v>
      </c>
      <c r="G884" s="205">
        <v>2</v>
      </c>
      <c r="H884" s="203" t="s">
        <v>327</v>
      </c>
    </row>
    <row r="885" spans="1:8">
      <c r="A885" s="201">
        <v>44189.847986111112</v>
      </c>
      <c r="B885" s="204" t="s">
        <v>502</v>
      </c>
      <c r="C885" s="204" t="s">
        <v>1110</v>
      </c>
      <c r="D885" s="204" t="s">
        <v>256</v>
      </c>
      <c r="E885" s="205">
        <v>20</v>
      </c>
      <c r="G885" s="205">
        <v>3.53</v>
      </c>
      <c r="H885" s="203" t="s">
        <v>327</v>
      </c>
    </row>
    <row r="886" spans="1:8">
      <c r="A886" s="201">
        <v>44189.848101851851</v>
      </c>
      <c r="B886" s="204" t="s">
        <v>502</v>
      </c>
      <c r="C886" s="204" t="s">
        <v>1111</v>
      </c>
      <c r="D886" s="204" t="s">
        <v>45</v>
      </c>
      <c r="E886" s="205">
        <v>20</v>
      </c>
      <c r="G886" s="205">
        <v>5</v>
      </c>
      <c r="H886" s="203" t="s">
        <v>327</v>
      </c>
    </row>
    <row r="887" spans="1:8">
      <c r="A887" s="201">
        <v>44189.848171296297</v>
      </c>
      <c r="B887" s="204" t="s">
        <v>502</v>
      </c>
      <c r="C887" s="204" t="s">
        <v>1112</v>
      </c>
      <c r="D887" s="204" t="s">
        <v>109</v>
      </c>
      <c r="E887" s="205">
        <v>20</v>
      </c>
      <c r="G887" s="205">
        <v>2.875</v>
      </c>
      <c r="H887" s="203" t="s">
        <v>327</v>
      </c>
    </row>
    <row r="888" spans="1:8">
      <c r="A888" s="201">
        <v>44189.848217592589</v>
      </c>
      <c r="B888" s="204" t="s">
        <v>502</v>
      </c>
      <c r="C888" s="204" t="s">
        <v>1113</v>
      </c>
      <c r="D888" s="204" t="s">
        <v>106</v>
      </c>
      <c r="E888" s="205">
        <v>20</v>
      </c>
      <c r="G888" s="205">
        <v>25.64</v>
      </c>
      <c r="H888" s="203" t="s">
        <v>327</v>
      </c>
    </row>
    <row r="889" spans="1:8">
      <c r="A889" s="201">
        <v>44189.848437499997</v>
      </c>
      <c r="B889" s="204" t="s">
        <v>502</v>
      </c>
      <c r="C889" s="204" t="s">
        <v>1114</v>
      </c>
      <c r="D889" s="204" t="s">
        <v>56</v>
      </c>
      <c r="E889" s="205">
        <v>22</v>
      </c>
      <c r="G889" s="205">
        <v>0</v>
      </c>
      <c r="H889" s="203" t="s">
        <v>327</v>
      </c>
    </row>
    <row r="890" spans="1:8">
      <c r="A890" s="201">
        <v>44189.848599537036</v>
      </c>
      <c r="B890" s="204" t="s">
        <v>502</v>
      </c>
      <c r="C890" s="204" t="s">
        <v>1115</v>
      </c>
      <c r="D890" s="204" t="s">
        <v>11</v>
      </c>
      <c r="E890" s="205">
        <v>23</v>
      </c>
      <c r="G890" s="205">
        <v>1</v>
      </c>
      <c r="H890" s="203" t="s">
        <v>327</v>
      </c>
    </row>
    <row r="891" spans="1:8">
      <c r="A891" s="201">
        <v>44189.848657407405</v>
      </c>
      <c r="B891" s="204" t="s">
        <v>502</v>
      </c>
      <c r="C891" s="204" t="s">
        <v>1116</v>
      </c>
      <c r="D891" s="204" t="s">
        <v>15</v>
      </c>
      <c r="E891" s="205">
        <v>23</v>
      </c>
      <c r="G891" s="205">
        <v>2</v>
      </c>
      <c r="H891" s="203" t="s">
        <v>327</v>
      </c>
    </row>
    <row r="892" spans="1:8">
      <c r="A892" s="201">
        <v>44189.848703703705</v>
      </c>
      <c r="B892" s="204" t="s">
        <v>502</v>
      </c>
      <c r="C892" s="204" t="s">
        <v>1117</v>
      </c>
      <c r="D892" s="204" t="s">
        <v>228</v>
      </c>
      <c r="E892" s="205">
        <v>23</v>
      </c>
      <c r="G892" s="205">
        <v>6</v>
      </c>
      <c r="H892" s="203" t="s">
        <v>327</v>
      </c>
    </row>
    <row r="893" spans="1:8">
      <c r="A893" s="201">
        <v>44189.848969907405</v>
      </c>
      <c r="B893" s="204" t="s">
        <v>502</v>
      </c>
      <c r="C893" s="204" t="s">
        <v>1118</v>
      </c>
      <c r="D893" s="204" t="s">
        <v>256</v>
      </c>
      <c r="E893" s="205">
        <v>23</v>
      </c>
      <c r="G893" s="205">
        <v>0.47499999999999998</v>
      </c>
      <c r="H893" s="203" t="s">
        <v>327</v>
      </c>
    </row>
    <row r="894" spans="1:8">
      <c r="A894" s="201">
        <v>44189.849074074074</v>
      </c>
      <c r="B894" s="204" t="s">
        <v>502</v>
      </c>
      <c r="C894" s="204" t="s">
        <v>1119</v>
      </c>
      <c r="D894" s="204" t="s">
        <v>131</v>
      </c>
      <c r="E894" s="205">
        <v>23</v>
      </c>
      <c r="G894" s="205">
        <v>1</v>
      </c>
      <c r="H894" s="203" t="s">
        <v>327</v>
      </c>
    </row>
    <row r="895" spans="1:8">
      <c r="A895" s="201">
        <v>44189.849328703705</v>
      </c>
      <c r="B895" s="204" t="s">
        <v>502</v>
      </c>
      <c r="C895" s="204" t="s">
        <v>1120</v>
      </c>
      <c r="D895" s="204" t="s">
        <v>4</v>
      </c>
      <c r="E895" s="205">
        <v>23</v>
      </c>
      <c r="G895" s="205">
        <v>2</v>
      </c>
      <c r="H895" s="203" t="s">
        <v>327</v>
      </c>
    </row>
    <row r="896" spans="1:8">
      <c r="A896" s="201">
        <v>44189.849351851852</v>
      </c>
      <c r="B896" s="204" t="s">
        <v>502</v>
      </c>
      <c r="C896" s="204" t="s">
        <v>1121</v>
      </c>
      <c r="D896" s="204" t="s">
        <v>247</v>
      </c>
      <c r="E896" s="205">
        <v>23</v>
      </c>
      <c r="G896" s="205">
        <v>10</v>
      </c>
      <c r="H896" s="203" t="s">
        <v>327</v>
      </c>
    </row>
    <row r="897" spans="1:8">
      <c r="A897" s="201">
        <v>44189.849490740744</v>
      </c>
      <c r="B897" s="204" t="s">
        <v>502</v>
      </c>
      <c r="C897" s="204" t="s">
        <v>1122</v>
      </c>
      <c r="D897" s="204" t="s">
        <v>79</v>
      </c>
      <c r="E897" s="205">
        <v>23</v>
      </c>
      <c r="G897" s="205">
        <v>4</v>
      </c>
      <c r="H897" s="203" t="s">
        <v>327</v>
      </c>
    </row>
    <row r="898" spans="1:8">
      <c r="A898" s="201">
        <v>44189.849560185183</v>
      </c>
      <c r="B898" s="204" t="s">
        <v>502</v>
      </c>
      <c r="C898" s="204" t="s">
        <v>1123</v>
      </c>
      <c r="D898" s="204" t="s">
        <v>22</v>
      </c>
      <c r="E898" s="205">
        <v>23</v>
      </c>
      <c r="G898" s="205">
        <v>0.5</v>
      </c>
      <c r="H898" s="203" t="s">
        <v>327</v>
      </c>
    </row>
    <row r="899" spans="1:8">
      <c r="A899" s="201">
        <v>44189.849606481483</v>
      </c>
      <c r="B899" s="204" t="s">
        <v>502</v>
      </c>
      <c r="C899" s="204" t="s">
        <v>1124</v>
      </c>
      <c r="D899" s="204" t="s">
        <v>86</v>
      </c>
      <c r="E899" s="205">
        <v>23</v>
      </c>
      <c r="G899" s="205">
        <v>2</v>
      </c>
      <c r="H899" s="203" t="s">
        <v>327</v>
      </c>
    </row>
    <row r="900" spans="1:8">
      <c r="A900" s="201">
        <v>44189.849699074075</v>
      </c>
      <c r="B900" s="204" t="s">
        <v>502</v>
      </c>
      <c r="C900" s="204" t="s">
        <v>1125</v>
      </c>
      <c r="D900" s="204" t="s">
        <v>224</v>
      </c>
      <c r="E900" s="205">
        <v>23</v>
      </c>
      <c r="G900" s="205">
        <v>3</v>
      </c>
      <c r="H900" s="203" t="s">
        <v>327</v>
      </c>
    </row>
    <row r="901" spans="1:8">
      <c r="A901" s="201">
        <v>44189.849722222221</v>
      </c>
      <c r="B901" s="204" t="s">
        <v>502</v>
      </c>
      <c r="C901" s="204" t="s">
        <v>1125</v>
      </c>
      <c r="D901" s="204" t="s">
        <v>224</v>
      </c>
      <c r="E901" s="205">
        <v>23</v>
      </c>
      <c r="G901" s="205">
        <v>4</v>
      </c>
      <c r="H901" s="203" t="s">
        <v>327</v>
      </c>
    </row>
    <row r="902" spans="1:8">
      <c r="A902" s="201">
        <v>44189.849849537037</v>
      </c>
      <c r="B902" s="204" t="s">
        <v>502</v>
      </c>
      <c r="C902" s="204" t="s">
        <v>1126</v>
      </c>
      <c r="D902" s="204" t="s">
        <v>27</v>
      </c>
      <c r="E902" s="205">
        <v>23</v>
      </c>
      <c r="G902" s="205">
        <v>1</v>
      </c>
      <c r="H902" s="203" t="s">
        <v>327</v>
      </c>
    </row>
    <row r="903" spans="1:8">
      <c r="A903" s="201">
        <v>44189.84988425926</v>
      </c>
      <c r="B903" s="204" t="s">
        <v>502</v>
      </c>
      <c r="C903" s="204" t="s">
        <v>1127</v>
      </c>
      <c r="D903" s="204" t="s">
        <v>253</v>
      </c>
      <c r="E903" s="205">
        <v>23</v>
      </c>
      <c r="G903" s="205">
        <v>2</v>
      </c>
      <c r="H903" s="203" t="s">
        <v>327</v>
      </c>
    </row>
    <row r="904" spans="1:8">
      <c r="A904" s="201">
        <v>44189.849953703706</v>
      </c>
      <c r="B904" s="204" t="s">
        <v>502</v>
      </c>
      <c r="C904" s="204" t="s">
        <v>1128</v>
      </c>
      <c r="D904" s="204" t="s">
        <v>78</v>
      </c>
      <c r="E904" s="205">
        <v>23</v>
      </c>
      <c r="G904" s="205">
        <v>5</v>
      </c>
      <c r="H904" s="203" t="s">
        <v>327</v>
      </c>
    </row>
    <row r="905" spans="1:8">
      <c r="A905" s="201">
        <v>44189.850081018521</v>
      </c>
      <c r="B905" s="204" t="s">
        <v>502</v>
      </c>
      <c r="C905" s="204" t="s">
        <v>1129</v>
      </c>
      <c r="D905" s="204" t="s">
        <v>181</v>
      </c>
      <c r="E905" s="205">
        <v>23</v>
      </c>
      <c r="G905" s="205">
        <v>1.5</v>
      </c>
      <c r="H905" s="203" t="s">
        <v>327</v>
      </c>
    </row>
    <row r="906" spans="1:8">
      <c r="A906" s="201">
        <v>44189.85019675926</v>
      </c>
      <c r="B906" s="204" t="s">
        <v>502</v>
      </c>
      <c r="C906" s="204" t="s">
        <v>1130</v>
      </c>
      <c r="D906" s="204" t="s">
        <v>73</v>
      </c>
      <c r="E906" s="205">
        <v>23</v>
      </c>
      <c r="G906" s="205">
        <v>4</v>
      </c>
      <c r="H906" s="203" t="s">
        <v>327</v>
      </c>
    </row>
    <row r="907" spans="1:8">
      <c r="A907" s="201">
        <v>44189.850370370368</v>
      </c>
      <c r="B907" s="204" t="s">
        <v>502</v>
      </c>
      <c r="C907" s="204" t="s">
        <v>1131</v>
      </c>
      <c r="D907" s="204" t="s">
        <v>219</v>
      </c>
      <c r="E907" s="205">
        <v>23</v>
      </c>
      <c r="G907" s="205">
        <v>7.27</v>
      </c>
      <c r="H907" s="203" t="s">
        <v>327</v>
      </c>
    </row>
    <row r="908" spans="1:8">
      <c r="A908" s="201">
        <v>44189.850428240738</v>
      </c>
      <c r="B908" s="204" t="s">
        <v>502</v>
      </c>
      <c r="C908" s="204" t="s">
        <v>1132</v>
      </c>
      <c r="D908" s="204" t="s">
        <v>109</v>
      </c>
      <c r="E908" s="205">
        <v>23</v>
      </c>
      <c r="G908" s="205">
        <v>11.27</v>
      </c>
      <c r="H908" s="203" t="s">
        <v>327</v>
      </c>
    </row>
    <row r="909" spans="1:8">
      <c r="A909" s="201">
        <v>44189.85050925926</v>
      </c>
      <c r="B909" s="204" t="s">
        <v>502</v>
      </c>
      <c r="C909" s="204" t="s">
        <v>1133</v>
      </c>
      <c r="D909" s="204" t="s">
        <v>34</v>
      </c>
      <c r="E909" s="205">
        <v>23</v>
      </c>
      <c r="G909" s="205">
        <v>8.65</v>
      </c>
      <c r="H909" s="203" t="s">
        <v>327</v>
      </c>
    </row>
    <row r="910" spans="1:8">
      <c r="A910" s="201">
        <v>44189.850578703707</v>
      </c>
      <c r="B910" s="204" t="s">
        <v>502</v>
      </c>
      <c r="C910" s="204" t="s">
        <v>1134</v>
      </c>
      <c r="D910" s="204" t="s">
        <v>178</v>
      </c>
      <c r="E910" s="205">
        <v>23</v>
      </c>
      <c r="G910" s="205">
        <v>10</v>
      </c>
      <c r="H910" s="203" t="s">
        <v>327</v>
      </c>
    </row>
    <row r="911" spans="1:8">
      <c r="A911" s="201">
        <v>44189.850682870368</v>
      </c>
      <c r="B911" s="204" t="s">
        <v>502</v>
      </c>
      <c r="C911" s="204" t="s">
        <v>1135</v>
      </c>
      <c r="D911" s="204" t="s">
        <v>177</v>
      </c>
      <c r="E911" s="205">
        <v>23</v>
      </c>
      <c r="G911" s="205" t="s">
        <v>209</v>
      </c>
      <c r="H911" s="203" t="s">
        <v>327</v>
      </c>
    </row>
    <row r="912" spans="1:8">
      <c r="A912" s="201">
        <v>44189.850729166668</v>
      </c>
      <c r="B912" s="204" t="s">
        <v>502</v>
      </c>
      <c r="C912" s="204" t="s">
        <v>1136</v>
      </c>
      <c r="D912" s="204" t="s">
        <v>299</v>
      </c>
      <c r="E912" s="205">
        <v>23</v>
      </c>
      <c r="G912" s="205">
        <v>1.2549999999999999</v>
      </c>
      <c r="H912" s="203" t="s">
        <v>327</v>
      </c>
    </row>
    <row r="913" spans="1:8">
      <c r="A913" s="201">
        <v>44189.850763888891</v>
      </c>
      <c r="B913" s="204" t="s">
        <v>502</v>
      </c>
      <c r="C913" s="204" t="s">
        <v>1137</v>
      </c>
      <c r="D913" s="204" t="s">
        <v>303</v>
      </c>
      <c r="E913" s="205">
        <v>23</v>
      </c>
      <c r="G913" s="205">
        <v>3.1549999999999998</v>
      </c>
      <c r="H913" s="203" t="s">
        <v>327</v>
      </c>
    </row>
    <row r="914" spans="1:8">
      <c r="A914" s="201">
        <v>44189.850775462961</v>
      </c>
      <c r="B914" s="204" t="s">
        <v>502</v>
      </c>
      <c r="C914" s="204" t="s">
        <v>1138</v>
      </c>
      <c r="D914" s="204" t="s">
        <v>304</v>
      </c>
      <c r="E914" s="205">
        <v>23</v>
      </c>
      <c r="G914" s="205">
        <v>0.03</v>
      </c>
      <c r="H914" s="203" t="s">
        <v>327</v>
      </c>
    </row>
    <row r="915" spans="1:8">
      <c r="A915" s="201">
        <v>44189.850798611114</v>
      </c>
      <c r="B915" s="204" t="s">
        <v>502</v>
      </c>
      <c r="C915" s="204" t="s">
        <v>1139</v>
      </c>
      <c r="D915" s="204" t="s">
        <v>305</v>
      </c>
      <c r="E915" s="205">
        <v>23</v>
      </c>
      <c r="G915" s="205">
        <v>5.63</v>
      </c>
      <c r="H915" s="203" t="s">
        <v>327</v>
      </c>
    </row>
    <row r="916" spans="1:8">
      <c r="A916" s="201">
        <v>44189.85083333333</v>
      </c>
      <c r="B916" s="204" t="s">
        <v>502</v>
      </c>
      <c r="C916" s="204" t="s">
        <v>1140</v>
      </c>
      <c r="D916" s="204" t="s">
        <v>284</v>
      </c>
      <c r="E916" s="205">
        <v>23</v>
      </c>
      <c r="G916" s="205">
        <v>1.2050000000000001</v>
      </c>
      <c r="H916" s="203" t="s">
        <v>327</v>
      </c>
    </row>
    <row r="917" spans="1:8">
      <c r="A917" s="201">
        <v>44189.850902777776</v>
      </c>
      <c r="B917" s="204" t="s">
        <v>502</v>
      </c>
      <c r="C917" s="204" t="s">
        <v>1141</v>
      </c>
      <c r="D917" s="204" t="s">
        <v>310</v>
      </c>
      <c r="E917" s="205">
        <v>23</v>
      </c>
      <c r="G917" s="205">
        <v>19</v>
      </c>
      <c r="H917" s="203" t="s">
        <v>327</v>
      </c>
    </row>
    <row r="918" spans="1:8">
      <c r="A918" s="201">
        <v>44189.850949074076</v>
      </c>
      <c r="B918" s="204" t="s">
        <v>502</v>
      </c>
      <c r="C918" s="204" t="s">
        <v>1142</v>
      </c>
      <c r="D918" s="204" t="s">
        <v>271</v>
      </c>
      <c r="E918" s="205">
        <v>23</v>
      </c>
      <c r="G918" s="205">
        <v>0.41499999999999998</v>
      </c>
      <c r="H918" s="203" t="s">
        <v>327</v>
      </c>
    </row>
    <row r="919" spans="1:8">
      <c r="A919" s="201">
        <v>44189.851030092592</v>
      </c>
      <c r="B919" s="204" t="s">
        <v>502</v>
      </c>
      <c r="C919" s="204" t="s">
        <v>1143</v>
      </c>
      <c r="D919" s="204" t="s">
        <v>263</v>
      </c>
      <c r="E919" s="205">
        <v>23</v>
      </c>
      <c r="G919" s="205">
        <v>5.3029999999999999</v>
      </c>
      <c r="H919" s="203" t="s">
        <v>327</v>
      </c>
    </row>
    <row r="920" spans="1:8">
      <c r="A920" s="201">
        <v>44189.851134259261</v>
      </c>
      <c r="B920" s="204" t="s">
        <v>502</v>
      </c>
      <c r="C920" s="204" t="s">
        <v>1144</v>
      </c>
      <c r="D920" s="204" t="s">
        <v>290</v>
      </c>
      <c r="E920" s="205">
        <v>23</v>
      </c>
      <c r="G920" s="205">
        <v>6</v>
      </c>
      <c r="H920" s="203" t="s">
        <v>327</v>
      </c>
    </row>
    <row r="921" spans="1:8">
      <c r="A921" s="201">
        <v>44189.85125</v>
      </c>
      <c r="B921" s="204" t="s">
        <v>502</v>
      </c>
      <c r="C921" s="204" t="s">
        <v>1140</v>
      </c>
      <c r="D921" s="204" t="s">
        <v>284</v>
      </c>
      <c r="E921" s="205">
        <v>23</v>
      </c>
      <c r="G921" s="205">
        <v>3.34</v>
      </c>
      <c r="H921" s="203" t="s">
        <v>327</v>
      </c>
    </row>
    <row r="922" spans="1:8">
      <c r="A922" s="201">
        <v>44189.851493055554</v>
      </c>
      <c r="B922" s="204" t="s">
        <v>502</v>
      </c>
      <c r="C922" s="204" t="s">
        <v>1145</v>
      </c>
      <c r="D922" s="204" t="s">
        <v>363</v>
      </c>
      <c r="E922" s="205">
        <v>23</v>
      </c>
      <c r="G922" s="205">
        <v>1</v>
      </c>
      <c r="H922" s="203" t="s">
        <v>327</v>
      </c>
    </row>
    <row r="923" spans="1:8">
      <c r="A923" s="201">
        <v>44189.851574074077</v>
      </c>
      <c r="B923" s="204" t="s">
        <v>502</v>
      </c>
      <c r="C923" s="204" t="s">
        <v>1146</v>
      </c>
      <c r="D923" s="204" t="s">
        <v>401</v>
      </c>
      <c r="E923" s="205">
        <v>23</v>
      </c>
      <c r="G923" s="205">
        <v>1</v>
      </c>
      <c r="H923" s="203" t="s">
        <v>327</v>
      </c>
    </row>
    <row r="924" spans="1:8">
      <c r="A924" s="201">
        <v>44189.861747685187</v>
      </c>
      <c r="B924" s="505" t="s">
        <v>566</v>
      </c>
      <c r="C924" s="506"/>
      <c r="D924" s="506"/>
      <c r="E924" s="506"/>
      <c r="F924" s="506"/>
      <c r="G924" s="507"/>
      <c r="H924" s="203" t="s">
        <v>327</v>
      </c>
    </row>
    <row r="925" spans="1:8">
      <c r="A925" s="201">
        <v>44189.893125000002</v>
      </c>
      <c r="B925" s="505" t="s">
        <v>452</v>
      </c>
      <c r="C925" s="506"/>
      <c r="D925" s="506"/>
      <c r="E925" s="506"/>
      <c r="F925" s="506"/>
      <c r="G925" s="507"/>
      <c r="H925" s="203" t="s">
        <v>327</v>
      </c>
    </row>
    <row r="926" spans="1:8">
      <c r="A926" s="201">
        <v>44189.901597222219</v>
      </c>
      <c r="B926" s="505" t="s">
        <v>566</v>
      </c>
      <c r="C926" s="506"/>
      <c r="D926" s="506"/>
      <c r="E926" s="506"/>
      <c r="F926" s="506"/>
      <c r="G926" s="507"/>
      <c r="H926" s="203" t="s">
        <v>327</v>
      </c>
    </row>
    <row r="927" spans="1:8">
      <c r="A927" s="201">
        <v>44190.574780092589</v>
      </c>
      <c r="B927" s="505" t="s">
        <v>452</v>
      </c>
      <c r="C927" s="506"/>
      <c r="D927" s="506"/>
      <c r="E927" s="506"/>
      <c r="F927" s="506"/>
      <c r="G927" s="507"/>
      <c r="H927" s="203" t="s">
        <v>327</v>
      </c>
    </row>
    <row r="928" spans="1:8">
      <c r="A928" s="201">
        <v>44190.575358796297</v>
      </c>
      <c r="B928" s="204" t="s">
        <v>455</v>
      </c>
      <c r="C928" s="204" t="s">
        <v>1147</v>
      </c>
      <c r="D928" s="204" t="s">
        <v>131</v>
      </c>
      <c r="G928" s="205">
        <v>1</v>
      </c>
      <c r="H928" s="203" t="s">
        <v>327</v>
      </c>
    </row>
    <row r="929" spans="1:8">
      <c r="A929" s="201">
        <v>44190.578969907408</v>
      </c>
      <c r="B929" s="505" t="s">
        <v>566</v>
      </c>
      <c r="C929" s="506"/>
      <c r="D929" s="506"/>
      <c r="E929" s="506"/>
      <c r="F929" s="506"/>
      <c r="G929" s="507"/>
      <c r="H929" s="203" t="s">
        <v>327</v>
      </c>
    </row>
    <row r="930" spans="1:8">
      <c r="A930" s="201">
        <v>44190.583356481482</v>
      </c>
      <c r="B930" s="505" t="s">
        <v>452</v>
      </c>
      <c r="C930" s="506"/>
      <c r="D930" s="506"/>
      <c r="E930" s="506"/>
      <c r="F930" s="506"/>
      <c r="G930" s="507"/>
      <c r="H930" s="203" t="s">
        <v>327</v>
      </c>
    </row>
    <row r="931" spans="1:8">
      <c r="A931" s="201">
        <v>44190.591967592591</v>
      </c>
      <c r="B931" s="505" t="s">
        <v>566</v>
      </c>
      <c r="C931" s="506"/>
      <c r="D931" s="506"/>
      <c r="E931" s="506"/>
      <c r="F931" s="506"/>
      <c r="G931" s="507"/>
      <c r="H931" s="203" t="s">
        <v>327</v>
      </c>
    </row>
    <row r="932" spans="1:8">
      <c r="A932" s="201">
        <v>44190.66202546296</v>
      </c>
      <c r="B932" s="505" t="s">
        <v>452</v>
      </c>
      <c r="C932" s="506"/>
      <c r="D932" s="506"/>
      <c r="E932" s="506"/>
      <c r="F932" s="506"/>
      <c r="G932" s="507"/>
      <c r="H932" s="203" t="s">
        <v>327</v>
      </c>
    </row>
    <row r="933" spans="1:8">
      <c r="A933" s="201">
        <v>44190.662685185183</v>
      </c>
      <c r="B933" s="204" t="s">
        <v>455</v>
      </c>
      <c r="C933" s="204" t="s">
        <v>641</v>
      </c>
      <c r="G933" s="205">
        <v>20</v>
      </c>
      <c r="H933" s="203" t="s">
        <v>327</v>
      </c>
    </row>
    <row r="934" spans="1:8">
      <c r="A934" s="201">
        <v>44190.662835648145</v>
      </c>
      <c r="B934" s="204" t="s">
        <v>507</v>
      </c>
      <c r="C934" s="204" t="s">
        <v>706</v>
      </c>
      <c r="D934" s="204" t="s">
        <v>224</v>
      </c>
      <c r="E934" s="205">
        <v>9</v>
      </c>
      <c r="G934" s="205">
        <v>24</v>
      </c>
      <c r="H934" s="203" t="s">
        <v>327</v>
      </c>
    </row>
    <row r="935" spans="1:8">
      <c r="A935" s="201">
        <v>44190.662858796299</v>
      </c>
      <c r="B935" s="204" t="s">
        <v>507</v>
      </c>
      <c r="C935" s="204" t="s">
        <v>1027</v>
      </c>
      <c r="D935" s="204" t="s">
        <v>310</v>
      </c>
      <c r="E935" s="205">
        <v>9</v>
      </c>
      <c r="G935" s="205">
        <v>540</v>
      </c>
      <c r="H935" s="203" t="s">
        <v>327</v>
      </c>
    </row>
    <row r="936" spans="1:8">
      <c r="A936" s="201">
        <v>44190.662893518522</v>
      </c>
      <c r="B936" s="204" t="s">
        <v>507</v>
      </c>
      <c r="C936" s="204" t="s">
        <v>555</v>
      </c>
      <c r="D936" s="204" t="s">
        <v>310</v>
      </c>
      <c r="E936" s="205">
        <v>2</v>
      </c>
      <c r="G936" s="205">
        <v>180</v>
      </c>
      <c r="H936" s="203" t="s">
        <v>327</v>
      </c>
    </row>
    <row r="937" spans="1:8">
      <c r="A937" s="201">
        <v>44190.662916666668</v>
      </c>
      <c r="B937" s="204" t="s">
        <v>507</v>
      </c>
      <c r="C937" s="204" t="s">
        <v>1090</v>
      </c>
      <c r="D937" s="204" t="s">
        <v>310</v>
      </c>
      <c r="E937" s="205">
        <v>16</v>
      </c>
      <c r="G937" s="205">
        <v>180</v>
      </c>
      <c r="H937" s="203" t="s">
        <v>327</v>
      </c>
    </row>
    <row r="938" spans="1:8">
      <c r="A938" s="201">
        <v>44190.662951388891</v>
      </c>
      <c r="B938" s="204" t="s">
        <v>507</v>
      </c>
      <c r="C938" s="204" t="s">
        <v>838</v>
      </c>
      <c r="D938" s="204" t="s">
        <v>310</v>
      </c>
      <c r="E938" s="205">
        <v>18</v>
      </c>
      <c r="G938" s="205">
        <v>360</v>
      </c>
      <c r="H938" s="203" t="s">
        <v>327</v>
      </c>
    </row>
    <row r="939" spans="1:8">
      <c r="A939" s="201">
        <v>44190.662974537037</v>
      </c>
      <c r="B939" s="204" t="s">
        <v>507</v>
      </c>
      <c r="C939" s="204" t="s">
        <v>1024</v>
      </c>
      <c r="D939" s="204" t="s">
        <v>282</v>
      </c>
      <c r="E939" s="205">
        <v>9</v>
      </c>
      <c r="G939" s="205">
        <v>10</v>
      </c>
      <c r="H939" s="203" t="s">
        <v>327</v>
      </c>
    </row>
    <row r="940" spans="1:8">
      <c r="A940" s="201">
        <v>44190.676157407404</v>
      </c>
      <c r="B940" s="204" t="s">
        <v>455</v>
      </c>
      <c r="C940" s="204" t="s">
        <v>496</v>
      </c>
      <c r="D940" s="204" t="s">
        <v>178</v>
      </c>
      <c r="G940" s="205">
        <v>10.4</v>
      </c>
      <c r="H940" s="203" t="s">
        <v>327</v>
      </c>
    </row>
    <row r="941" spans="1:8">
      <c r="A941" s="201">
        <v>44190.676215277781</v>
      </c>
      <c r="B941" s="204" t="s">
        <v>455</v>
      </c>
      <c r="C941" s="204" t="s">
        <v>496</v>
      </c>
      <c r="D941" s="204" t="s">
        <v>178</v>
      </c>
      <c r="G941" s="205">
        <v>10.5</v>
      </c>
      <c r="H941" s="203" t="s">
        <v>327</v>
      </c>
    </row>
    <row r="942" spans="1:8">
      <c r="A942" s="201">
        <v>44190.67628472222</v>
      </c>
      <c r="B942" s="204" t="s">
        <v>455</v>
      </c>
      <c r="C942" s="204" t="s">
        <v>496</v>
      </c>
      <c r="D942" s="204" t="s">
        <v>178</v>
      </c>
      <c r="G942" s="205">
        <v>10.414999999999999</v>
      </c>
      <c r="H942" s="203" t="s">
        <v>327</v>
      </c>
    </row>
    <row r="943" spans="1:8">
      <c r="A943" s="201">
        <v>44190.676435185182</v>
      </c>
      <c r="B943" s="204" t="s">
        <v>502</v>
      </c>
      <c r="C943" s="204" t="s">
        <v>762</v>
      </c>
      <c r="D943" s="204" t="s">
        <v>178</v>
      </c>
      <c r="E943" s="205">
        <v>17</v>
      </c>
      <c r="G943" s="205">
        <v>5</v>
      </c>
      <c r="H943" s="203" t="s">
        <v>327</v>
      </c>
    </row>
    <row r="944" spans="1:8">
      <c r="A944" s="201">
        <v>44190.676516203705</v>
      </c>
      <c r="B944" s="204" t="s">
        <v>455</v>
      </c>
      <c r="C944" s="204" t="s">
        <v>496</v>
      </c>
      <c r="D944" s="204" t="s">
        <v>178</v>
      </c>
      <c r="G944" s="205">
        <v>10</v>
      </c>
      <c r="H944" s="203" t="s">
        <v>327</v>
      </c>
    </row>
    <row r="945" spans="1:8">
      <c r="A945" s="201">
        <v>44190.684050925927</v>
      </c>
      <c r="B945" s="204" t="s">
        <v>507</v>
      </c>
      <c r="C945" s="204" t="s">
        <v>1148</v>
      </c>
      <c r="D945" s="204" t="s">
        <v>393</v>
      </c>
      <c r="E945" s="205">
        <v>22</v>
      </c>
      <c r="G945" s="205">
        <v>50</v>
      </c>
      <c r="H945" s="203" t="s">
        <v>327</v>
      </c>
    </row>
    <row r="946" spans="1:8">
      <c r="A946" s="201">
        <v>44190.684166666666</v>
      </c>
      <c r="B946" s="204" t="s">
        <v>507</v>
      </c>
      <c r="C946" s="204" t="s">
        <v>1149</v>
      </c>
      <c r="D946" s="204" t="s">
        <v>383</v>
      </c>
      <c r="E946" s="205">
        <v>22</v>
      </c>
      <c r="G946" s="205">
        <v>2</v>
      </c>
      <c r="H946" s="203" t="s">
        <v>327</v>
      </c>
    </row>
    <row r="947" spans="1:8">
      <c r="A947" s="201">
        <v>44190.684432870374</v>
      </c>
      <c r="B947" s="505" t="s">
        <v>566</v>
      </c>
      <c r="C947" s="506"/>
      <c r="D947" s="506"/>
      <c r="E947" s="506"/>
      <c r="F947" s="506"/>
      <c r="G947" s="507"/>
      <c r="H947" s="203" t="s">
        <v>327</v>
      </c>
    </row>
    <row r="948" spans="1:8">
      <c r="A948" s="201">
        <v>44191.573703703703</v>
      </c>
      <c r="B948" s="505" t="s">
        <v>452</v>
      </c>
      <c r="C948" s="506"/>
      <c r="D948" s="506"/>
      <c r="E948" s="506"/>
      <c r="F948" s="506"/>
      <c r="G948" s="507"/>
      <c r="H948" s="203" t="s">
        <v>327</v>
      </c>
    </row>
    <row r="949" spans="1:8">
      <c r="A949" s="201">
        <v>44191.575509259259</v>
      </c>
      <c r="B949" s="505" t="s">
        <v>566</v>
      </c>
      <c r="C949" s="506"/>
      <c r="D949" s="506"/>
      <c r="E949" s="506"/>
      <c r="F949" s="506"/>
      <c r="G949" s="507"/>
      <c r="H949" s="203" t="s">
        <v>327</v>
      </c>
    </row>
    <row r="950" spans="1:8">
      <c r="A950" s="201">
        <v>44191.659317129626</v>
      </c>
      <c r="B950" s="505" t="s">
        <v>452</v>
      </c>
      <c r="C950" s="506"/>
      <c r="D950" s="506"/>
      <c r="E950" s="506"/>
      <c r="F950" s="506"/>
      <c r="G950" s="507"/>
      <c r="H950" s="203" t="s">
        <v>327</v>
      </c>
    </row>
    <row r="951" spans="1:8">
      <c r="A951" s="201">
        <v>44191.659375000003</v>
      </c>
      <c r="B951" s="505" t="s">
        <v>566</v>
      </c>
      <c r="C951" s="506"/>
      <c r="D951" s="506"/>
      <c r="E951" s="506"/>
      <c r="F951" s="506"/>
      <c r="G951" s="507"/>
      <c r="H951" s="203" t="s">
        <v>327</v>
      </c>
    </row>
    <row r="952" spans="1:8">
      <c r="A952" s="201">
        <v>44191.668333333335</v>
      </c>
      <c r="B952" s="505" t="s">
        <v>452</v>
      </c>
      <c r="C952" s="506"/>
      <c r="D952" s="506"/>
      <c r="E952" s="506"/>
      <c r="F952" s="506"/>
      <c r="G952" s="507"/>
      <c r="H952" s="203" t="s">
        <v>327</v>
      </c>
    </row>
    <row r="953" spans="1:8">
      <c r="A953" s="201">
        <v>44191.669293981482</v>
      </c>
      <c r="B953" s="204" t="s">
        <v>455</v>
      </c>
      <c r="C953" s="204" t="s">
        <v>499</v>
      </c>
      <c r="D953" s="204" t="s">
        <v>50</v>
      </c>
      <c r="G953" s="205">
        <v>30</v>
      </c>
      <c r="H953" s="203" t="s">
        <v>327</v>
      </c>
    </row>
    <row r="954" spans="1:8">
      <c r="A954" s="201">
        <v>44191.669351851851</v>
      </c>
      <c r="B954" s="204" t="s">
        <v>455</v>
      </c>
      <c r="C954" s="204" t="s">
        <v>499</v>
      </c>
      <c r="D954" s="204" t="s">
        <v>50</v>
      </c>
      <c r="G954" s="205">
        <v>34</v>
      </c>
      <c r="H954" s="203" t="s">
        <v>327</v>
      </c>
    </row>
    <row r="955" spans="1:8">
      <c r="A955" s="201">
        <v>44191.669502314813</v>
      </c>
      <c r="B955" s="204" t="s">
        <v>455</v>
      </c>
      <c r="C955" s="204" t="s">
        <v>1151</v>
      </c>
      <c r="D955" s="204" t="s">
        <v>50</v>
      </c>
      <c r="G955" s="205" t="s">
        <v>1150</v>
      </c>
      <c r="H955" s="203" t="s">
        <v>327</v>
      </c>
    </row>
    <row r="956" spans="1:8">
      <c r="A956" s="201">
        <v>44191.669861111113</v>
      </c>
      <c r="B956" s="204" t="s">
        <v>455</v>
      </c>
      <c r="C956" s="204" t="s">
        <v>1152</v>
      </c>
      <c r="G956" s="205" t="s">
        <v>804</v>
      </c>
    </row>
    <row r="957" spans="1:8">
      <c r="A957" s="201">
        <v>44191.66988425926</v>
      </c>
      <c r="B957" s="505" t="s">
        <v>566</v>
      </c>
      <c r="C957" s="506"/>
      <c r="D957" s="506"/>
      <c r="E957" s="506"/>
      <c r="F957" s="506"/>
      <c r="G957" s="507"/>
    </row>
    <row r="958" spans="1:8">
      <c r="A958" s="201">
        <v>44191.669988425929</v>
      </c>
      <c r="B958" s="505" t="s">
        <v>452</v>
      </c>
      <c r="C958" s="506"/>
      <c r="D958" s="506"/>
      <c r="E958" s="506"/>
      <c r="F958" s="506"/>
      <c r="G958" s="507"/>
      <c r="H958" s="203" t="s">
        <v>327</v>
      </c>
    </row>
    <row r="959" spans="1:8">
      <c r="A959" s="201">
        <v>44191.687118055554</v>
      </c>
      <c r="B959" s="505" t="s">
        <v>566</v>
      </c>
      <c r="C959" s="506"/>
      <c r="D959" s="506"/>
      <c r="E959" s="506"/>
      <c r="F959" s="506"/>
      <c r="G959" s="507"/>
      <c r="H959" s="203" t="s">
        <v>327</v>
      </c>
    </row>
    <row r="960" spans="1:8">
      <c r="A960" s="201">
        <v>44191.687557870369</v>
      </c>
      <c r="B960" s="505" t="s">
        <v>452</v>
      </c>
      <c r="C960" s="506"/>
      <c r="D960" s="506"/>
      <c r="E960" s="506"/>
      <c r="F960" s="506"/>
      <c r="G960" s="507"/>
      <c r="H960" s="203" t="s">
        <v>327</v>
      </c>
    </row>
    <row r="961" spans="1:8">
      <c r="A961" s="201">
        <v>44191.687638888892</v>
      </c>
      <c r="B961" s="505" t="s">
        <v>566</v>
      </c>
      <c r="C961" s="506"/>
      <c r="D961" s="506"/>
      <c r="E961" s="506"/>
      <c r="F961" s="506"/>
      <c r="G961" s="507"/>
      <c r="H961" s="203" t="s">
        <v>327</v>
      </c>
    </row>
    <row r="962" spans="1:8">
      <c r="A962" s="201">
        <v>44191.699525462966</v>
      </c>
      <c r="B962" s="505" t="s">
        <v>452</v>
      </c>
      <c r="C962" s="506"/>
      <c r="D962" s="506"/>
      <c r="E962" s="506"/>
      <c r="F962" s="506"/>
      <c r="G962" s="507"/>
      <c r="H962" s="203" t="s">
        <v>327</v>
      </c>
    </row>
    <row r="963" spans="1:8">
      <c r="A963" s="201">
        <v>44191.699537037035</v>
      </c>
      <c r="B963" s="505" t="s">
        <v>566</v>
      </c>
      <c r="C963" s="506"/>
      <c r="D963" s="506"/>
      <c r="E963" s="506"/>
      <c r="F963" s="506"/>
      <c r="G963" s="507"/>
      <c r="H963" s="203" t="s">
        <v>327</v>
      </c>
    </row>
    <row r="964" spans="1:8">
      <c r="A964" s="201">
        <v>44193.569050925929</v>
      </c>
      <c r="B964" s="505" t="s">
        <v>452</v>
      </c>
      <c r="C964" s="506"/>
      <c r="D964" s="506"/>
      <c r="E964" s="506"/>
      <c r="F964" s="506"/>
      <c r="G964" s="507"/>
      <c r="H964" s="203" t="s">
        <v>327</v>
      </c>
    </row>
    <row r="965" spans="1:8">
      <c r="A965" s="201">
        <v>44193.569224537037</v>
      </c>
      <c r="B965" s="204" t="s">
        <v>502</v>
      </c>
      <c r="C965" s="204" t="s">
        <v>1153</v>
      </c>
      <c r="D965" s="204" t="s">
        <v>344</v>
      </c>
      <c r="E965" s="205">
        <v>24</v>
      </c>
      <c r="G965" s="205">
        <v>1</v>
      </c>
      <c r="H965" s="203" t="s">
        <v>327</v>
      </c>
    </row>
    <row r="966" spans="1:8">
      <c r="A966" s="201">
        <v>44193.569247685184</v>
      </c>
      <c r="B966" s="204" t="s">
        <v>502</v>
      </c>
      <c r="C966" s="204" t="s">
        <v>1154</v>
      </c>
      <c r="D966" s="204" t="s">
        <v>346</v>
      </c>
      <c r="E966" s="205">
        <v>24</v>
      </c>
      <c r="G966" s="205">
        <v>10</v>
      </c>
      <c r="H966" s="203" t="s">
        <v>327</v>
      </c>
    </row>
    <row r="967" spans="1:8">
      <c r="A967" s="201">
        <v>44193.569282407407</v>
      </c>
      <c r="B967" s="204" t="s">
        <v>502</v>
      </c>
      <c r="C967" s="204" t="s">
        <v>1155</v>
      </c>
      <c r="D967" s="204" t="s">
        <v>341</v>
      </c>
      <c r="E967" s="205">
        <v>24</v>
      </c>
      <c r="G967" s="205">
        <v>1</v>
      </c>
      <c r="H967" s="203" t="s">
        <v>327</v>
      </c>
    </row>
    <row r="968" spans="1:8">
      <c r="A968" s="201">
        <v>44193.569432870368</v>
      </c>
      <c r="B968" s="204" t="s">
        <v>502</v>
      </c>
      <c r="C968" s="204" t="s">
        <v>1156</v>
      </c>
      <c r="D968" s="204" t="s">
        <v>290</v>
      </c>
      <c r="E968" s="205">
        <v>24</v>
      </c>
      <c r="G968" s="205">
        <v>4</v>
      </c>
      <c r="H968" s="203" t="s">
        <v>327</v>
      </c>
    </row>
    <row r="969" spans="1:8">
      <c r="A969" s="201">
        <v>44193.569560185184</v>
      </c>
      <c r="B969" s="204" t="s">
        <v>502</v>
      </c>
      <c r="C969" s="204" t="s">
        <v>1157</v>
      </c>
      <c r="D969" s="204" t="s">
        <v>309</v>
      </c>
      <c r="E969" s="205">
        <v>24</v>
      </c>
      <c r="G969" s="205">
        <v>10</v>
      </c>
      <c r="H969" s="203" t="s">
        <v>327</v>
      </c>
    </row>
    <row r="970" spans="1:8">
      <c r="A970" s="201">
        <v>44193.569641203707</v>
      </c>
      <c r="B970" s="204" t="s">
        <v>502</v>
      </c>
      <c r="C970" s="204" t="s">
        <v>1158</v>
      </c>
      <c r="D970" s="204" t="s">
        <v>297</v>
      </c>
      <c r="E970" s="205">
        <v>24</v>
      </c>
      <c r="G970" s="205">
        <v>5.2249999999999996</v>
      </c>
      <c r="H970" s="203" t="s">
        <v>327</v>
      </c>
    </row>
    <row r="971" spans="1:8">
      <c r="A971" s="201">
        <v>44193.569849537038</v>
      </c>
      <c r="B971" s="204" t="s">
        <v>502</v>
      </c>
      <c r="C971" s="204" t="s">
        <v>1159</v>
      </c>
      <c r="D971" s="204" t="s">
        <v>317</v>
      </c>
      <c r="E971" s="205">
        <v>24</v>
      </c>
      <c r="G971" s="205">
        <v>2.19</v>
      </c>
      <c r="H971" s="203" t="s">
        <v>327</v>
      </c>
    </row>
    <row r="972" spans="1:8">
      <c r="A972" s="201">
        <v>44193.569918981484</v>
      </c>
      <c r="B972" s="204" t="s">
        <v>502</v>
      </c>
      <c r="C972" s="204" t="s">
        <v>1160</v>
      </c>
      <c r="D972" s="204" t="s">
        <v>316</v>
      </c>
      <c r="E972" s="205">
        <v>24</v>
      </c>
      <c r="G972" s="205">
        <v>15</v>
      </c>
      <c r="H972" s="203" t="s">
        <v>327</v>
      </c>
    </row>
    <row r="973" spans="1:8">
      <c r="A973" s="201">
        <v>44193.569965277777</v>
      </c>
      <c r="B973" s="204" t="s">
        <v>502</v>
      </c>
      <c r="C973" s="204" t="s">
        <v>1161</v>
      </c>
      <c r="D973" s="204" t="s">
        <v>282</v>
      </c>
      <c r="E973" s="205">
        <v>24</v>
      </c>
      <c r="G973" s="205">
        <v>5.39</v>
      </c>
      <c r="H973" s="203" t="s">
        <v>327</v>
      </c>
    </row>
    <row r="974" spans="1:8">
      <c r="A974" s="201">
        <v>44193.569976851853</v>
      </c>
      <c r="B974" s="204" t="s">
        <v>502</v>
      </c>
      <c r="C974" s="204" t="s">
        <v>1162</v>
      </c>
      <c r="D974" s="204" t="s">
        <v>279</v>
      </c>
      <c r="E974" s="205">
        <v>24</v>
      </c>
      <c r="G974" s="205">
        <v>1</v>
      </c>
      <c r="H974" s="203" t="s">
        <v>327</v>
      </c>
    </row>
    <row r="975" spans="1:8">
      <c r="A975" s="201">
        <v>44193.570011574076</v>
      </c>
      <c r="B975" s="202" t="s">
        <v>502</v>
      </c>
      <c r="C975" s="202" t="s">
        <v>1163</v>
      </c>
      <c r="D975" s="202" t="s">
        <v>278</v>
      </c>
      <c r="E975" s="202">
        <v>24</v>
      </c>
      <c r="F975" s="202"/>
      <c r="G975" s="202">
        <v>1</v>
      </c>
      <c r="H975" s="203" t="s">
        <v>327</v>
      </c>
    </row>
    <row r="976" spans="1:8">
      <c r="A976" s="201">
        <v>44193.570092592592</v>
      </c>
      <c r="B976" s="202" t="s">
        <v>502</v>
      </c>
      <c r="C976" s="202" t="s">
        <v>1164</v>
      </c>
      <c r="D976" s="202" t="s">
        <v>320</v>
      </c>
      <c r="E976" s="202">
        <v>24</v>
      </c>
      <c r="F976" s="202"/>
      <c r="G976" s="202">
        <v>2</v>
      </c>
      <c r="H976" s="203" t="s">
        <v>327</v>
      </c>
    </row>
    <row r="977" spans="1:8">
      <c r="A977" s="201">
        <v>44193.570150462961</v>
      </c>
      <c r="B977" s="202" t="s">
        <v>502</v>
      </c>
      <c r="C977" s="202" t="s">
        <v>1165</v>
      </c>
      <c r="D977" s="202" t="s">
        <v>319</v>
      </c>
      <c r="E977" s="202">
        <v>24</v>
      </c>
      <c r="F977" s="202"/>
      <c r="G977" s="202">
        <v>6</v>
      </c>
      <c r="H977" s="203" t="s">
        <v>327</v>
      </c>
    </row>
    <row r="978" spans="1:8">
      <c r="A978" s="201">
        <v>44193.5702662037</v>
      </c>
      <c r="B978" s="202" t="s">
        <v>502</v>
      </c>
      <c r="C978" s="202" t="s">
        <v>1166</v>
      </c>
      <c r="D978" s="202" t="s">
        <v>5</v>
      </c>
      <c r="E978" s="202">
        <v>24</v>
      </c>
      <c r="F978" s="202"/>
      <c r="G978" s="202">
        <v>2</v>
      </c>
      <c r="H978" s="203" t="s">
        <v>327</v>
      </c>
    </row>
    <row r="979" spans="1:8">
      <c r="A979" s="201">
        <v>44193.570543981485</v>
      </c>
      <c r="B979" s="204" t="s">
        <v>502</v>
      </c>
      <c r="C979" s="204" t="s">
        <v>1167</v>
      </c>
      <c r="D979" s="204" t="s">
        <v>105</v>
      </c>
      <c r="E979" s="205">
        <v>24</v>
      </c>
      <c r="G979" s="205">
        <v>12.07</v>
      </c>
      <c r="H979" s="203" t="s">
        <v>327</v>
      </c>
    </row>
    <row r="980" spans="1:8">
      <c r="A980" s="201">
        <v>44193.570601851854</v>
      </c>
      <c r="B980" s="204" t="s">
        <v>502</v>
      </c>
      <c r="C980" s="204" t="s">
        <v>1168</v>
      </c>
      <c r="D980" s="204" t="s">
        <v>109</v>
      </c>
      <c r="E980" s="205">
        <v>24</v>
      </c>
      <c r="G980" s="205">
        <v>3.71</v>
      </c>
      <c r="H980" s="203" t="s">
        <v>327</v>
      </c>
    </row>
    <row r="981" spans="1:8">
      <c r="A981" s="201">
        <v>44193.57068287037</v>
      </c>
      <c r="B981" s="204" t="s">
        <v>502</v>
      </c>
      <c r="C981" s="204" t="s">
        <v>1169</v>
      </c>
      <c r="D981" s="204" t="s">
        <v>110</v>
      </c>
      <c r="E981" s="205">
        <v>24</v>
      </c>
      <c r="G981" s="205">
        <v>9.8699999999999992</v>
      </c>
      <c r="H981" s="203" t="s">
        <v>327</v>
      </c>
    </row>
    <row r="982" spans="1:8">
      <c r="A982" s="201">
        <v>44193.570752314816</v>
      </c>
      <c r="B982" s="204" t="s">
        <v>502</v>
      </c>
      <c r="C982" s="204" t="s">
        <v>1170</v>
      </c>
      <c r="D982" s="204" t="s">
        <v>106</v>
      </c>
      <c r="E982" s="205">
        <v>24</v>
      </c>
      <c r="G982" s="205">
        <v>13.1</v>
      </c>
      <c r="H982" s="203" t="s">
        <v>327</v>
      </c>
    </row>
    <row r="983" spans="1:8">
      <c r="A983" s="201">
        <v>44193.571006944447</v>
      </c>
      <c r="B983" s="204" t="s">
        <v>502</v>
      </c>
      <c r="C983" s="204" t="s">
        <v>1171</v>
      </c>
      <c r="D983" s="204" t="s">
        <v>43</v>
      </c>
      <c r="E983" s="205">
        <v>24</v>
      </c>
      <c r="G983" s="205">
        <v>37.75</v>
      </c>
      <c r="H983" s="203" t="s">
        <v>327</v>
      </c>
    </row>
    <row r="984" spans="1:8">
      <c r="A984" s="201">
        <v>44193.571226851855</v>
      </c>
      <c r="B984" s="202" t="s">
        <v>502</v>
      </c>
      <c r="C984" s="202" t="s">
        <v>1172</v>
      </c>
      <c r="D984" s="202" t="s">
        <v>247</v>
      </c>
      <c r="E984" s="215">
        <v>24</v>
      </c>
      <c r="F984" s="202"/>
      <c r="G984" s="202">
        <v>10</v>
      </c>
      <c r="H984" s="203" t="s">
        <v>327</v>
      </c>
    </row>
    <row r="985" spans="1:8">
      <c r="A985" s="201">
        <v>44193.571331018517</v>
      </c>
      <c r="B985" s="202" t="s">
        <v>502</v>
      </c>
      <c r="C985" s="202" t="s">
        <v>1173</v>
      </c>
      <c r="D985" s="202" t="s">
        <v>79</v>
      </c>
      <c r="E985" s="215">
        <v>24</v>
      </c>
      <c r="F985" s="202"/>
      <c r="G985" s="202">
        <v>4</v>
      </c>
      <c r="H985" s="203" t="s">
        <v>327</v>
      </c>
    </row>
    <row r="986" spans="1:8">
      <c r="A986" s="201">
        <v>44193.571388888886</v>
      </c>
      <c r="B986" s="204" t="s">
        <v>502</v>
      </c>
      <c r="C986" s="204" t="s">
        <v>1174</v>
      </c>
      <c r="D986" s="204" t="s">
        <v>86</v>
      </c>
      <c r="E986" s="205">
        <v>24</v>
      </c>
      <c r="G986" s="205">
        <v>2</v>
      </c>
      <c r="H986" s="203" t="s">
        <v>327</v>
      </c>
    </row>
    <row r="987" spans="1:8">
      <c r="A987" s="201">
        <v>44193.571863425925</v>
      </c>
      <c r="B987" s="204" t="s">
        <v>502</v>
      </c>
      <c r="C987" s="204" t="s">
        <v>1175</v>
      </c>
      <c r="D987" s="204" t="s">
        <v>252</v>
      </c>
      <c r="E987" s="205">
        <v>24</v>
      </c>
      <c r="G987" s="205">
        <v>1</v>
      </c>
      <c r="H987" s="203" t="s">
        <v>327</v>
      </c>
    </row>
    <row r="988" spans="1:8">
      <c r="A988" s="201">
        <v>44193.571863425925</v>
      </c>
      <c r="B988" s="204" t="s">
        <v>502</v>
      </c>
      <c r="C988" s="204" t="s">
        <v>1176</v>
      </c>
      <c r="D988" s="204" t="s">
        <v>224</v>
      </c>
      <c r="E988" s="205">
        <v>24</v>
      </c>
      <c r="G988" s="205">
        <v>1</v>
      </c>
      <c r="H988" s="203" t="s">
        <v>327</v>
      </c>
    </row>
    <row r="989" spans="1:8">
      <c r="A989" s="201">
        <v>44193.571967592594</v>
      </c>
      <c r="B989" s="202" t="s">
        <v>502</v>
      </c>
      <c r="C989" s="202" t="s">
        <v>1177</v>
      </c>
      <c r="D989" s="202" t="s">
        <v>243</v>
      </c>
      <c r="E989" s="202">
        <v>24</v>
      </c>
      <c r="F989" s="202"/>
      <c r="G989" s="202">
        <v>1</v>
      </c>
      <c r="H989" s="203" t="s">
        <v>327</v>
      </c>
    </row>
    <row r="990" spans="1:8">
      <c r="A990" s="201">
        <v>44193.572013888886</v>
      </c>
      <c r="B990" s="202" t="s">
        <v>502</v>
      </c>
      <c r="C990" s="202" t="s">
        <v>1178</v>
      </c>
      <c r="D990" s="202" t="s">
        <v>7</v>
      </c>
      <c r="E990" s="202">
        <v>24</v>
      </c>
      <c r="F990" s="202"/>
      <c r="G990" s="202">
        <v>1</v>
      </c>
      <c r="H990" s="203" t="s">
        <v>327</v>
      </c>
    </row>
    <row r="991" spans="1:8">
      <c r="A991" s="201">
        <v>44193.572060185186</v>
      </c>
      <c r="B991" s="204" t="s">
        <v>502</v>
      </c>
      <c r="C991" s="204" t="s">
        <v>1179</v>
      </c>
      <c r="D991" s="204" t="s">
        <v>236</v>
      </c>
      <c r="E991" s="205">
        <v>24</v>
      </c>
      <c r="G991" s="205">
        <v>1</v>
      </c>
      <c r="H991" s="203" t="s">
        <v>327</v>
      </c>
    </row>
    <row r="992" spans="1:8">
      <c r="A992" s="201">
        <v>44193.572129629632</v>
      </c>
      <c r="B992" s="204" t="s">
        <v>502</v>
      </c>
      <c r="C992" s="204" t="s">
        <v>1180</v>
      </c>
      <c r="D992" s="204" t="s">
        <v>253</v>
      </c>
      <c r="E992" s="205">
        <v>24</v>
      </c>
      <c r="G992" s="205">
        <v>2</v>
      </c>
      <c r="H992" s="203" t="s">
        <v>327</v>
      </c>
    </row>
    <row r="993" spans="1:8">
      <c r="A993" s="201">
        <v>44193.572256944448</v>
      </c>
      <c r="B993" s="204" t="s">
        <v>502</v>
      </c>
      <c r="C993" s="204" t="s">
        <v>1181</v>
      </c>
      <c r="D993" s="204" t="s">
        <v>60</v>
      </c>
      <c r="E993" s="205">
        <v>24</v>
      </c>
      <c r="G993" s="205">
        <v>1</v>
      </c>
      <c r="H993" s="203" t="s">
        <v>327</v>
      </c>
    </row>
    <row r="994" spans="1:8">
      <c r="A994" s="201">
        <v>44193.572291666664</v>
      </c>
      <c r="B994" s="204" t="s">
        <v>502</v>
      </c>
      <c r="C994" s="204" t="s">
        <v>1182</v>
      </c>
      <c r="D994" s="204" t="s">
        <v>62</v>
      </c>
      <c r="E994" s="205">
        <v>24</v>
      </c>
      <c r="G994" s="205">
        <v>8</v>
      </c>
      <c r="H994" s="203" t="s">
        <v>327</v>
      </c>
    </row>
    <row r="995" spans="1:8">
      <c r="A995" s="201">
        <v>44193.572418981479</v>
      </c>
      <c r="B995" s="204" t="s">
        <v>502</v>
      </c>
      <c r="C995" s="204" t="s">
        <v>1183</v>
      </c>
      <c r="D995" s="204" t="s">
        <v>76</v>
      </c>
      <c r="E995" s="205">
        <v>24</v>
      </c>
      <c r="G995" s="205">
        <v>2</v>
      </c>
      <c r="H995" s="203" t="s">
        <v>327</v>
      </c>
    </row>
    <row r="996" spans="1:8">
      <c r="A996" s="201">
        <v>44193.572465277779</v>
      </c>
      <c r="B996" s="204" t="s">
        <v>502</v>
      </c>
      <c r="C996" s="204" t="s">
        <v>855</v>
      </c>
      <c r="D996" s="204" t="s">
        <v>76</v>
      </c>
      <c r="E996" s="205">
        <v>18</v>
      </c>
      <c r="G996" s="205" t="s">
        <v>458</v>
      </c>
      <c r="H996" s="203" t="s">
        <v>327</v>
      </c>
    </row>
    <row r="997" spans="1:8">
      <c r="A997" s="201">
        <v>44193.572534722225</v>
      </c>
      <c r="B997" s="204" t="s">
        <v>502</v>
      </c>
      <c r="C997" s="204" t="s">
        <v>855</v>
      </c>
      <c r="D997" s="204" t="s">
        <v>76</v>
      </c>
      <c r="E997" s="205">
        <v>18</v>
      </c>
      <c r="G997" s="205" t="s">
        <v>1028</v>
      </c>
      <c r="H997" s="203" t="s">
        <v>327</v>
      </c>
    </row>
    <row r="998" spans="1:8">
      <c r="A998" s="201">
        <v>44193.57271990741</v>
      </c>
      <c r="B998" s="204" t="s">
        <v>502</v>
      </c>
      <c r="C998" s="204" t="s">
        <v>1184</v>
      </c>
      <c r="D998" s="204" t="s">
        <v>4</v>
      </c>
      <c r="E998" s="205">
        <v>24</v>
      </c>
      <c r="G998" s="205">
        <v>3</v>
      </c>
      <c r="H998" s="203" t="s">
        <v>327</v>
      </c>
    </row>
    <row r="999" spans="1:8">
      <c r="A999" s="201">
        <v>44193.572812500002</v>
      </c>
      <c r="B999" s="204" t="s">
        <v>502</v>
      </c>
      <c r="C999" s="204" t="s">
        <v>1185</v>
      </c>
      <c r="D999" s="204" t="s">
        <v>8</v>
      </c>
      <c r="E999" s="205">
        <v>24</v>
      </c>
      <c r="G999" s="205">
        <v>5</v>
      </c>
      <c r="H999" s="203" t="s">
        <v>327</v>
      </c>
    </row>
    <row r="1000" spans="1:8">
      <c r="A1000" s="201">
        <v>44193.572881944441</v>
      </c>
      <c r="B1000" s="202" t="s">
        <v>502</v>
      </c>
      <c r="C1000" s="202" t="s">
        <v>1186</v>
      </c>
      <c r="D1000" s="202" t="s">
        <v>73</v>
      </c>
      <c r="E1000" s="202">
        <v>24</v>
      </c>
      <c r="F1000" s="202"/>
      <c r="G1000" s="202">
        <v>6</v>
      </c>
      <c r="H1000" s="203" t="s">
        <v>327</v>
      </c>
    </row>
    <row r="1001" spans="1:8">
      <c r="A1001" s="201">
        <v>44193.572997685187</v>
      </c>
      <c r="B1001" s="202" t="s">
        <v>502</v>
      </c>
      <c r="C1001" s="202" t="s">
        <v>1187</v>
      </c>
      <c r="D1001" s="202" t="s">
        <v>18</v>
      </c>
      <c r="E1001" s="202">
        <v>24</v>
      </c>
      <c r="F1001" s="202"/>
      <c r="G1001" s="202">
        <v>1</v>
      </c>
      <c r="H1001" s="203" t="s">
        <v>327</v>
      </c>
    </row>
    <row r="1002" spans="1:8">
      <c r="A1002" s="201">
        <v>44193.573055555556</v>
      </c>
      <c r="B1002" s="204" t="s">
        <v>502</v>
      </c>
      <c r="C1002" s="204" t="s">
        <v>1188</v>
      </c>
      <c r="D1002" s="204" t="s">
        <v>228</v>
      </c>
      <c r="E1002" s="205">
        <v>24</v>
      </c>
      <c r="G1002" s="205">
        <v>7</v>
      </c>
      <c r="H1002" s="203" t="s">
        <v>327</v>
      </c>
    </row>
    <row r="1003" spans="1:8">
      <c r="A1003" s="201">
        <v>44193.573125000003</v>
      </c>
      <c r="B1003" s="204" t="s">
        <v>502</v>
      </c>
      <c r="C1003" s="204" t="s">
        <v>1189</v>
      </c>
      <c r="D1003" s="204" t="s">
        <v>87</v>
      </c>
      <c r="E1003" s="205">
        <v>24</v>
      </c>
      <c r="G1003" s="205">
        <v>1</v>
      </c>
      <c r="H1003" s="203" t="s">
        <v>327</v>
      </c>
    </row>
    <row r="1004" spans="1:8">
      <c r="A1004" s="201">
        <v>44193.573125000003</v>
      </c>
      <c r="B1004" s="204" t="s">
        <v>502</v>
      </c>
      <c r="C1004" s="204" t="s">
        <v>1190</v>
      </c>
      <c r="D1004" s="204" t="s">
        <v>88</v>
      </c>
      <c r="E1004" s="205">
        <v>24</v>
      </c>
      <c r="G1004" s="205">
        <v>1</v>
      </c>
      <c r="H1004" s="203" t="s">
        <v>327</v>
      </c>
    </row>
    <row r="1005" spans="1:8">
      <c r="A1005" s="201">
        <v>44193.573229166665</v>
      </c>
      <c r="B1005" s="204" t="s">
        <v>502</v>
      </c>
      <c r="C1005" s="204" t="s">
        <v>1191</v>
      </c>
      <c r="D1005" s="204" t="s">
        <v>256</v>
      </c>
      <c r="E1005" s="205">
        <v>24</v>
      </c>
      <c r="G1005" s="205">
        <v>3.0249999999999999</v>
      </c>
      <c r="H1005" s="203" t="s">
        <v>327</v>
      </c>
    </row>
    <row r="1006" spans="1:8">
      <c r="A1006" s="201">
        <v>44193.57340277778</v>
      </c>
      <c r="B1006" s="204" t="s">
        <v>502</v>
      </c>
      <c r="C1006" s="204" t="s">
        <v>1192</v>
      </c>
      <c r="D1006" s="204" t="s">
        <v>31</v>
      </c>
      <c r="E1006" s="205">
        <v>24</v>
      </c>
      <c r="G1006" s="205">
        <v>1</v>
      </c>
      <c r="H1006" s="203" t="s">
        <v>327</v>
      </c>
    </row>
    <row r="1007" spans="1:8">
      <c r="A1007" s="201">
        <v>44193.573414351849</v>
      </c>
      <c r="B1007" s="204" t="s">
        <v>502</v>
      </c>
      <c r="C1007" s="204" t="s">
        <v>1193</v>
      </c>
      <c r="D1007" s="204" t="s">
        <v>81</v>
      </c>
      <c r="E1007" s="205">
        <v>24</v>
      </c>
      <c r="G1007" s="205">
        <v>1</v>
      </c>
      <c r="H1007" s="203" t="s">
        <v>327</v>
      </c>
    </row>
    <row r="1008" spans="1:8">
      <c r="A1008" s="201">
        <v>44193.573576388888</v>
      </c>
      <c r="B1008" s="204" t="s">
        <v>502</v>
      </c>
      <c r="C1008" s="204" t="s">
        <v>1194</v>
      </c>
      <c r="D1008" s="204" t="s">
        <v>291</v>
      </c>
      <c r="E1008" s="205">
        <v>24</v>
      </c>
      <c r="G1008" s="205">
        <v>3.55</v>
      </c>
      <c r="H1008" s="203" t="s">
        <v>327</v>
      </c>
    </row>
    <row r="1009" spans="1:8">
      <c r="A1009" s="201">
        <v>44193.573599537034</v>
      </c>
      <c r="B1009" s="204" t="s">
        <v>502</v>
      </c>
      <c r="C1009" s="204" t="s">
        <v>1195</v>
      </c>
      <c r="D1009" s="204" t="s">
        <v>322</v>
      </c>
      <c r="E1009" s="205">
        <v>24</v>
      </c>
      <c r="G1009" s="205">
        <v>1</v>
      </c>
      <c r="H1009" s="203" t="s">
        <v>327</v>
      </c>
    </row>
    <row r="1010" spans="1:8">
      <c r="A1010" s="201">
        <v>44193.573611111111</v>
      </c>
      <c r="B1010" s="204" t="s">
        <v>502</v>
      </c>
      <c r="C1010" s="204" t="s">
        <v>1196</v>
      </c>
      <c r="D1010" s="204" t="s">
        <v>294</v>
      </c>
      <c r="E1010" s="205">
        <v>24</v>
      </c>
      <c r="G1010" s="205">
        <v>4</v>
      </c>
      <c r="H1010" s="203" t="s">
        <v>327</v>
      </c>
    </row>
    <row r="1011" spans="1:8">
      <c r="A1011" s="201">
        <v>44193.573738425926</v>
      </c>
      <c r="B1011" s="204" t="s">
        <v>502</v>
      </c>
      <c r="C1011" s="204" t="s">
        <v>1197</v>
      </c>
      <c r="D1011" s="204" t="s">
        <v>298</v>
      </c>
      <c r="E1011" s="205">
        <v>24</v>
      </c>
      <c r="G1011" s="205">
        <v>15.055</v>
      </c>
      <c r="H1011" s="203" t="s">
        <v>327</v>
      </c>
    </row>
    <row r="1012" spans="1:8">
      <c r="A1012" s="201">
        <v>44193.573831018519</v>
      </c>
      <c r="B1012" s="204" t="s">
        <v>502</v>
      </c>
      <c r="C1012" s="204" t="s">
        <v>1198</v>
      </c>
      <c r="D1012" s="204" t="s">
        <v>303</v>
      </c>
      <c r="E1012" s="205">
        <v>24</v>
      </c>
      <c r="G1012" s="205">
        <v>8.6560000000000006</v>
      </c>
      <c r="H1012" s="203" t="s">
        <v>327</v>
      </c>
    </row>
    <row r="1013" spans="1:8">
      <c r="A1013" s="201">
        <v>44193.573854166665</v>
      </c>
      <c r="B1013" s="204" t="s">
        <v>502</v>
      </c>
      <c r="C1013" s="204" t="s">
        <v>1199</v>
      </c>
      <c r="D1013" s="204" t="s">
        <v>304</v>
      </c>
      <c r="E1013" s="205">
        <v>24</v>
      </c>
      <c r="G1013" s="205">
        <v>0.90500000000000003</v>
      </c>
      <c r="H1013" s="203" t="s">
        <v>327</v>
      </c>
    </row>
    <row r="1014" spans="1:8">
      <c r="A1014" s="201">
        <v>44193.573877314811</v>
      </c>
      <c r="B1014" s="204" t="s">
        <v>502</v>
      </c>
      <c r="C1014" s="204" t="s">
        <v>1200</v>
      </c>
      <c r="D1014" s="204" t="s">
        <v>305</v>
      </c>
      <c r="E1014" s="205">
        <v>24</v>
      </c>
      <c r="G1014" s="205">
        <v>0.65</v>
      </c>
      <c r="H1014" s="203" t="s">
        <v>327</v>
      </c>
    </row>
    <row r="1015" spans="1:8">
      <c r="A1015" s="201">
        <v>44193.573946759258</v>
      </c>
      <c r="B1015" s="204" t="s">
        <v>502</v>
      </c>
      <c r="C1015" s="204" t="s">
        <v>1201</v>
      </c>
      <c r="D1015" s="204" t="s">
        <v>284</v>
      </c>
      <c r="E1015" s="205">
        <v>24</v>
      </c>
      <c r="G1015" s="205">
        <v>3.0150000000000001</v>
      </c>
      <c r="H1015" s="203" t="s">
        <v>327</v>
      </c>
    </row>
    <row r="1016" spans="1:8">
      <c r="A1016" s="201">
        <v>44193.574004629627</v>
      </c>
      <c r="B1016" s="204" t="s">
        <v>502</v>
      </c>
      <c r="C1016" s="204" t="s">
        <v>1202</v>
      </c>
      <c r="D1016" s="204" t="s">
        <v>310</v>
      </c>
      <c r="E1016" s="205">
        <v>24</v>
      </c>
      <c r="G1016" s="205">
        <v>30</v>
      </c>
      <c r="H1016" s="203" t="s">
        <v>327</v>
      </c>
    </row>
    <row r="1017" spans="1:8">
      <c r="A1017" s="201">
        <v>44193.574108796296</v>
      </c>
      <c r="B1017" s="204" t="s">
        <v>502</v>
      </c>
      <c r="C1017" s="204" t="s">
        <v>1203</v>
      </c>
      <c r="D1017" s="204" t="s">
        <v>274</v>
      </c>
      <c r="E1017" s="205">
        <v>24</v>
      </c>
      <c r="G1017" s="205">
        <v>1.32</v>
      </c>
      <c r="H1017" s="203" t="s">
        <v>327</v>
      </c>
    </row>
    <row r="1018" spans="1:8">
      <c r="A1018" s="201">
        <v>44193.574166666665</v>
      </c>
      <c r="B1018" s="204" t="s">
        <v>502</v>
      </c>
      <c r="C1018" s="204" t="s">
        <v>1204</v>
      </c>
      <c r="D1018" s="204" t="s">
        <v>273</v>
      </c>
      <c r="E1018" s="205">
        <v>24</v>
      </c>
      <c r="G1018" s="205">
        <v>0.45</v>
      </c>
      <c r="H1018" s="203" t="s">
        <v>327</v>
      </c>
    </row>
    <row r="1019" spans="1:8">
      <c r="A1019" s="201">
        <v>44193.574270833335</v>
      </c>
      <c r="B1019" s="204" t="s">
        <v>502</v>
      </c>
      <c r="C1019" s="204" t="s">
        <v>1205</v>
      </c>
      <c r="D1019" s="204" t="s">
        <v>271</v>
      </c>
      <c r="E1019" s="205">
        <v>24</v>
      </c>
      <c r="G1019" s="205">
        <v>1.03</v>
      </c>
      <c r="H1019" s="203" t="s">
        <v>327</v>
      </c>
    </row>
    <row r="1020" spans="1:8">
      <c r="A1020" s="201">
        <v>44193.574340277781</v>
      </c>
      <c r="B1020" s="204" t="s">
        <v>502</v>
      </c>
      <c r="C1020" s="204" t="s">
        <v>1205</v>
      </c>
      <c r="D1020" s="204" t="s">
        <v>271</v>
      </c>
      <c r="E1020" s="205">
        <v>24</v>
      </c>
      <c r="G1020" s="205">
        <v>0.7</v>
      </c>
      <c r="H1020" s="203" t="s">
        <v>327</v>
      </c>
    </row>
    <row r="1021" spans="1:8">
      <c r="A1021" s="201">
        <v>44193.574363425927</v>
      </c>
      <c r="B1021" s="204" t="s">
        <v>502</v>
      </c>
      <c r="C1021" s="204" t="s">
        <v>1206</v>
      </c>
      <c r="D1021" s="204" t="s">
        <v>272</v>
      </c>
      <c r="E1021" s="205">
        <v>24</v>
      </c>
      <c r="G1021" s="205">
        <v>0.35</v>
      </c>
      <c r="H1021" s="203" t="s">
        <v>327</v>
      </c>
    </row>
    <row r="1022" spans="1:8">
      <c r="A1022" s="201">
        <v>44193.57439814815</v>
      </c>
      <c r="B1022" s="204" t="s">
        <v>502</v>
      </c>
      <c r="C1022" s="204" t="s">
        <v>1207</v>
      </c>
      <c r="D1022" s="204" t="s">
        <v>266</v>
      </c>
      <c r="E1022" s="205">
        <v>24</v>
      </c>
      <c r="G1022" s="205">
        <v>2</v>
      </c>
      <c r="H1022" s="203" t="s">
        <v>327</v>
      </c>
    </row>
    <row r="1023" spans="1:8">
      <c r="A1023" s="201">
        <v>44193.574467592596</v>
      </c>
      <c r="B1023" s="204" t="s">
        <v>502</v>
      </c>
      <c r="C1023" s="204" t="s">
        <v>1208</v>
      </c>
      <c r="D1023" s="204" t="s">
        <v>263</v>
      </c>
      <c r="E1023" s="205">
        <v>24</v>
      </c>
      <c r="G1023" s="205">
        <v>6.415</v>
      </c>
      <c r="H1023" s="203" t="s">
        <v>327</v>
      </c>
    </row>
    <row r="1024" spans="1:8">
      <c r="A1024" s="201">
        <v>44193.578564814816</v>
      </c>
      <c r="B1024" s="505" t="s">
        <v>566</v>
      </c>
      <c r="C1024" s="506"/>
      <c r="D1024" s="506"/>
      <c r="E1024" s="506"/>
      <c r="F1024" s="506"/>
      <c r="G1024" s="507"/>
      <c r="H1024" s="203" t="s">
        <v>327</v>
      </c>
    </row>
    <row r="1025" spans="1:8">
      <c r="A1025" s="201">
        <v>44193.579131944447</v>
      </c>
      <c r="B1025" s="505" t="s">
        <v>452</v>
      </c>
      <c r="C1025" s="506"/>
      <c r="D1025" s="506"/>
      <c r="E1025" s="506"/>
      <c r="F1025" s="506"/>
      <c r="G1025" s="507"/>
      <c r="H1025" s="203" t="s">
        <v>327</v>
      </c>
    </row>
    <row r="1026" spans="1:8">
      <c r="A1026" s="201">
        <v>44193.579224537039</v>
      </c>
      <c r="B1026" s="202" t="s">
        <v>502</v>
      </c>
      <c r="C1026" s="202" t="s">
        <v>855</v>
      </c>
      <c r="D1026" s="202" t="s">
        <v>76</v>
      </c>
      <c r="E1026" s="202">
        <v>18</v>
      </c>
      <c r="F1026" s="202"/>
      <c r="G1026" s="202">
        <v>10</v>
      </c>
      <c r="H1026" s="203" t="s">
        <v>327</v>
      </c>
    </row>
    <row r="1027" spans="1:8">
      <c r="A1027" s="201">
        <v>44193.579247685186</v>
      </c>
      <c r="B1027" s="202" t="s">
        <v>502</v>
      </c>
      <c r="C1027" s="202" t="s">
        <v>1209</v>
      </c>
      <c r="D1027" s="202" t="s">
        <v>76</v>
      </c>
      <c r="E1027" s="202">
        <v>15</v>
      </c>
      <c r="F1027" s="202"/>
      <c r="G1027" s="202" t="s">
        <v>458</v>
      </c>
      <c r="H1027" s="203" t="s">
        <v>327</v>
      </c>
    </row>
    <row r="1028" spans="1:8">
      <c r="A1028" s="201">
        <v>44193.579247685186</v>
      </c>
      <c r="B1028" s="505" t="s">
        <v>566</v>
      </c>
      <c r="C1028" s="506"/>
      <c r="D1028" s="506"/>
      <c r="E1028" s="506"/>
      <c r="F1028" s="506"/>
      <c r="G1028" s="507"/>
      <c r="H1028" s="203" t="s">
        <v>327</v>
      </c>
    </row>
    <row r="1029" spans="1:8">
      <c r="A1029" s="201"/>
      <c r="B1029" s="202"/>
      <c r="C1029" s="202"/>
      <c r="D1029" s="202"/>
      <c r="E1029" s="202"/>
      <c r="F1029" s="202"/>
      <c r="G1029" s="202"/>
    </row>
    <row r="1030" spans="1:8">
      <c r="A1030" s="201"/>
      <c r="B1030" s="202"/>
      <c r="C1030" s="202"/>
      <c r="D1030" s="202"/>
      <c r="E1030" s="202"/>
      <c r="F1030" s="202"/>
      <c r="G1030" s="202"/>
    </row>
    <row r="1031" spans="1:8">
      <c r="A1031" s="201"/>
      <c r="B1031" s="202"/>
      <c r="C1031" s="202"/>
      <c r="D1031" s="202"/>
      <c r="E1031" s="202"/>
      <c r="F1031" s="202"/>
      <c r="G1031" s="202"/>
    </row>
    <row r="1032" spans="1:8">
      <c r="A1032" s="201"/>
      <c r="B1032" s="202"/>
      <c r="C1032" s="202"/>
      <c r="D1032" s="202"/>
      <c r="E1032" s="202"/>
      <c r="F1032" s="202"/>
      <c r="G1032" s="202"/>
    </row>
    <row r="1033" spans="1:8">
      <c r="A1033" s="201"/>
      <c r="B1033" s="202"/>
      <c r="C1033" s="202"/>
      <c r="D1033" s="202"/>
      <c r="E1033" s="202"/>
      <c r="F1033" s="202"/>
      <c r="G1033" s="202"/>
    </row>
    <row r="1034" spans="1:8">
      <c r="A1034" s="201"/>
      <c r="B1034" s="202"/>
      <c r="C1034" s="202"/>
      <c r="D1034" s="202"/>
      <c r="E1034" s="202"/>
      <c r="F1034" s="202"/>
      <c r="G1034" s="202"/>
    </row>
    <row r="1035" spans="1:8">
      <c r="A1035" s="201"/>
    </row>
    <row r="1036" spans="1:8">
      <c r="A1036" s="201"/>
    </row>
    <row r="1037" spans="1:8">
      <c r="A1037" s="201"/>
    </row>
    <row r="1038" spans="1:8">
      <c r="A1038" s="201"/>
    </row>
    <row r="1039" spans="1:8">
      <c r="A1039" s="201"/>
    </row>
    <row r="1040" spans="1:8">
      <c r="A1040" s="201"/>
    </row>
    <row r="1041" spans="1:7">
      <c r="A1041" s="201"/>
      <c r="B1041" s="202"/>
      <c r="C1041" s="202"/>
      <c r="D1041" s="202"/>
      <c r="E1041" s="202"/>
      <c r="F1041" s="202"/>
      <c r="G1041" s="202"/>
    </row>
    <row r="1042" spans="1:7">
      <c r="A1042" s="201"/>
      <c r="B1042" s="202"/>
      <c r="C1042" s="202"/>
      <c r="D1042" s="202"/>
      <c r="E1042" s="202"/>
      <c r="F1042" s="202"/>
      <c r="G1042" s="202"/>
    </row>
    <row r="1043" spans="1:7">
      <c r="A1043" s="201"/>
    </row>
    <row r="1044" spans="1:7">
      <c r="A1044" s="201"/>
      <c r="B1044" s="202"/>
      <c r="C1044" s="202"/>
      <c r="D1044" s="202"/>
      <c r="E1044" s="202"/>
      <c r="F1044" s="202"/>
      <c r="G1044" s="202"/>
    </row>
    <row r="1045" spans="1:7">
      <c r="A1045" s="201"/>
      <c r="B1045" s="202"/>
      <c r="C1045" s="202"/>
      <c r="D1045" s="202"/>
      <c r="E1045" s="202"/>
      <c r="F1045" s="202"/>
      <c r="G1045" s="202"/>
    </row>
    <row r="1046" spans="1:7">
      <c r="A1046" s="201"/>
    </row>
    <row r="1047" spans="1:7">
      <c r="A1047" s="201"/>
    </row>
    <row r="1048" spans="1:7">
      <c r="A1048" s="201"/>
    </row>
    <row r="1049" spans="1:7">
      <c r="A1049" s="201"/>
    </row>
    <row r="1050" spans="1:7">
      <c r="A1050" s="201"/>
    </row>
    <row r="1051" spans="1:7">
      <c r="A1051" s="201"/>
    </row>
    <row r="1052" spans="1:7">
      <c r="A1052" s="201"/>
    </row>
    <row r="1053" spans="1:7">
      <c r="A1053" s="201"/>
      <c r="B1053" s="202"/>
      <c r="C1053" s="202"/>
      <c r="D1053" s="202"/>
      <c r="E1053" s="202"/>
      <c r="F1053" s="202"/>
      <c r="G1053" s="202"/>
    </row>
    <row r="1054" spans="1:7">
      <c r="A1054" s="201"/>
    </row>
    <row r="1055" spans="1:7">
      <c r="A1055" s="201"/>
    </row>
    <row r="1056" spans="1:7">
      <c r="A1056" s="201"/>
    </row>
    <row r="1057" spans="1:1">
      <c r="A1057" s="201"/>
    </row>
    <row r="1058" spans="1:1">
      <c r="A1058" s="201"/>
    </row>
    <row r="1059" spans="1:1">
      <c r="A1059" s="201"/>
    </row>
    <row r="1060" spans="1:1">
      <c r="A1060" s="201"/>
    </row>
    <row r="1061" spans="1:1">
      <c r="A1061" s="201"/>
    </row>
    <row r="1062" spans="1:1">
      <c r="A1062" s="201"/>
    </row>
    <row r="1063" spans="1:1">
      <c r="A1063" s="201"/>
    </row>
    <row r="1064" spans="1:1">
      <c r="A1064" s="201"/>
    </row>
    <row r="1065" spans="1:1">
      <c r="A1065" s="201"/>
    </row>
    <row r="1066" spans="1:1">
      <c r="A1066" s="201"/>
    </row>
    <row r="1067" spans="1:1">
      <c r="A1067" s="201"/>
    </row>
    <row r="1068" spans="1:1">
      <c r="A1068" s="201"/>
    </row>
    <row r="1069" spans="1:1">
      <c r="A1069" s="201"/>
    </row>
    <row r="1070" spans="1:1">
      <c r="A1070" s="201"/>
    </row>
    <row r="1071" spans="1:1">
      <c r="A1071" s="201"/>
    </row>
    <row r="1072" spans="1:1">
      <c r="A1072" s="201"/>
    </row>
    <row r="1073" spans="1:1">
      <c r="A1073" s="201"/>
    </row>
    <row r="1074" spans="1:1">
      <c r="A1074" s="201"/>
    </row>
    <row r="1075" spans="1:1">
      <c r="A1075" s="201"/>
    </row>
    <row r="1076" spans="1:1">
      <c r="A1076" s="201"/>
    </row>
    <row r="1077" spans="1:1">
      <c r="A1077" s="201"/>
    </row>
    <row r="1078" spans="1:1">
      <c r="A1078" s="201"/>
    </row>
    <row r="1079" spans="1:1">
      <c r="A1079" s="201"/>
    </row>
    <row r="1080" spans="1:1">
      <c r="A1080" s="201"/>
    </row>
    <row r="1081" spans="1:1">
      <c r="A1081" s="201"/>
    </row>
    <row r="1082" spans="1:1">
      <c r="A1082" s="201"/>
    </row>
    <row r="1083" spans="1:1">
      <c r="A1083" s="201"/>
    </row>
    <row r="1084" spans="1:1">
      <c r="A1084" s="201"/>
    </row>
    <row r="1085" spans="1:1">
      <c r="A1085" s="201"/>
    </row>
    <row r="1086" spans="1:1">
      <c r="A1086" s="201"/>
    </row>
    <row r="1087" spans="1:1">
      <c r="A1087" s="201"/>
    </row>
    <row r="1088" spans="1:1">
      <c r="A1088" s="201"/>
    </row>
    <row r="1089" spans="1:1">
      <c r="A1089" s="201"/>
    </row>
    <row r="1090" spans="1:1">
      <c r="A1090" s="201"/>
    </row>
    <row r="1091" spans="1:1">
      <c r="A1091" s="201"/>
    </row>
    <row r="1092" spans="1:1">
      <c r="A1092" s="201"/>
    </row>
    <row r="1093" spans="1:1">
      <c r="A1093" s="201"/>
    </row>
    <row r="1094" spans="1:1">
      <c r="A1094" s="201"/>
    </row>
    <row r="1095" spans="1:1">
      <c r="A1095" s="201"/>
    </row>
    <row r="1096" spans="1:1">
      <c r="A1096" s="201"/>
    </row>
    <row r="1097" spans="1:1">
      <c r="A1097" s="201"/>
    </row>
    <row r="1098" spans="1:1">
      <c r="A1098" s="201"/>
    </row>
    <row r="1099" spans="1:1">
      <c r="A1099" s="201"/>
    </row>
    <row r="1100" spans="1:1">
      <c r="A1100" s="201"/>
    </row>
    <row r="1101" spans="1:1">
      <c r="A1101" s="201"/>
    </row>
    <row r="1102" spans="1:1">
      <c r="A1102" s="201"/>
    </row>
    <row r="1103" spans="1:1">
      <c r="A1103" s="201"/>
    </row>
    <row r="1104" spans="1:1">
      <c r="A1104" s="201"/>
    </row>
    <row r="1105" spans="1:1">
      <c r="A1105" s="201"/>
    </row>
    <row r="1106" spans="1:1">
      <c r="A1106" s="201"/>
    </row>
    <row r="1107" spans="1:1">
      <c r="A1107" s="201"/>
    </row>
    <row r="1108" spans="1:1">
      <c r="A1108" s="201"/>
    </row>
    <row r="1109" spans="1:1">
      <c r="A1109" s="201"/>
    </row>
    <row r="1110" spans="1:1">
      <c r="A1110" s="201"/>
    </row>
    <row r="1111" spans="1:1">
      <c r="A1111" s="201"/>
    </row>
    <row r="1112" spans="1:1">
      <c r="A1112" s="201"/>
    </row>
    <row r="1113" spans="1:1">
      <c r="A1113" s="201"/>
    </row>
    <row r="1114" spans="1:1">
      <c r="A1114" s="201"/>
    </row>
    <row r="1115" spans="1:1">
      <c r="A1115" s="201"/>
    </row>
    <row r="1116" spans="1:1">
      <c r="A1116" s="201"/>
    </row>
    <row r="1117" spans="1:1">
      <c r="A1117" s="201"/>
    </row>
    <row r="1118" spans="1:1">
      <c r="A1118" s="201"/>
    </row>
    <row r="1119" spans="1:1">
      <c r="A1119" s="201"/>
    </row>
    <row r="1120" spans="1:1">
      <c r="A1120" s="201"/>
    </row>
    <row r="1121" spans="1:1">
      <c r="A1121" s="201"/>
    </row>
    <row r="1122" spans="1:1">
      <c r="A1122" s="201"/>
    </row>
    <row r="1123" spans="1:1">
      <c r="A1123" s="201"/>
    </row>
    <row r="1124" spans="1:1">
      <c r="A1124" s="201"/>
    </row>
    <row r="1125" spans="1:1">
      <c r="A1125" s="201"/>
    </row>
    <row r="1126" spans="1:1">
      <c r="A1126" s="201"/>
    </row>
    <row r="1127" spans="1:1">
      <c r="A1127" s="201"/>
    </row>
    <row r="1128" spans="1:1">
      <c r="A1128" s="201"/>
    </row>
    <row r="1129" spans="1:1">
      <c r="A1129" s="201"/>
    </row>
    <row r="1130" spans="1:1">
      <c r="A1130" s="201"/>
    </row>
    <row r="1131" spans="1:1">
      <c r="A1131" s="201"/>
    </row>
    <row r="1132" spans="1:1">
      <c r="A1132" s="201"/>
    </row>
    <row r="1133" spans="1:1">
      <c r="A1133" s="201"/>
    </row>
    <row r="1134" spans="1:1">
      <c r="A1134" s="201"/>
    </row>
    <row r="1135" spans="1:1">
      <c r="A1135" s="201"/>
    </row>
    <row r="1136" spans="1:1">
      <c r="A1136" s="201"/>
    </row>
    <row r="1137" spans="1:1">
      <c r="A1137" s="201"/>
    </row>
    <row r="1138" spans="1:1">
      <c r="A1138" s="201"/>
    </row>
    <row r="1139" spans="1:1">
      <c r="A1139" s="201"/>
    </row>
    <row r="1140" spans="1:1">
      <c r="A1140" s="201"/>
    </row>
    <row r="1141" spans="1:1">
      <c r="A1141" s="201"/>
    </row>
    <row r="1142" spans="1:1">
      <c r="A1142" s="201"/>
    </row>
    <row r="1143" spans="1:1">
      <c r="A1143" s="201"/>
    </row>
    <row r="1144" spans="1:1">
      <c r="A1144" s="201"/>
    </row>
    <row r="1145" spans="1:1">
      <c r="A1145" s="201"/>
    </row>
    <row r="1146" spans="1:1">
      <c r="A1146" s="201"/>
    </row>
    <row r="1147" spans="1:1">
      <c r="A1147" s="201"/>
    </row>
    <row r="1148" spans="1:1">
      <c r="A1148" s="201"/>
    </row>
    <row r="1149" spans="1:1">
      <c r="A1149" s="201"/>
    </row>
    <row r="1150" spans="1:1">
      <c r="A1150" s="201"/>
    </row>
    <row r="1151" spans="1:1">
      <c r="A1151" s="201"/>
    </row>
    <row r="1152" spans="1:1">
      <c r="A1152" s="201"/>
    </row>
    <row r="1153" spans="1:1">
      <c r="A1153" s="201"/>
    </row>
    <row r="1154" spans="1:1">
      <c r="A1154" s="201"/>
    </row>
    <row r="1155" spans="1:1">
      <c r="A1155" s="201"/>
    </row>
    <row r="1156" spans="1:1">
      <c r="A1156" s="201"/>
    </row>
    <row r="1157" spans="1:1">
      <c r="A1157" s="201"/>
    </row>
    <row r="1158" spans="1:1">
      <c r="A1158" s="201"/>
    </row>
    <row r="1159" spans="1:1">
      <c r="A1159" s="201"/>
    </row>
    <row r="1160" spans="1:1">
      <c r="A1160" s="201"/>
    </row>
    <row r="1161" spans="1:1">
      <c r="A1161" s="201"/>
    </row>
    <row r="1162" spans="1:1">
      <c r="A1162" s="201"/>
    </row>
    <row r="1163" spans="1:1">
      <c r="A1163" s="201"/>
    </row>
    <row r="1164" spans="1:1">
      <c r="A1164" s="201"/>
    </row>
    <row r="1165" spans="1:1">
      <c r="A1165" s="201"/>
    </row>
    <row r="1166" spans="1:1">
      <c r="A1166" s="201"/>
    </row>
    <row r="1167" spans="1:1">
      <c r="A1167" s="201"/>
    </row>
    <row r="1168" spans="1:1">
      <c r="A1168" s="201"/>
    </row>
    <row r="1169" spans="1:1">
      <c r="A1169" s="201"/>
    </row>
    <row r="1170" spans="1:1">
      <c r="A1170" s="201"/>
    </row>
    <row r="1171" spans="1:1">
      <c r="A1171" s="201"/>
    </row>
    <row r="1172" spans="1:1">
      <c r="A1172" s="201"/>
    </row>
    <row r="1173" spans="1:1">
      <c r="A1173" s="201"/>
    </row>
    <row r="1174" spans="1:1">
      <c r="A1174" s="201"/>
    </row>
    <row r="1175" spans="1:1">
      <c r="A1175" s="201"/>
    </row>
    <row r="1176" spans="1:1">
      <c r="A1176" s="201"/>
    </row>
    <row r="1177" spans="1:1">
      <c r="A1177" s="201"/>
    </row>
    <row r="1178" spans="1:1">
      <c r="A1178" s="201"/>
    </row>
    <row r="1179" spans="1:1">
      <c r="A1179" s="201"/>
    </row>
    <row r="1180" spans="1:1">
      <c r="A1180" s="201"/>
    </row>
    <row r="1181" spans="1:1">
      <c r="A1181" s="201"/>
    </row>
    <row r="1182" spans="1:1">
      <c r="A1182" s="201"/>
    </row>
    <row r="1183" spans="1:1">
      <c r="A1183" s="201"/>
    </row>
    <row r="1184" spans="1:1">
      <c r="A1184" s="201"/>
    </row>
    <row r="1185" spans="1:1">
      <c r="A1185" s="201"/>
    </row>
    <row r="1186" spans="1:1">
      <c r="A1186" s="201"/>
    </row>
    <row r="1187" spans="1:1">
      <c r="A1187" s="201"/>
    </row>
    <row r="1188" spans="1:1">
      <c r="A1188" s="201"/>
    </row>
    <row r="1189" spans="1:1">
      <c r="A1189" s="201"/>
    </row>
    <row r="1190" spans="1:1">
      <c r="A1190" s="201"/>
    </row>
    <row r="1191" spans="1:1">
      <c r="A1191" s="201"/>
    </row>
    <row r="1192" spans="1:1">
      <c r="A1192" s="201"/>
    </row>
    <row r="1193" spans="1:1">
      <c r="A1193" s="201"/>
    </row>
    <row r="1194" spans="1:1">
      <c r="A1194" s="201"/>
    </row>
    <row r="1195" spans="1:1">
      <c r="A1195" s="201"/>
    </row>
    <row r="1196" spans="1:1">
      <c r="A1196" s="201"/>
    </row>
    <row r="1197" spans="1:1">
      <c r="A1197" s="201"/>
    </row>
    <row r="1198" spans="1:1">
      <c r="A1198" s="201"/>
    </row>
    <row r="1199" spans="1:1">
      <c r="A1199" s="201"/>
    </row>
    <row r="1200" spans="1:1">
      <c r="A1200" s="201"/>
    </row>
    <row r="1201" spans="1:7">
      <c r="A1201" s="201"/>
    </row>
    <row r="1202" spans="1:7">
      <c r="A1202" s="201"/>
    </row>
    <row r="1203" spans="1:7">
      <c r="A1203" s="201"/>
    </row>
    <row r="1204" spans="1:7">
      <c r="A1204" s="201"/>
    </row>
    <row r="1205" spans="1:7">
      <c r="A1205" s="201"/>
    </row>
    <row r="1206" spans="1:7">
      <c r="A1206" s="201"/>
    </row>
    <row r="1207" spans="1:7">
      <c r="A1207" s="201"/>
    </row>
    <row r="1208" spans="1:7">
      <c r="A1208" s="201"/>
    </row>
    <row r="1209" spans="1:7">
      <c r="A1209" s="201"/>
    </row>
    <row r="1210" spans="1:7">
      <c r="A1210" s="201"/>
    </row>
    <row r="1211" spans="1:7">
      <c r="A1211" s="201"/>
    </row>
    <row r="1212" spans="1:7">
      <c r="A1212" s="201"/>
    </row>
    <row r="1213" spans="1:7">
      <c r="A1213" s="201"/>
    </row>
    <row r="1214" spans="1:7">
      <c r="A1214" s="201"/>
    </row>
    <row r="1215" spans="1:7">
      <c r="A1215" s="201"/>
    </row>
    <row r="1216" spans="1:7">
      <c r="A1216" s="201"/>
      <c r="B1216" s="202"/>
      <c r="C1216" s="202"/>
      <c r="D1216" s="202"/>
      <c r="E1216" s="215"/>
      <c r="F1216" s="202"/>
      <c r="G1216" s="202"/>
    </row>
    <row r="1217" spans="1:7">
      <c r="A1217" s="201"/>
      <c r="B1217" s="202"/>
      <c r="C1217" s="202"/>
      <c r="D1217" s="202"/>
      <c r="E1217" s="215"/>
      <c r="F1217" s="202"/>
      <c r="G1217" s="202"/>
    </row>
    <row r="1218" spans="1:7">
      <c r="A1218" s="201"/>
    </row>
    <row r="1219" spans="1:7">
      <c r="A1219" s="201"/>
    </row>
    <row r="1220" spans="1:7">
      <c r="A1220" s="201"/>
    </row>
    <row r="1221" spans="1:7">
      <c r="A1221" s="201"/>
    </row>
    <row r="1222" spans="1:7">
      <c r="A1222" s="201"/>
    </row>
    <row r="1223" spans="1:7">
      <c r="A1223" s="201"/>
    </row>
    <row r="1224" spans="1:7">
      <c r="A1224" s="201"/>
    </row>
    <row r="1225" spans="1:7">
      <c r="A1225" s="201"/>
    </row>
    <row r="1226" spans="1:7">
      <c r="A1226" s="201"/>
    </row>
    <row r="1227" spans="1:7">
      <c r="A1227" s="201"/>
    </row>
    <row r="1228" spans="1:7">
      <c r="A1228" s="201"/>
    </row>
    <row r="1229" spans="1:7">
      <c r="A1229" s="201"/>
    </row>
    <row r="1230" spans="1:7">
      <c r="A1230" s="201"/>
    </row>
    <row r="1231" spans="1:7">
      <c r="A1231" s="201"/>
    </row>
    <row r="1232" spans="1:7">
      <c r="A1232" s="201"/>
    </row>
    <row r="1233" spans="1:1">
      <c r="A1233" s="201"/>
    </row>
    <row r="1234" spans="1:1">
      <c r="A1234" s="201"/>
    </row>
    <row r="1235" spans="1:1">
      <c r="A1235" s="201"/>
    </row>
    <row r="1236" spans="1:1">
      <c r="A1236" s="201"/>
    </row>
    <row r="1237" spans="1:1">
      <c r="A1237" s="201"/>
    </row>
    <row r="1238" spans="1:1">
      <c r="A1238" s="201"/>
    </row>
    <row r="1239" spans="1:1">
      <c r="A1239" s="201"/>
    </row>
    <row r="1240" spans="1:1">
      <c r="A1240" s="201"/>
    </row>
    <row r="1241" spans="1:1">
      <c r="A1241" s="201"/>
    </row>
    <row r="1242" spans="1:1">
      <c r="A1242" s="201"/>
    </row>
    <row r="1243" spans="1:1">
      <c r="A1243" s="201"/>
    </row>
    <row r="1244" spans="1:1">
      <c r="A1244" s="201"/>
    </row>
    <row r="1245" spans="1:1">
      <c r="A1245" s="201"/>
    </row>
    <row r="1246" spans="1:1">
      <c r="A1246" s="201"/>
    </row>
    <row r="1247" spans="1:1">
      <c r="A1247" s="201"/>
    </row>
    <row r="1248" spans="1:1">
      <c r="A1248" s="201"/>
    </row>
    <row r="1249" spans="1:1">
      <c r="A1249" s="201"/>
    </row>
    <row r="1250" spans="1:1">
      <c r="A1250" s="201"/>
    </row>
    <row r="1251" spans="1:1">
      <c r="A1251" s="201"/>
    </row>
    <row r="1252" spans="1:1">
      <c r="A1252" s="201"/>
    </row>
    <row r="1253" spans="1:1">
      <c r="A1253" s="201"/>
    </row>
    <row r="1254" spans="1:1">
      <c r="A1254" s="201"/>
    </row>
    <row r="1255" spans="1:1">
      <c r="A1255" s="201"/>
    </row>
    <row r="1256" spans="1:1">
      <c r="A1256" s="201"/>
    </row>
    <row r="1257" spans="1:1">
      <c r="A1257" s="201"/>
    </row>
    <row r="1258" spans="1:1">
      <c r="A1258" s="201"/>
    </row>
    <row r="1259" spans="1:1">
      <c r="A1259" s="201"/>
    </row>
    <row r="1260" spans="1:1">
      <c r="A1260" s="201"/>
    </row>
    <row r="1261" spans="1:1">
      <c r="A1261" s="201"/>
    </row>
    <row r="1262" spans="1:1">
      <c r="A1262" s="201"/>
    </row>
    <row r="1263" spans="1:1">
      <c r="A1263" s="201"/>
    </row>
    <row r="1264" spans="1:1">
      <c r="A1264" s="201"/>
    </row>
    <row r="1265" spans="1:1">
      <c r="A1265" s="201"/>
    </row>
    <row r="1266" spans="1:1">
      <c r="A1266" s="201"/>
    </row>
    <row r="1267" spans="1:1">
      <c r="A1267" s="201"/>
    </row>
    <row r="1268" spans="1:1">
      <c r="A1268" s="201"/>
    </row>
    <row r="1269" spans="1:1">
      <c r="A1269" s="201"/>
    </row>
    <row r="1270" spans="1:1">
      <c r="A1270" s="201"/>
    </row>
    <row r="1271" spans="1:1">
      <c r="A1271" s="201"/>
    </row>
    <row r="1272" spans="1:1">
      <c r="A1272" s="201"/>
    </row>
    <row r="1273" spans="1:1">
      <c r="A1273" s="201"/>
    </row>
    <row r="1274" spans="1:1">
      <c r="A1274" s="201"/>
    </row>
    <row r="1275" spans="1:1">
      <c r="A1275" s="201"/>
    </row>
    <row r="1276" spans="1:1">
      <c r="A1276" s="201"/>
    </row>
    <row r="1277" spans="1:1">
      <c r="A1277" s="201"/>
    </row>
    <row r="1278" spans="1:1">
      <c r="A1278" s="201"/>
    </row>
    <row r="1279" spans="1:1">
      <c r="A1279" s="201"/>
    </row>
    <row r="1280" spans="1:1">
      <c r="A1280" s="201"/>
    </row>
    <row r="1281" spans="1:1">
      <c r="A1281" s="201"/>
    </row>
    <row r="1282" spans="1:1">
      <c r="A1282" s="201"/>
    </row>
    <row r="1283" spans="1:1">
      <c r="A1283" s="201"/>
    </row>
    <row r="1284" spans="1:1">
      <c r="A1284" s="201"/>
    </row>
    <row r="1285" spans="1:1">
      <c r="A1285" s="201"/>
    </row>
    <row r="1286" spans="1:1">
      <c r="A1286" s="201"/>
    </row>
    <row r="1287" spans="1:1">
      <c r="A1287" s="201"/>
    </row>
    <row r="1288" spans="1:1">
      <c r="A1288" s="201"/>
    </row>
    <row r="1289" spans="1:1">
      <c r="A1289" s="201"/>
    </row>
    <row r="1290" spans="1:1">
      <c r="A1290" s="201"/>
    </row>
    <row r="1291" spans="1:1">
      <c r="A1291" s="201"/>
    </row>
    <row r="1292" spans="1:1">
      <c r="A1292" s="201"/>
    </row>
    <row r="1293" spans="1:1">
      <c r="A1293" s="201"/>
    </row>
    <row r="1294" spans="1:1">
      <c r="A1294" s="201"/>
    </row>
    <row r="1295" spans="1:1">
      <c r="A1295" s="201"/>
    </row>
    <row r="1296" spans="1:1">
      <c r="A1296" s="201"/>
    </row>
    <row r="1297" spans="1:1">
      <c r="A1297" s="201"/>
    </row>
    <row r="1298" spans="1:1">
      <c r="A1298" s="201"/>
    </row>
    <row r="1299" spans="1:1">
      <c r="A1299" s="201"/>
    </row>
    <row r="1300" spans="1:1">
      <c r="A1300" s="201"/>
    </row>
    <row r="1301" spans="1:1">
      <c r="A1301" s="201"/>
    </row>
    <row r="1302" spans="1:1">
      <c r="A1302" s="201"/>
    </row>
    <row r="1303" spans="1:1">
      <c r="A1303" s="201"/>
    </row>
    <row r="1304" spans="1:1">
      <c r="A1304" s="201"/>
    </row>
    <row r="1305" spans="1:1">
      <c r="A1305" s="201"/>
    </row>
    <row r="1306" spans="1:1">
      <c r="A1306" s="201"/>
    </row>
    <row r="1307" spans="1:1">
      <c r="A1307" s="201"/>
    </row>
    <row r="1308" spans="1:1">
      <c r="A1308" s="201"/>
    </row>
    <row r="1309" spans="1:1">
      <c r="A1309" s="201"/>
    </row>
    <row r="1310" spans="1:1">
      <c r="A1310" s="201"/>
    </row>
    <row r="1311" spans="1:1">
      <c r="A1311" s="201"/>
    </row>
    <row r="1312" spans="1:1">
      <c r="A1312" s="201"/>
    </row>
    <row r="1313" spans="1:1">
      <c r="A1313" s="201"/>
    </row>
    <row r="1314" spans="1:1">
      <c r="A1314" s="201"/>
    </row>
    <row r="1315" spans="1:1">
      <c r="A1315" s="201"/>
    </row>
    <row r="1316" spans="1:1">
      <c r="A1316" s="201"/>
    </row>
    <row r="1317" spans="1:1">
      <c r="A1317" s="201"/>
    </row>
    <row r="1318" spans="1:1">
      <c r="A1318" s="201"/>
    </row>
    <row r="1319" spans="1:1">
      <c r="A1319" s="201"/>
    </row>
    <row r="1320" spans="1:1">
      <c r="A1320" s="201"/>
    </row>
    <row r="1321" spans="1:1">
      <c r="A1321" s="201"/>
    </row>
    <row r="1322" spans="1:1">
      <c r="A1322" s="201"/>
    </row>
    <row r="1323" spans="1:1">
      <c r="A1323" s="201"/>
    </row>
    <row r="1324" spans="1:1">
      <c r="A1324" s="201"/>
    </row>
    <row r="1325" spans="1:1">
      <c r="A1325" s="201"/>
    </row>
    <row r="1326" spans="1:1">
      <c r="A1326" s="201"/>
    </row>
    <row r="1327" spans="1:1">
      <c r="A1327" s="201"/>
    </row>
    <row r="1328" spans="1:1">
      <c r="A1328" s="201"/>
    </row>
    <row r="1329" spans="1:1">
      <c r="A1329" s="201"/>
    </row>
    <row r="1330" spans="1:1">
      <c r="A1330" s="201"/>
    </row>
    <row r="1331" spans="1:1">
      <c r="A1331" s="201"/>
    </row>
    <row r="1332" spans="1:1">
      <c r="A1332" s="201"/>
    </row>
    <row r="1333" spans="1:1">
      <c r="A1333" s="201"/>
    </row>
    <row r="1334" spans="1:1">
      <c r="A1334" s="201"/>
    </row>
    <row r="1335" spans="1:1">
      <c r="A1335" s="201"/>
    </row>
    <row r="1336" spans="1:1">
      <c r="A1336" s="201"/>
    </row>
    <row r="1337" spans="1:1">
      <c r="A1337" s="201"/>
    </row>
    <row r="1338" spans="1:1">
      <c r="A1338" s="201"/>
    </row>
    <row r="1339" spans="1:1">
      <c r="A1339" s="201"/>
    </row>
    <row r="1340" spans="1:1">
      <c r="A1340" s="201"/>
    </row>
    <row r="1341" spans="1:1">
      <c r="A1341" s="201"/>
    </row>
    <row r="1342" spans="1:1">
      <c r="A1342" s="201"/>
    </row>
    <row r="1343" spans="1:1">
      <c r="A1343" s="201"/>
    </row>
    <row r="1344" spans="1:1">
      <c r="A1344" s="201"/>
    </row>
    <row r="1345" spans="1:1">
      <c r="A1345" s="201"/>
    </row>
    <row r="1346" spans="1:1">
      <c r="A1346" s="201"/>
    </row>
    <row r="1347" spans="1:1">
      <c r="A1347" s="201"/>
    </row>
    <row r="1348" spans="1:1">
      <c r="A1348" s="201"/>
    </row>
    <row r="1349" spans="1:1">
      <c r="A1349" s="201"/>
    </row>
    <row r="1350" spans="1:1">
      <c r="A1350" s="201"/>
    </row>
    <row r="1351" spans="1:1">
      <c r="A1351" s="201"/>
    </row>
    <row r="1352" spans="1:1">
      <c r="A1352" s="201"/>
    </row>
    <row r="1353" spans="1:1">
      <c r="A1353" s="201"/>
    </row>
    <row r="1354" spans="1:1">
      <c r="A1354" s="201"/>
    </row>
    <row r="1355" spans="1:1">
      <c r="A1355" s="201"/>
    </row>
    <row r="1356" spans="1:1">
      <c r="A1356" s="201"/>
    </row>
    <row r="1357" spans="1:1">
      <c r="A1357" s="201"/>
    </row>
    <row r="1358" spans="1:1">
      <c r="A1358" s="201"/>
    </row>
    <row r="1359" spans="1:1">
      <c r="A1359" s="201"/>
    </row>
    <row r="1360" spans="1:1">
      <c r="A1360" s="201"/>
    </row>
    <row r="1361" spans="1:1">
      <c r="A1361" s="201"/>
    </row>
    <row r="1362" spans="1:1">
      <c r="A1362" s="201"/>
    </row>
    <row r="1363" spans="1:1">
      <c r="A1363" s="201"/>
    </row>
    <row r="1364" spans="1:1">
      <c r="A1364" s="201"/>
    </row>
    <row r="1365" spans="1:1">
      <c r="A1365" s="201"/>
    </row>
    <row r="1366" spans="1:1">
      <c r="A1366" s="201"/>
    </row>
    <row r="1367" spans="1:1">
      <c r="A1367" s="201"/>
    </row>
    <row r="1368" spans="1:1">
      <c r="A1368" s="201"/>
    </row>
    <row r="1369" spans="1:1">
      <c r="A1369" s="201"/>
    </row>
    <row r="1370" spans="1:1">
      <c r="A1370" s="201"/>
    </row>
    <row r="1371" spans="1:1">
      <c r="A1371" s="201"/>
    </row>
    <row r="1372" spans="1:1">
      <c r="A1372" s="201"/>
    </row>
    <row r="1373" spans="1:1">
      <c r="A1373" s="201"/>
    </row>
    <row r="1374" spans="1:1">
      <c r="A1374" s="201"/>
    </row>
    <row r="1375" spans="1:1">
      <c r="A1375" s="201"/>
    </row>
    <row r="1376" spans="1:1">
      <c r="A1376" s="201"/>
    </row>
    <row r="1377" spans="1:1">
      <c r="A1377" s="201"/>
    </row>
    <row r="1378" spans="1:1">
      <c r="A1378" s="201"/>
    </row>
    <row r="1379" spans="1:1">
      <c r="A1379" s="201"/>
    </row>
    <row r="1380" spans="1:1">
      <c r="A1380" s="201"/>
    </row>
    <row r="1381" spans="1:1">
      <c r="A1381" s="201"/>
    </row>
    <row r="1382" spans="1:1">
      <c r="A1382" s="201"/>
    </row>
    <row r="1383" spans="1:1">
      <c r="A1383" s="201"/>
    </row>
    <row r="1384" spans="1:1">
      <c r="A1384" s="201"/>
    </row>
    <row r="1385" spans="1:1">
      <c r="A1385" s="201"/>
    </row>
    <row r="1386" spans="1:1">
      <c r="A1386" s="201"/>
    </row>
    <row r="1387" spans="1:1">
      <c r="A1387" s="201"/>
    </row>
    <row r="1388" spans="1:1">
      <c r="A1388" s="201"/>
    </row>
    <row r="1389" spans="1:1">
      <c r="A1389" s="201"/>
    </row>
    <row r="1390" spans="1:1">
      <c r="A1390" s="201"/>
    </row>
    <row r="1391" spans="1:1">
      <c r="A1391" s="201"/>
    </row>
    <row r="1392" spans="1:1">
      <c r="A1392" s="201"/>
    </row>
    <row r="1393" spans="1:1">
      <c r="A1393" s="201"/>
    </row>
    <row r="1394" spans="1:1">
      <c r="A1394" s="201"/>
    </row>
    <row r="1395" spans="1:1">
      <c r="A1395" s="201"/>
    </row>
    <row r="1396" spans="1:1">
      <c r="A1396" s="201"/>
    </row>
    <row r="1397" spans="1:1">
      <c r="A1397" s="201"/>
    </row>
    <row r="1398" spans="1:1">
      <c r="A1398" s="201"/>
    </row>
    <row r="1399" spans="1:1">
      <c r="A1399" s="201"/>
    </row>
    <row r="1400" spans="1:1">
      <c r="A1400" s="201"/>
    </row>
    <row r="1401" spans="1:1">
      <c r="A1401" s="201"/>
    </row>
    <row r="1402" spans="1:1">
      <c r="A1402" s="201"/>
    </row>
    <row r="1403" spans="1:1">
      <c r="A1403" s="201"/>
    </row>
    <row r="1404" spans="1:1">
      <c r="A1404" s="201"/>
    </row>
    <row r="1405" spans="1:1">
      <c r="A1405" s="201"/>
    </row>
    <row r="1406" spans="1:1">
      <c r="A1406" s="201"/>
    </row>
    <row r="1407" spans="1:1">
      <c r="A1407" s="201"/>
    </row>
    <row r="1408" spans="1:1">
      <c r="A1408" s="201"/>
    </row>
    <row r="1409" spans="1:1">
      <c r="A1409" s="201"/>
    </row>
    <row r="1410" spans="1:1">
      <c r="A1410" s="201"/>
    </row>
    <row r="1411" spans="1:1">
      <c r="A1411" s="201"/>
    </row>
    <row r="1412" spans="1:1">
      <c r="A1412" s="201"/>
    </row>
    <row r="1413" spans="1:1">
      <c r="A1413" s="201"/>
    </row>
    <row r="1414" spans="1:1">
      <c r="A1414" s="201"/>
    </row>
    <row r="1415" spans="1:1">
      <c r="A1415" s="201"/>
    </row>
    <row r="1416" spans="1:1">
      <c r="A1416" s="201"/>
    </row>
    <row r="1417" spans="1:1">
      <c r="A1417" s="201"/>
    </row>
    <row r="1418" spans="1:1">
      <c r="A1418" s="201"/>
    </row>
    <row r="1419" spans="1:1">
      <c r="A1419" s="201"/>
    </row>
    <row r="1420" spans="1:1">
      <c r="A1420" s="201"/>
    </row>
    <row r="1421" spans="1:1">
      <c r="A1421" s="201"/>
    </row>
    <row r="1422" spans="1:1">
      <c r="A1422" s="201"/>
    </row>
    <row r="1423" spans="1:1">
      <c r="A1423" s="201"/>
    </row>
    <row r="1424" spans="1:1">
      <c r="A1424" s="201"/>
    </row>
    <row r="1425" spans="1:1">
      <c r="A1425" s="201"/>
    </row>
    <row r="1426" spans="1:1">
      <c r="A1426" s="201"/>
    </row>
    <row r="1427" spans="1:1">
      <c r="A1427" s="201"/>
    </row>
    <row r="1428" spans="1:1">
      <c r="A1428" s="201"/>
    </row>
    <row r="1429" spans="1:1">
      <c r="A1429" s="201"/>
    </row>
    <row r="1430" spans="1:1">
      <c r="A1430" s="201"/>
    </row>
    <row r="1431" spans="1:1">
      <c r="A1431" s="201"/>
    </row>
    <row r="1432" spans="1:1">
      <c r="A1432" s="201"/>
    </row>
    <row r="1433" spans="1:1">
      <c r="A1433" s="201"/>
    </row>
    <row r="1434" spans="1:1">
      <c r="A1434" s="201"/>
    </row>
    <row r="1435" spans="1:1">
      <c r="A1435" s="201"/>
    </row>
    <row r="1436" spans="1:1">
      <c r="A1436" s="201"/>
    </row>
    <row r="1437" spans="1:1">
      <c r="A1437" s="201"/>
    </row>
    <row r="1438" spans="1:1">
      <c r="A1438" s="201"/>
    </row>
    <row r="1439" spans="1:1">
      <c r="A1439" s="201"/>
    </row>
    <row r="1440" spans="1:1">
      <c r="A1440" s="201"/>
    </row>
    <row r="1441" spans="1:1">
      <c r="A1441" s="201"/>
    </row>
    <row r="1442" spans="1:1">
      <c r="A1442" s="201"/>
    </row>
    <row r="1443" spans="1:1">
      <c r="A1443" s="201"/>
    </row>
    <row r="1444" spans="1:1">
      <c r="A1444" s="201"/>
    </row>
    <row r="1445" spans="1:1">
      <c r="A1445" s="201"/>
    </row>
    <row r="1446" spans="1:1">
      <c r="A1446" s="201"/>
    </row>
    <row r="1447" spans="1:1">
      <c r="A1447" s="201"/>
    </row>
    <row r="1448" spans="1:1">
      <c r="A1448" s="201"/>
    </row>
    <row r="1449" spans="1:1">
      <c r="A1449" s="201"/>
    </row>
    <row r="1450" spans="1:1">
      <c r="A1450" s="201"/>
    </row>
    <row r="1451" spans="1:1">
      <c r="A1451" s="201"/>
    </row>
    <row r="1452" spans="1:1">
      <c r="A1452" s="201"/>
    </row>
    <row r="1453" spans="1:1">
      <c r="A1453" s="201"/>
    </row>
    <row r="1454" spans="1:1">
      <c r="A1454" s="201"/>
    </row>
    <row r="1455" spans="1:1">
      <c r="A1455" s="201"/>
    </row>
    <row r="1456" spans="1:1">
      <c r="A1456" s="201"/>
    </row>
    <row r="1457" spans="1:1">
      <c r="A1457" s="201"/>
    </row>
    <row r="1458" spans="1:1">
      <c r="A1458" s="201"/>
    </row>
    <row r="1459" spans="1:1">
      <c r="A1459" s="201"/>
    </row>
    <row r="1460" spans="1:1">
      <c r="A1460" s="201"/>
    </row>
    <row r="1461" spans="1:1">
      <c r="A1461" s="201"/>
    </row>
    <row r="1462" spans="1:1">
      <c r="A1462" s="201"/>
    </row>
    <row r="1463" spans="1:1">
      <c r="A1463" s="201"/>
    </row>
    <row r="1464" spans="1:1">
      <c r="A1464" s="201"/>
    </row>
    <row r="1465" spans="1:1">
      <c r="A1465" s="201"/>
    </row>
    <row r="1466" spans="1:1">
      <c r="A1466" s="201"/>
    </row>
    <row r="1467" spans="1:1">
      <c r="A1467" s="201"/>
    </row>
    <row r="1468" spans="1:1">
      <c r="A1468" s="201"/>
    </row>
    <row r="1469" spans="1:1">
      <c r="A1469" s="201"/>
    </row>
    <row r="1470" spans="1:1">
      <c r="A1470" s="201"/>
    </row>
    <row r="1471" spans="1:1">
      <c r="A1471" s="201"/>
    </row>
    <row r="1472" spans="1:1">
      <c r="A1472" s="201"/>
    </row>
    <row r="1473" spans="1:1">
      <c r="A1473" s="201"/>
    </row>
    <row r="1474" spans="1:1">
      <c r="A1474" s="201"/>
    </row>
    <row r="1475" spans="1:1">
      <c r="A1475" s="201"/>
    </row>
    <row r="1476" spans="1:1">
      <c r="A1476" s="201"/>
    </row>
    <row r="1477" spans="1:1">
      <c r="A1477" s="201"/>
    </row>
    <row r="1478" spans="1:1">
      <c r="A1478" s="201"/>
    </row>
    <row r="1479" spans="1:1">
      <c r="A1479" s="201"/>
    </row>
    <row r="1480" spans="1:1">
      <c r="A1480" s="201"/>
    </row>
    <row r="1481" spans="1:1">
      <c r="A1481" s="201"/>
    </row>
    <row r="1482" spans="1:1">
      <c r="A1482" s="201"/>
    </row>
    <row r="1483" spans="1:1">
      <c r="A1483" s="201"/>
    </row>
    <row r="1484" spans="1:1">
      <c r="A1484" s="201"/>
    </row>
    <row r="1485" spans="1:1">
      <c r="A1485" s="201"/>
    </row>
    <row r="1486" spans="1:1">
      <c r="A1486" s="201"/>
    </row>
    <row r="1487" spans="1:1">
      <c r="A1487" s="201"/>
    </row>
    <row r="1488" spans="1:1">
      <c r="A1488" s="201"/>
    </row>
    <row r="1489" spans="1:1">
      <c r="A1489" s="201"/>
    </row>
    <row r="1490" spans="1:1">
      <c r="A1490" s="201"/>
    </row>
    <row r="1491" spans="1:1">
      <c r="A1491" s="201"/>
    </row>
    <row r="1492" spans="1:1">
      <c r="A1492" s="201"/>
    </row>
    <row r="1493" spans="1:1">
      <c r="A1493" s="201"/>
    </row>
    <row r="1494" spans="1:1">
      <c r="A1494" s="201"/>
    </row>
    <row r="1495" spans="1:1">
      <c r="A1495" s="201"/>
    </row>
    <row r="1496" spans="1:1">
      <c r="A1496" s="201"/>
    </row>
    <row r="1497" spans="1:1">
      <c r="A1497" s="201"/>
    </row>
    <row r="1498" spans="1:1">
      <c r="A1498" s="201"/>
    </row>
    <row r="1499" spans="1:1">
      <c r="A1499" s="201"/>
    </row>
    <row r="1500" spans="1:1">
      <c r="A1500" s="201"/>
    </row>
    <row r="1501" spans="1:1">
      <c r="A1501" s="201"/>
    </row>
    <row r="1502" spans="1:1">
      <c r="A1502" s="201"/>
    </row>
    <row r="1503" spans="1:1">
      <c r="A1503" s="201"/>
    </row>
    <row r="1504" spans="1:1">
      <c r="A1504" s="201"/>
    </row>
    <row r="1505" spans="1:1">
      <c r="A1505" s="201"/>
    </row>
    <row r="1506" spans="1:1">
      <c r="A1506" s="201"/>
    </row>
    <row r="1507" spans="1:1">
      <c r="A1507" s="201"/>
    </row>
    <row r="1508" spans="1:1">
      <c r="A1508" s="201"/>
    </row>
    <row r="1509" spans="1:1">
      <c r="A1509" s="201"/>
    </row>
    <row r="1510" spans="1:1">
      <c r="A1510" s="201"/>
    </row>
    <row r="1511" spans="1:1">
      <c r="A1511" s="201"/>
    </row>
    <row r="1512" spans="1:1">
      <c r="A1512" s="201"/>
    </row>
    <row r="1513" spans="1:1">
      <c r="A1513" s="201"/>
    </row>
    <row r="1514" spans="1:1">
      <c r="A1514" s="201"/>
    </row>
    <row r="1515" spans="1:1">
      <c r="A1515" s="201"/>
    </row>
    <row r="1516" spans="1:1">
      <c r="A1516" s="201"/>
    </row>
    <row r="1517" spans="1:1">
      <c r="A1517" s="201"/>
    </row>
    <row r="1518" spans="1:1">
      <c r="A1518" s="201"/>
    </row>
    <row r="1519" spans="1:1">
      <c r="A1519" s="201"/>
    </row>
    <row r="1520" spans="1:1">
      <c r="A1520" s="201"/>
    </row>
    <row r="1521" spans="1:1">
      <c r="A1521" s="201"/>
    </row>
    <row r="1522" spans="1:1">
      <c r="A1522" s="201"/>
    </row>
    <row r="1523" spans="1:1">
      <c r="A1523" s="201"/>
    </row>
    <row r="1524" spans="1:1">
      <c r="A1524" s="201"/>
    </row>
    <row r="1525" spans="1:1">
      <c r="A1525" s="201"/>
    </row>
    <row r="1526" spans="1:1">
      <c r="A1526" s="201"/>
    </row>
    <row r="1527" spans="1:1">
      <c r="A1527" s="201"/>
    </row>
    <row r="1528" spans="1:1">
      <c r="A1528" s="201"/>
    </row>
    <row r="1529" spans="1:1">
      <c r="A1529" s="201"/>
    </row>
    <row r="1530" spans="1:1">
      <c r="A1530" s="201"/>
    </row>
    <row r="1531" spans="1:1">
      <c r="A1531" s="201"/>
    </row>
    <row r="1532" spans="1:1">
      <c r="A1532" s="201"/>
    </row>
    <row r="1533" spans="1:1">
      <c r="A1533" s="201"/>
    </row>
    <row r="1534" spans="1:1">
      <c r="A1534" s="201"/>
    </row>
    <row r="1535" spans="1:1">
      <c r="A1535" s="201"/>
    </row>
    <row r="1536" spans="1:1">
      <c r="A1536" s="201"/>
    </row>
    <row r="1537" spans="1:1">
      <c r="A1537" s="201"/>
    </row>
    <row r="1538" spans="1:1">
      <c r="A1538" s="201"/>
    </row>
    <row r="1539" spans="1:1">
      <c r="A1539" s="201"/>
    </row>
    <row r="1540" spans="1:1">
      <c r="A1540" s="201"/>
    </row>
    <row r="1541" spans="1:1">
      <c r="A1541" s="201"/>
    </row>
    <row r="1542" spans="1:1">
      <c r="A1542" s="201"/>
    </row>
    <row r="1543" spans="1:1">
      <c r="A1543" s="201"/>
    </row>
    <row r="1544" spans="1:1">
      <c r="A1544" s="201"/>
    </row>
    <row r="1545" spans="1:1">
      <c r="A1545" s="201"/>
    </row>
    <row r="1546" spans="1:1">
      <c r="A1546" s="201"/>
    </row>
    <row r="1547" spans="1:1">
      <c r="A1547" s="201"/>
    </row>
    <row r="1548" spans="1:1">
      <c r="A1548" s="201"/>
    </row>
    <row r="1549" spans="1:1">
      <c r="A1549" s="201"/>
    </row>
    <row r="1550" spans="1:1">
      <c r="A1550" s="201"/>
    </row>
    <row r="1551" spans="1:1">
      <c r="A1551" s="201"/>
    </row>
    <row r="1552" spans="1:1">
      <c r="A1552" s="201"/>
    </row>
    <row r="1553" spans="1:1">
      <c r="A1553" s="201"/>
    </row>
    <row r="1554" spans="1:1">
      <c r="A1554" s="201"/>
    </row>
    <row r="1555" spans="1:1">
      <c r="A1555" s="201"/>
    </row>
    <row r="1556" spans="1:1">
      <c r="A1556" s="201"/>
    </row>
    <row r="1557" spans="1:1">
      <c r="A1557" s="201"/>
    </row>
    <row r="1558" spans="1:1">
      <c r="A1558" s="201"/>
    </row>
    <row r="1559" spans="1:1">
      <c r="A1559" s="201"/>
    </row>
    <row r="1560" spans="1:1">
      <c r="A1560" s="201"/>
    </row>
    <row r="1561" spans="1:1">
      <c r="A1561" s="201"/>
    </row>
    <row r="1562" spans="1:1">
      <c r="A1562" s="201"/>
    </row>
    <row r="1563" spans="1:1">
      <c r="A1563" s="201"/>
    </row>
    <row r="1564" spans="1:1">
      <c r="A1564" s="201"/>
    </row>
    <row r="1565" spans="1:1">
      <c r="A1565" s="201"/>
    </row>
    <row r="1566" spans="1:1">
      <c r="A1566" s="201"/>
    </row>
    <row r="1567" spans="1:1">
      <c r="A1567" s="201"/>
    </row>
    <row r="1568" spans="1:1">
      <c r="A1568" s="201"/>
    </row>
    <row r="1569" spans="1:1">
      <c r="A1569" s="201"/>
    </row>
    <row r="1570" spans="1:1">
      <c r="A1570" s="201"/>
    </row>
    <row r="1571" spans="1:1">
      <c r="A1571" s="201"/>
    </row>
    <row r="1572" spans="1:1">
      <c r="A1572" s="201"/>
    </row>
    <row r="1573" spans="1:1">
      <c r="A1573" s="201"/>
    </row>
    <row r="1574" spans="1:1">
      <c r="A1574" s="201"/>
    </row>
    <row r="1575" spans="1:1">
      <c r="A1575" s="201"/>
    </row>
    <row r="1576" spans="1:1">
      <c r="A1576" s="201"/>
    </row>
    <row r="1577" spans="1:1">
      <c r="A1577" s="201"/>
    </row>
    <row r="1578" spans="1:1">
      <c r="A1578" s="201"/>
    </row>
    <row r="1579" spans="1:1">
      <c r="A1579" s="201"/>
    </row>
    <row r="1580" spans="1:1">
      <c r="A1580" s="201"/>
    </row>
    <row r="1581" spans="1:1">
      <c r="A1581" s="201"/>
    </row>
    <row r="1582" spans="1:1">
      <c r="A1582" s="201"/>
    </row>
    <row r="1583" spans="1:1">
      <c r="A1583" s="201"/>
    </row>
    <row r="1584" spans="1:1">
      <c r="A1584" s="201"/>
    </row>
    <row r="1585" spans="1:1">
      <c r="A1585" s="201"/>
    </row>
    <row r="1586" spans="1:1">
      <c r="A1586" s="201"/>
    </row>
    <row r="1587" spans="1:1">
      <c r="A1587" s="201"/>
    </row>
    <row r="1588" spans="1:1">
      <c r="A1588" s="201"/>
    </row>
    <row r="1589" spans="1:1">
      <c r="A1589" s="201"/>
    </row>
    <row r="1590" spans="1:1">
      <c r="A1590" s="201"/>
    </row>
    <row r="1591" spans="1:1">
      <c r="A1591" s="201"/>
    </row>
    <row r="1592" spans="1:1">
      <c r="A1592" s="201"/>
    </row>
    <row r="1593" spans="1:1">
      <c r="A1593" s="201"/>
    </row>
    <row r="1594" spans="1:1">
      <c r="A1594" s="201"/>
    </row>
    <row r="1595" spans="1:1">
      <c r="A1595" s="201"/>
    </row>
    <row r="1596" spans="1:1">
      <c r="A1596" s="201"/>
    </row>
    <row r="1597" spans="1:1">
      <c r="A1597" s="201"/>
    </row>
    <row r="1598" spans="1:1">
      <c r="A1598" s="201"/>
    </row>
    <row r="1599" spans="1:1">
      <c r="A1599" s="201"/>
    </row>
    <row r="1600" spans="1:1">
      <c r="A1600" s="201"/>
    </row>
    <row r="1601" spans="1:1">
      <c r="A1601" s="201"/>
    </row>
    <row r="1602" spans="1:1">
      <c r="A1602" s="201"/>
    </row>
    <row r="1603" spans="1:1">
      <c r="A1603" s="201"/>
    </row>
    <row r="1604" spans="1:1">
      <c r="A1604" s="201"/>
    </row>
    <row r="1605" spans="1:1">
      <c r="A1605" s="201"/>
    </row>
    <row r="1606" spans="1:1">
      <c r="A1606" s="201"/>
    </row>
    <row r="1607" spans="1:1">
      <c r="A1607" s="201"/>
    </row>
    <row r="1608" spans="1:1">
      <c r="A1608" s="201"/>
    </row>
    <row r="1609" spans="1:1">
      <c r="A1609" s="201"/>
    </row>
    <row r="1610" spans="1:1">
      <c r="A1610" s="201"/>
    </row>
    <row r="1611" spans="1:1">
      <c r="A1611" s="201"/>
    </row>
    <row r="1612" spans="1:1">
      <c r="A1612" s="201"/>
    </row>
    <row r="1613" spans="1:1">
      <c r="A1613" s="201"/>
    </row>
    <row r="1614" spans="1:1">
      <c r="A1614" s="201"/>
    </row>
    <row r="1615" spans="1:1">
      <c r="A1615" s="201"/>
    </row>
    <row r="1616" spans="1:1">
      <c r="A1616" s="201"/>
    </row>
    <row r="1617" spans="1:1">
      <c r="A1617" s="201"/>
    </row>
    <row r="1618" spans="1:1">
      <c r="A1618" s="201"/>
    </row>
    <row r="1619" spans="1:1">
      <c r="A1619" s="201"/>
    </row>
    <row r="1620" spans="1:1">
      <c r="A1620" s="201"/>
    </row>
    <row r="1621" spans="1:1">
      <c r="A1621" s="201"/>
    </row>
    <row r="1622" spans="1:1">
      <c r="A1622" s="201"/>
    </row>
    <row r="1623" spans="1:1">
      <c r="A1623" s="201"/>
    </row>
    <row r="1624" spans="1:1">
      <c r="A1624" s="201"/>
    </row>
    <row r="1625" spans="1:1">
      <c r="A1625" s="201"/>
    </row>
    <row r="1626" spans="1:1">
      <c r="A1626" s="201"/>
    </row>
    <row r="1627" spans="1:1">
      <c r="A1627" s="201"/>
    </row>
    <row r="1628" spans="1:1">
      <c r="A1628" s="201"/>
    </row>
    <row r="1629" spans="1:1">
      <c r="A1629" s="201"/>
    </row>
    <row r="1630" spans="1:1">
      <c r="A1630" s="201"/>
    </row>
    <row r="1631" spans="1:1">
      <c r="A1631" s="201"/>
    </row>
    <row r="1632" spans="1:1">
      <c r="A1632" s="201"/>
    </row>
    <row r="1633" spans="1:1">
      <c r="A1633" s="201"/>
    </row>
    <row r="1634" spans="1:1">
      <c r="A1634" s="201"/>
    </row>
    <row r="1635" spans="1:1">
      <c r="A1635" s="201"/>
    </row>
    <row r="1636" spans="1:1">
      <c r="A1636" s="201"/>
    </row>
    <row r="1637" spans="1:1">
      <c r="A1637" s="201"/>
    </row>
    <row r="1638" spans="1:1">
      <c r="A1638" s="201"/>
    </row>
    <row r="1639" spans="1:1">
      <c r="A1639" s="201"/>
    </row>
    <row r="1640" spans="1:1">
      <c r="A1640" s="201"/>
    </row>
    <row r="1641" spans="1:1">
      <c r="A1641" s="201"/>
    </row>
    <row r="1642" spans="1:1">
      <c r="A1642" s="201"/>
    </row>
    <row r="1643" spans="1:1">
      <c r="A1643" s="201"/>
    </row>
    <row r="1644" spans="1:1">
      <c r="A1644" s="201"/>
    </row>
    <row r="1645" spans="1:1">
      <c r="A1645" s="201"/>
    </row>
    <row r="1646" spans="1:1">
      <c r="A1646" s="201"/>
    </row>
    <row r="1647" spans="1:1">
      <c r="A1647" s="201"/>
    </row>
    <row r="1648" spans="1:1">
      <c r="A1648" s="201"/>
    </row>
    <row r="1649" spans="1:1">
      <c r="A1649" s="201"/>
    </row>
    <row r="1650" spans="1:1">
      <c r="A1650" s="201"/>
    </row>
    <row r="1651" spans="1:1">
      <c r="A1651" s="201"/>
    </row>
    <row r="1652" spans="1:1">
      <c r="A1652" s="201"/>
    </row>
    <row r="1653" spans="1:1">
      <c r="A1653" s="201"/>
    </row>
    <row r="1654" spans="1:1">
      <c r="A1654" s="201"/>
    </row>
    <row r="1655" spans="1:1">
      <c r="A1655" s="201"/>
    </row>
    <row r="1656" spans="1:1">
      <c r="A1656" s="201"/>
    </row>
    <row r="1657" spans="1:1">
      <c r="A1657" s="201"/>
    </row>
    <row r="1658" spans="1:1">
      <c r="A1658" s="201"/>
    </row>
    <row r="1659" spans="1:1">
      <c r="A1659" s="201"/>
    </row>
    <row r="1660" spans="1:1">
      <c r="A1660" s="201"/>
    </row>
    <row r="1661" spans="1:1">
      <c r="A1661" s="201"/>
    </row>
    <row r="1662" spans="1:1">
      <c r="A1662" s="201"/>
    </row>
    <row r="1663" spans="1:1">
      <c r="A1663" s="201"/>
    </row>
    <row r="1664" spans="1:1">
      <c r="A1664" s="201"/>
    </row>
    <row r="1665" spans="1:1">
      <c r="A1665" s="201"/>
    </row>
    <row r="1666" spans="1:1">
      <c r="A1666" s="201"/>
    </row>
    <row r="1667" spans="1:1">
      <c r="A1667" s="201"/>
    </row>
    <row r="1668" spans="1:1">
      <c r="A1668" s="201"/>
    </row>
    <row r="1669" spans="1:1">
      <c r="A1669" s="201"/>
    </row>
    <row r="1670" spans="1:1">
      <c r="A1670" s="201"/>
    </row>
    <row r="1671" spans="1:1">
      <c r="A1671" s="201"/>
    </row>
    <row r="1672" spans="1:1">
      <c r="A1672" s="201"/>
    </row>
    <row r="1673" spans="1:1">
      <c r="A1673" s="201"/>
    </row>
    <row r="1674" spans="1:1">
      <c r="A1674" s="201"/>
    </row>
    <row r="1675" spans="1:1">
      <c r="A1675" s="201"/>
    </row>
    <row r="1676" spans="1:1">
      <c r="A1676" s="201"/>
    </row>
    <row r="1677" spans="1:1">
      <c r="A1677" s="201"/>
    </row>
    <row r="1678" spans="1:1">
      <c r="A1678" s="201"/>
    </row>
    <row r="1679" spans="1:1">
      <c r="A1679" s="201"/>
    </row>
    <row r="1680" spans="1:1">
      <c r="A1680" s="201"/>
    </row>
    <row r="1681" spans="1:1">
      <c r="A1681" s="201"/>
    </row>
    <row r="1682" spans="1:1">
      <c r="A1682" s="201"/>
    </row>
    <row r="1683" spans="1:1">
      <c r="A1683" s="201"/>
    </row>
    <row r="1684" spans="1:1">
      <c r="A1684" s="201"/>
    </row>
    <row r="1685" spans="1:1">
      <c r="A1685" s="201"/>
    </row>
    <row r="1686" spans="1:1">
      <c r="A1686" s="201"/>
    </row>
    <row r="1687" spans="1:1">
      <c r="A1687" s="201"/>
    </row>
    <row r="1688" spans="1:1">
      <c r="A1688" s="201"/>
    </row>
    <row r="1689" spans="1:1">
      <c r="A1689" s="201"/>
    </row>
    <row r="1690" spans="1:1">
      <c r="A1690" s="201"/>
    </row>
    <row r="1691" spans="1:1">
      <c r="A1691" s="201"/>
    </row>
    <row r="1692" spans="1:1">
      <c r="A1692" s="201"/>
    </row>
    <row r="1693" spans="1:1">
      <c r="A1693" s="201"/>
    </row>
    <row r="1694" spans="1:1">
      <c r="A1694" s="201"/>
    </row>
    <row r="1695" spans="1:1">
      <c r="A1695" s="201"/>
    </row>
    <row r="1696" spans="1:1">
      <c r="A1696" s="201"/>
    </row>
    <row r="1697" spans="1:1">
      <c r="A1697" s="201"/>
    </row>
    <row r="1698" spans="1:1">
      <c r="A1698" s="201"/>
    </row>
    <row r="1699" spans="1:1">
      <c r="A1699" s="201"/>
    </row>
    <row r="1700" spans="1:1">
      <c r="A1700" s="201"/>
    </row>
    <row r="1701" spans="1:1">
      <c r="A1701" s="201"/>
    </row>
    <row r="1702" spans="1:1">
      <c r="A1702" s="201"/>
    </row>
    <row r="1703" spans="1:1">
      <c r="A1703" s="201"/>
    </row>
    <row r="1704" spans="1:1">
      <c r="A1704" s="201"/>
    </row>
    <row r="1705" spans="1:1">
      <c r="A1705" s="201"/>
    </row>
    <row r="1706" spans="1:1">
      <c r="A1706" s="201"/>
    </row>
    <row r="1707" spans="1:1">
      <c r="A1707" s="201"/>
    </row>
    <row r="1708" spans="1:1">
      <c r="A1708" s="201"/>
    </row>
    <row r="1709" spans="1:1">
      <c r="A1709" s="201"/>
    </row>
    <row r="1710" spans="1:1">
      <c r="A1710" s="201"/>
    </row>
    <row r="1711" spans="1:1">
      <c r="A1711" s="201"/>
    </row>
    <row r="1712" spans="1:1">
      <c r="A1712" s="201"/>
    </row>
    <row r="1713" spans="1:7">
      <c r="A1713" s="201"/>
    </row>
    <row r="1714" spans="1:7">
      <c r="A1714" s="201"/>
    </row>
    <row r="1715" spans="1:7">
      <c r="A1715" s="201"/>
    </row>
    <row r="1716" spans="1:7">
      <c r="A1716" s="201"/>
    </row>
    <row r="1717" spans="1:7">
      <c r="A1717" s="201"/>
    </row>
    <row r="1718" spans="1:7">
      <c r="A1718" s="201"/>
    </row>
    <row r="1719" spans="1:7">
      <c r="A1719" s="201"/>
    </row>
    <row r="1720" spans="1:7">
      <c r="A1720" s="201"/>
      <c r="B1720" s="202"/>
      <c r="C1720" s="202"/>
      <c r="D1720" s="202"/>
      <c r="E1720" s="215"/>
      <c r="F1720" s="202"/>
      <c r="G1720" s="202"/>
    </row>
    <row r="1721" spans="1:7">
      <c r="A1721" s="201"/>
      <c r="B1721" s="202"/>
      <c r="C1721" s="202"/>
      <c r="D1721" s="202"/>
      <c r="E1721" s="215"/>
      <c r="F1721" s="202"/>
      <c r="G1721" s="202"/>
    </row>
    <row r="1722" spans="1:7">
      <c r="A1722" s="201"/>
    </row>
    <row r="1723" spans="1:7">
      <c r="A1723" s="201"/>
      <c r="B1723" s="202"/>
      <c r="C1723" s="202"/>
      <c r="D1723" s="202"/>
      <c r="E1723" s="215"/>
      <c r="F1723" s="202"/>
      <c r="G1723" s="202"/>
    </row>
    <row r="1724" spans="1:7">
      <c r="A1724" s="201"/>
      <c r="B1724" s="202"/>
      <c r="C1724" s="202"/>
      <c r="D1724" s="202"/>
      <c r="E1724" s="215"/>
      <c r="F1724" s="202"/>
      <c r="G1724" s="202"/>
    </row>
    <row r="1725" spans="1:7">
      <c r="A1725" s="201"/>
      <c r="B1725" s="202"/>
      <c r="C1725" s="202"/>
      <c r="D1725" s="202"/>
      <c r="E1725" s="215"/>
      <c r="F1725" s="202"/>
      <c r="G1725" s="202"/>
    </row>
  </sheetData>
  <mergeCells count="99">
    <mergeCell ref="B1028:G1028"/>
    <mergeCell ref="B962:G962"/>
    <mergeCell ref="B963:G963"/>
    <mergeCell ref="B951:G951"/>
    <mergeCell ref="B961:G961"/>
    <mergeCell ref="B1025:G1025"/>
    <mergeCell ref="B927:G927"/>
    <mergeCell ref="B929:G929"/>
    <mergeCell ref="B948:G948"/>
    <mergeCell ref="B952:G952"/>
    <mergeCell ref="B957:G957"/>
    <mergeCell ref="B133:G133"/>
    <mergeCell ref="B134:G134"/>
    <mergeCell ref="B137:G137"/>
    <mergeCell ref="B138:G138"/>
    <mergeCell ref="B135:G135"/>
    <mergeCell ref="B136:G136"/>
    <mergeCell ref="B2:G2"/>
    <mergeCell ref="B129:G129"/>
    <mergeCell ref="B130:G130"/>
    <mergeCell ref="B131:G131"/>
    <mergeCell ref="B132:G132"/>
    <mergeCell ref="B142:G142"/>
    <mergeCell ref="B139:G139"/>
    <mergeCell ref="B140:G140"/>
    <mergeCell ref="B149:G149"/>
    <mergeCell ref="B148:G148"/>
    <mergeCell ref="B146:G146"/>
    <mergeCell ref="B144:G144"/>
    <mergeCell ref="B147:G147"/>
    <mergeCell ref="B145:G145"/>
    <mergeCell ref="B143:G143"/>
    <mergeCell ref="B141:G141"/>
    <mergeCell ref="B465:G465"/>
    <mergeCell ref="B440:G440"/>
    <mergeCell ref="B595:G595"/>
    <mergeCell ref="B463:G463"/>
    <mergeCell ref="B464:G464"/>
    <mergeCell ref="B443:G443"/>
    <mergeCell ref="B469:G469"/>
    <mergeCell ref="B470:G470"/>
    <mergeCell ref="B468:G468"/>
    <mergeCell ref="B476:G476"/>
    <mergeCell ref="B477:G477"/>
    <mergeCell ref="B471:G471"/>
    <mergeCell ref="B475:G475"/>
    <mergeCell ref="B441:G441"/>
    <mergeCell ref="B478:G478"/>
    <mergeCell ref="B594:G594"/>
    <mergeCell ref="B152:G152"/>
    <mergeCell ref="B150:G150"/>
    <mergeCell ref="B151:G151"/>
    <mergeCell ref="B442:G442"/>
    <mergeCell ref="B429:G429"/>
    <mergeCell ref="B279:G279"/>
    <mergeCell ref="B415:G415"/>
    <mergeCell ref="B428:G428"/>
    <mergeCell ref="B414:G414"/>
    <mergeCell ref="B640:G640"/>
    <mergeCell ref="B641:G641"/>
    <mergeCell ref="B747:G747"/>
    <mergeCell ref="B745:G745"/>
    <mergeCell ref="B746:G746"/>
    <mergeCell ref="B657:G657"/>
    <mergeCell ref="B744:G744"/>
    <mergeCell ref="B656:G656"/>
    <mergeCell ref="B642:G642"/>
    <mergeCell ref="B950:G950"/>
    <mergeCell ref="B749:G749"/>
    <mergeCell ref="B784:G784"/>
    <mergeCell ref="B787:G787"/>
    <mergeCell ref="B790:G790"/>
    <mergeCell ref="B789:G789"/>
    <mergeCell ref="B788:G788"/>
    <mergeCell ref="B782:G782"/>
    <mergeCell ref="B783:G783"/>
    <mergeCell ref="B750:G750"/>
    <mergeCell ref="B781:G781"/>
    <mergeCell ref="B949:G949"/>
    <mergeCell ref="B930:G930"/>
    <mergeCell ref="B931:G931"/>
    <mergeCell ref="B932:G932"/>
    <mergeCell ref="B947:G947"/>
    <mergeCell ref="B964:G964"/>
    <mergeCell ref="B1024:G1024"/>
    <mergeCell ref="B794:G794"/>
    <mergeCell ref="B822:G822"/>
    <mergeCell ref="B863:G863"/>
    <mergeCell ref="B795:G795"/>
    <mergeCell ref="B960:G960"/>
    <mergeCell ref="B799:G799"/>
    <mergeCell ref="B800:G800"/>
    <mergeCell ref="B864:G864"/>
    <mergeCell ref="B924:G924"/>
    <mergeCell ref="B821:G821"/>
    <mergeCell ref="B958:G958"/>
    <mergeCell ref="B959:G959"/>
    <mergeCell ref="B925:G925"/>
    <mergeCell ref="B926:G926"/>
  </mergeCells>
  <conditionalFormatting sqref="B28:B1048576 B1:B20">
    <cfRule type="cellIs" dxfId="48" priority="7" operator="equal">
      <formula>"Fechou a Planilha"</formula>
    </cfRule>
    <cfRule type="cellIs" dxfId="47" priority="8" operator="equal">
      <formula>"Abriu a Planilha"</formula>
    </cfRule>
  </conditionalFormatting>
  <pageMargins left="8.8888888888888889E-3" right="8.8888888888888889E-3" top="2.6527777777777775E-2" bottom="2.6527777777777775E-2" header="1.0555555555555556E-2" footer="1.0555555555555556E-2"/>
  <pageSetup paperSize="9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3"/>
  <dimension ref="A1:S342"/>
  <sheetViews>
    <sheetView showGridLines="0" topLeftCell="A319" workbookViewId="0">
      <selection activeCell="G321" sqref="G321"/>
    </sheetView>
  </sheetViews>
  <sheetFormatPr defaultRowHeight="15"/>
  <cols>
    <col min="1" max="1" width="12.85546875" bestFit="1" customWidth="1"/>
    <col min="2" max="3" width="12.85546875" customWidth="1"/>
    <col min="4" max="4" width="37" bestFit="1" customWidth="1"/>
    <col min="5" max="6" width="11.140625" customWidth="1"/>
    <col min="7" max="7" width="9.85546875" customWidth="1"/>
    <col min="9" max="9" width="12.85546875" customWidth="1"/>
    <col min="10" max="17" width="9.140625" customWidth="1"/>
    <col min="18" max="18" width="6.7109375" customWidth="1"/>
    <col min="19" max="19" width="4" customWidth="1"/>
    <col min="20" max="20" width="9.140625" customWidth="1"/>
  </cols>
  <sheetData>
    <row r="1" spans="1:19">
      <c r="A1" s="63" t="str">
        <f t="shared" ref="A1:A32" si="0">$I$1</f>
        <v>Mantimentos</v>
      </c>
      <c r="B1">
        <f>ROW()</f>
        <v>1</v>
      </c>
      <c r="D1" t="s">
        <v>56</v>
      </c>
      <c r="F1" s="146" t="s">
        <v>326</v>
      </c>
      <c r="G1">
        <f>COUNTA(D:D)</f>
        <v>328</v>
      </c>
      <c r="I1" s="279" t="s">
        <v>55</v>
      </c>
      <c r="J1" s="279" t="s">
        <v>32</v>
      </c>
      <c r="K1" s="279" t="s">
        <v>215</v>
      </c>
      <c r="L1" s="279" t="s">
        <v>49</v>
      </c>
      <c r="M1" s="279" t="s">
        <v>214</v>
      </c>
      <c r="N1" s="279" t="s">
        <v>334</v>
      </c>
      <c r="O1" s="279" t="s">
        <v>414</v>
      </c>
      <c r="P1" s="279" t="s">
        <v>447</v>
      </c>
      <c r="Q1" s="189"/>
    </row>
    <row r="2" spans="1:19" ht="15.75" thickBot="1">
      <c r="A2" s="63" t="str">
        <f t="shared" si="0"/>
        <v>Mantimentos</v>
      </c>
      <c r="B2">
        <f>ROW()</f>
        <v>2</v>
      </c>
      <c r="D2" t="s">
        <v>3</v>
      </c>
      <c r="I2" s="280">
        <f>COUNTA(Cadastro_Mantimentos[[#All],[Colunas4]])</f>
        <v>132</v>
      </c>
      <c r="J2" s="280">
        <f>COUNTA(Cadastro_Carnes[[#All],[Colunas4]])</f>
        <v>29</v>
      </c>
      <c r="K2" s="280">
        <f>COUNTA(Cadastro_Queijo[[#All],[Colunas4]])</f>
        <v>3</v>
      </c>
      <c r="L2" s="280">
        <f>COUNTA(Cadastro_Peixes[[#All],[Colunas4]])</f>
        <v>5</v>
      </c>
      <c r="M2" s="280">
        <f>COUNTA(Cadastro_Hortfrut[[#All],[Colunas4]])</f>
        <v>59</v>
      </c>
      <c r="N2" s="280">
        <f>COUNTA(Cadastro_Limpeza[[#All],[Colunas4]])</f>
        <v>72</v>
      </c>
      <c r="O2" s="280">
        <f>COUNTA(Cadastro_Piscina[[#All],[Colunas4]])</f>
        <v>12</v>
      </c>
      <c r="P2" s="280">
        <f>COUNTA(Cadastro_covid[[#All],[Colunas4]])</f>
        <v>16</v>
      </c>
      <c r="R2" s="146"/>
      <c r="S2" s="159"/>
    </row>
    <row r="3" spans="1:19">
      <c r="A3" s="63" t="str">
        <f t="shared" si="0"/>
        <v>Mantimentos</v>
      </c>
      <c r="B3">
        <f>ROW()</f>
        <v>3</v>
      </c>
      <c r="D3" t="s">
        <v>251</v>
      </c>
    </row>
    <row r="4" spans="1:19">
      <c r="A4" s="63" t="str">
        <f t="shared" si="0"/>
        <v>Mantimentos</v>
      </c>
      <c r="B4">
        <f>ROW()</f>
        <v>4</v>
      </c>
      <c r="D4" t="s">
        <v>4</v>
      </c>
    </row>
    <row r="5" spans="1:19">
      <c r="A5" s="63" t="str">
        <f t="shared" si="0"/>
        <v>Mantimentos</v>
      </c>
      <c r="B5">
        <f>ROW()</f>
        <v>5</v>
      </c>
      <c r="D5" t="s">
        <v>57</v>
      </c>
    </row>
    <row r="6" spans="1:19">
      <c r="A6" s="63" t="str">
        <f t="shared" si="0"/>
        <v>Mantimentos</v>
      </c>
      <c r="B6">
        <f>ROW()</f>
        <v>6</v>
      </c>
      <c r="D6" t="s">
        <v>250</v>
      </c>
    </row>
    <row r="7" spans="1:19">
      <c r="A7" s="63" t="str">
        <f t="shared" si="0"/>
        <v>Mantimentos</v>
      </c>
      <c r="B7">
        <f>ROW()</f>
        <v>7</v>
      </c>
      <c r="D7" t="s">
        <v>249</v>
      </c>
    </row>
    <row r="8" spans="1:19">
      <c r="A8" s="63" t="str">
        <f t="shared" si="0"/>
        <v>Mantimentos</v>
      </c>
      <c r="B8">
        <f>ROW()</f>
        <v>8</v>
      </c>
      <c r="D8" t="s">
        <v>248</v>
      </c>
    </row>
    <row r="9" spans="1:19">
      <c r="A9" s="63" t="str">
        <f t="shared" si="0"/>
        <v>Mantimentos</v>
      </c>
      <c r="B9">
        <f>ROW()</f>
        <v>9</v>
      </c>
      <c r="D9" t="s">
        <v>5</v>
      </c>
    </row>
    <row r="10" spans="1:19">
      <c r="A10" s="63" t="str">
        <f t="shared" si="0"/>
        <v>Mantimentos</v>
      </c>
      <c r="B10">
        <f>ROW()</f>
        <v>10</v>
      </c>
      <c r="D10" t="s">
        <v>213</v>
      </c>
    </row>
    <row r="11" spans="1:19">
      <c r="A11" s="63" t="str">
        <f t="shared" si="0"/>
        <v>Mantimentos</v>
      </c>
      <c r="B11">
        <f>ROW()</f>
        <v>11</v>
      </c>
      <c r="D11" t="s">
        <v>6</v>
      </c>
    </row>
    <row r="12" spans="1:19">
      <c r="A12" s="63" t="str">
        <f t="shared" si="0"/>
        <v>Mantimentos</v>
      </c>
      <c r="B12">
        <f>ROW()</f>
        <v>12</v>
      </c>
      <c r="D12" t="s">
        <v>58</v>
      </c>
    </row>
    <row r="13" spans="1:19">
      <c r="A13" s="63" t="str">
        <f t="shared" si="0"/>
        <v>Mantimentos</v>
      </c>
      <c r="B13">
        <f>ROW()</f>
        <v>13</v>
      </c>
      <c r="D13" t="s">
        <v>247</v>
      </c>
    </row>
    <row r="14" spans="1:19">
      <c r="A14" s="63" t="str">
        <f t="shared" si="0"/>
        <v>Mantimentos</v>
      </c>
      <c r="B14">
        <f>ROW()</f>
        <v>14</v>
      </c>
      <c r="D14" t="s">
        <v>7</v>
      </c>
    </row>
    <row r="15" spans="1:19">
      <c r="A15" s="63" t="str">
        <f t="shared" si="0"/>
        <v>Mantimentos</v>
      </c>
      <c r="B15">
        <f>ROW()</f>
        <v>15</v>
      </c>
      <c r="D15" t="s">
        <v>174</v>
      </c>
    </row>
    <row r="16" spans="1:19">
      <c r="A16" s="63" t="str">
        <f t="shared" si="0"/>
        <v>Mantimentos</v>
      </c>
      <c r="B16">
        <f>ROW()</f>
        <v>16</v>
      </c>
      <c r="D16" t="s">
        <v>59</v>
      </c>
    </row>
    <row r="17" spans="1:4">
      <c r="A17" s="63" t="str">
        <f t="shared" si="0"/>
        <v>Mantimentos</v>
      </c>
      <c r="B17">
        <f>ROW()</f>
        <v>17</v>
      </c>
      <c r="D17" t="s">
        <v>60</v>
      </c>
    </row>
    <row r="18" spans="1:4">
      <c r="A18" s="63" t="str">
        <f t="shared" si="0"/>
        <v>Mantimentos</v>
      </c>
      <c r="B18">
        <f>ROW()</f>
        <v>18</v>
      </c>
      <c r="D18" t="s">
        <v>61</v>
      </c>
    </row>
    <row r="19" spans="1:4">
      <c r="A19" s="63" t="str">
        <f t="shared" si="0"/>
        <v>Mantimentos</v>
      </c>
      <c r="B19">
        <f>ROW()</f>
        <v>19</v>
      </c>
      <c r="D19" t="s">
        <v>62</v>
      </c>
    </row>
    <row r="20" spans="1:4">
      <c r="A20" s="63" t="str">
        <f t="shared" si="0"/>
        <v>Mantimentos</v>
      </c>
      <c r="B20">
        <f>ROW()</f>
        <v>20</v>
      </c>
      <c r="D20" t="s">
        <v>8</v>
      </c>
    </row>
    <row r="21" spans="1:4">
      <c r="A21" s="63" t="str">
        <f t="shared" si="0"/>
        <v>Mantimentos</v>
      </c>
      <c r="B21">
        <f>ROW()</f>
        <v>21</v>
      </c>
      <c r="D21" t="s">
        <v>63</v>
      </c>
    </row>
    <row r="22" spans="1:4">
      <c r="A22" s="63" t="str">
        <f t="shared" si="0"/>
        <v>Mantimentos</v>
      </c>
      <c r="B22">
        <f>ROW()</f>
        <v>22</v>
      </c>
      <c r="D22" t="s">
        <v>240</v>
      </c>
    </row>
    <row r="23" spans="1:4">
      <c r="A23" s="63" t="str">
        <f t="shared" si="0"/>
        <v>Mantimentos</v>
      </c>
      <c r="B23">
        <f>ROW()</f>
        <v>23</v>
      </c>
      <c r="D23" t="s">
        <v>244</v>
      </c>
    </row>
    <row r="24" spans="1:4">
      <c r="A24" s="63" t="str">
        <f t="shared" si="0"/>
        <v>Mantimentos</v>
      </c>
      <c r="B24">
        <f>ROW()</f>
        <v>24</v>
      </c>
      <c r="D24" t="s">
        <v>243</v>
      </c>
    </row>
    <row r="25" spans="1:4">
      <c r="A25" s="63" t="str">
        <f t="shared" si="0"/>
        <v>Mantimentos</v>
      </c>
      <c r="B25">
        <f>ROW()</f>
        <v>25</v>
      </c>
      <c r="D25" t="s">
        <v>242</v>
      </c>
    </row>
    <row r="26" spans="1:4">
      <c r="A26" s="63" t="str">
        <f t="shared" si="0"/>
        <v>Mantimentos</v>
      </c>
      <c r="B26">
        <f>ROW()</f>
        <v>26</v>
      </c>
      <c r="D26" t="s">
        <v>241</v>
      </c>
    </row>
    <row r="27" spans="1:4">
      <c r="A27" s="63" t="str">
        <f t="shared" si="0"/>
        <v>Mantimentos</v>
      </c>
      <c r="B27">
        <f>ROW()</f>
        <v>27</v>
      </c>
      <c r="D27" t="s">
        <v>64</v>
      </c>
    </row>
    <row r="28" spans="1:4">
      <c r="A28" s="63" t="str">
        <f t="shared" si="0"/>
        <v>Mantimentos</v>
      </c>
      <c r="B28">
        <f>ROW()</f>
        <v>28</v>
      </c>
      <c r="D28" t="s">
        <v>65</v>
      </c>
    </row>
    <row r="29" spans="1:4">
      <c r="A29" s="63" t="str">
        <f t="shared" si="0"/>
        <v>Mantimentos</v>
      </c>
      <c r="B29">
        <f>ROW()</f>
        <v>29</v>
      </c>
      <c r="D29" t="s">
        <v>175</v>
      </c>
    </row>
    <row r="30" spans="1:4">
      <c r="A30" s="63" t="str">
        <f t="shared" si="0"/>
        <v>Mantimentos</v>
      </c>
      <c r="B30">
        <f>ROW()</f>
        <v>30</v>
      </c>
      <c r="D30" t="s">
        <v>66</v>
      </c>
    </row>
    <row r="31" spans="1:4">
      <c r="A31" s="63" t="str">
        <f t="shared" si="0"/>
        <v>Mantimentos</v>
      </c>
      <c r="B31">
        <f>ROW()</f>
        <v>31</v>
      </c>
      <c r="D31" t="s">
        <v>66</v>
      </c>
    </row>
    <row r="32" spans="1:4">
      <c r="A32" s="63" t="str">
        <f t="shared" si="0"/>
        <v>Mantimentos</v>
      </c>
      <c r="B32">
        <f>ROW()</f>
        <v>32</v>
      </c>
      <c r="D32" t="s">
        <v>67</v>
      </c>
    </row>
    <row r="33" spans="1:4">
      <c r="A33" s="63" t="str">
        <f t="shared" ref="A33:A64" si="1">$I$1</f>
        <v>Mantimentos</v>
      </c>
      <c r="B33">
        <f>ROW()</f>
        <v>33</v>
      </c>
      <c r="D33" t="s">
        <v>258</v>
      </c>
    </row>
    <row r="34" spans="1:4">
      <c r="A34" s="63" t="str">
        <f t="shared" si="1"/>
        <v>Mantimentos</v>
      </c>
      <c r="B34">
        <f>ROW()</f>
        <v>34</v>
      </c>
      <c r="D34" t="s">
        <v>68</v>
      </c>
    </row>
    <row r="35" spans="1:4">
      <c r="A35" s="63" t="str">
        <f t="shared" si="1"/>
        <v>Mantimentos</v>
      </c>
      <c r="B35">
        <f>ROW()</f>
        <v>35</v>
      </c>
      <c r="D35" t="s">
        <v>312</v>
      </c>
    </row>
    <row r="36" spans="1:4">
      <c r="A36" s="63" t="str">
        <f t="shared" si="1"/>
        <v>Mantimentos</v>
      </c>
      <c r="B36">
        <f>ROW()</f>
        <v>36</v>
      </c>
      <c r="D36" t="s">
        <v>246</v>
      </c>
    </row>
    <row r="37" spans="1:4">
      <c r="A37" s="63" t="str">
        <f t="shared" si="1"/>
        <v>Mantimentos</v>
      </c>
      <c r="B37">
        <f>ROW()</f>
        <v>37</v>
      </c>
      <c r="D37" t="s">
        <v>69</v>
      </c>
    </row>
    <row r="38" spans="1:4">
      <c r="A38" s="63" t="str">
        <f t="shared" si="1"/>
        <v>Mantimentos</v>
      </c>
      <c r="B38">
        <f>ROW()</f>
        <v>38</v>
      </c>
      <c r="D38" t="s">
        <v>245</v>
      </c>
    </row>
    <row r="39" spans="1:4">
      <c r="A39" s="63" t="str">
        <f t="shared" si="1"/>
        <v>Mantimentos</v>
      </c>
      <c r="B39">
        <f>ROW()</f>
        <v>39</v>
      </c>
      <c r="D39" t="s">
        <v>181</v>
      </c>
    </row>
    <row r="40" spans="1:4">
      <c r="A40" s="63" t="str">
        <f t="shared" si="1"/>
        <v>Mantimentos</v>
      </c>
      <c r="B40">
        <f>ROW()</f>
        <v>40</v>
      </c>
      <c r="D40" t="s">
        <v>70</v>
      </c>
    </row>
    <row r="41" spans="1:4">
      <c r="A41" s="63" t="str">
        <f t="shared" si="1"/>
        <v>Mantimentos</v>
      </c>
      <c r="B41">
        <f>ROW()</f>
        <v>41</v>
      </c>
      <c r="D41" t="s">
        <v>71</v>
      </c>
    </row>
    <row r="42" spans="1:4">
      <c r="A42" s="63" t="str">
        <f t="shared" si="1"/>
        <v>Mantimentos</v>
      </c>
      <c r="B42">
        <f>ROW()</f>
        <v>42</v>
      </c>
      <c r="D42" t="s">
        <v>238</v>
      </c>
    </row>
    <row r="43" spans="1:4">
      <c r="A43" s="63" t="str">
        <f t="shared" si="1"/>
        <v>Mantimentos</v>
      </c>
      <c r="B43">
        <f>ROW()</f>
        <v>43</v>
      </c>
      <c r="D43" t="s">
        <v>237</v>
      </c>
    </row>
    <row r="44" spans="1:4">
      <c r="A44" s="63" t="str">
        <f t="shared" si="1"/>
        <v>Mantimentos</v>
      </c>
      <c r="B44">
        <f>ROW()</f>
        <v>44</v>
      </c>
      <c r="D44" t="s">
        <v>9</v>
      </c>
    </row>
    <row r="45" spans="1:4">
      <c r="A45" s="63" t="str">
        <f t="shared" si="1"/>
        <v>Mantimentos</v>
      </c>
      <c r="B45">
        <f>ROW()</f>
        <v>45</v>
      </c>
      <c r="D45" t="s">
        <v>72</v>
      </c>
    </row>
    <row r="46" spans="1:4">
      <c r="A46" s="63" t="str">
        <f t="shared" si="1"/>
        <v>Mantimentos</v>
      </c>
      <c r="B46">
        <f>ROW()</f>
        <v>46</v>
      </c>
      <c r="D46" t="s">
        <v>73</v>
      </c>
    </row>
    <row r="47" spans="1:4">
      <c r="A47" s="63" t="str">
        <f t="shared" si="1"/>
        <v>Mantimentos</v>
      </c>
      <c r="B47">
        <f>ROW()</f>
        <v>47</v>
      </c>
      <c r="D47" t="s">
        <v>10</v>
      </c>
    </row>
    <row r="48" spans="1:4">
      <c r="A48" s="63" t="str">
        <f t="shared" si="1"/>
        <v>Mantimentos</v>
      </c>
      <c r="B48">
        <f>ROW()</f>
        <v>48</v>
      </c>
      <c r="D48" t="s">
        <v>74</v>
      </c>
    </row>
    <row r="49" spans="1:4">
      <c r="A49" s="63" t="str">
        <f t="shared" si="1"/>
        <v>Mantimentos</v>
      </c>
      <c r="B49">
        <f>ROW()</f>
        <v>49</v>
      </c>
      <c r="D49" t="s">
        <v>75</v>
      </c>
    </row>
    <row r="50" spans="1:4">
      <c r="A50" s="63" t="str">
        <f t="shared" si="1"/>
        <v>Mantimentos</v>
      </c>
      <c r="B50">
        <f>ROW()</f>
        <v>50</v>
      </c>
      <c r="D50" t="s">
        <v>236</v>
      </c>
    </row>
    <row r="51" spans="1:4">
      <c r="A51" s="63" t="str">
        <f t="shared" si="1"/>
        <v>Mantimentos</v>
      </c>
      <c r="B51">
        <f>ROW()</f>
        <v>51</v>
      </c>
      <c r="D51" t="s">
        <v>235</v>
      </c>
    </row>
    <row r="52" spans="1:4">
      <c r="A52" s="63" t="str">
        <f t="shared" si="1"/>
        <v>Mantimentos</v>
      </c>
      <c r="B52">
        <f>ROW()</f>
        <v>52</v>
      </c>
      <c r="D52" t="s">
        <v>234</v>
      </c>
    </row>
    <row r="53" spans="1:4">
      <c r="A53" s="63" t="str">
        <f t="shared" si="1"/>
        <v>Mantimentos</v>
      </c>
      <c r="B53">
        <f>ROW()</f>
        <v>53</v>
      </c>
      <c r="D53" t="s">
        <v>76</v>
      </c>
    </row>
    <row r="54" spans="1:4">
      <c r="A54" s="63" t="str">
        <f t="shared" si="1"/>
        <v>Mantimentos</v>
      </c>
      <c r="B54">
        <f>ROW()</f>
        <v>54</v>
      </c>
      <c r="D54" t="s">
        <v>77</v>
      </c>
    </row>
    <row r="55" spans="1:4">
      <c r="A55" s="63" t="str">
        <f t="shared" si="1"/>
        <v>Mantimentos</v>
      </c>
      <c r="B55">
        <f>ROW()</f>
        <v>55</v>
      </c>
      <c r="D55" t="s">
        <v>78</v>
      </c>
    </row>
    <row r="56" spans="1:4">
      <c r="A56" s="63" t="str">
        <f t="shared" si="1"/>
        <v>Mantimentos</v>
      </c>
      <c r="B56">
        <f>ROW()</f>
        <v>56</v>
      </c>
      <c r="D56" t="s">
        <v>79</v>
      </c>
    </row>
    <row r="57" spans="1:4">
      <c r="A57" s="63" t="str">
        <f t="shared" si="1"/>
        <v>Mantimentos</v>
      </c>
      <c r="B57">
        <f>ROW()</f>
        <v>57</v>
      </c>
      <c r="D57" t="s">
        <v>80</v>
      </c>
    </row>
    <row r="58" spans="1:4">
      <c r="A58" s="63" t="str">
        <f t="shared" si="1"/>
        <v>Mantimentos</v>
      </c>
      <c r="B58">
        <f>ROW()</f>
        <v>58</v>
      </c>
      <c r="D58" t="s">
        <v>233</v>
      </c>
    </row>
    <row r="59" spans="1:4">
      <c r="A59" s="63" t="str">
        <f t="shared" si="1"/>
        <v>Mantimentos</v>
      </c>
      <c r="B59">
        <f>ROW()</f>
        <v>59</v>
      </c>
      <c r="D59" t="s">
        <v>81</v>
      </c>
    </row>
    <row r="60" spans="1:4">
      <c r="A60" s="63" t="str">
        <f t="shared" si="1"/>
        <v>Mantimentos</v>
      </c>
      <c r="B60">
        <f>ROW()</f>
        <v>60</v>
      </c>
      <c r="D60" t="s">
        <v>11</v>
      </c>
    </row>
    <row r="61" spans="1:4">
      <c r="A61" s="63" t="str">
        <f t="shared" si="1"/>
        <v>Mantimentos</v>
      </c>
      <c r="B61">
        <f>ROW()</f>
        <v>61</v>
      </c>
      <c r="D61" t="s">
        <v>232</v>
      </c>
    </row>
    <row r="62" spans="1:4">
      <c r="A62" s="63" t="str">
        <f t="shared" si="1"/>
        <v>Mantimentos</v>
      </c>
      <c r="B62">
        <f>ROW()</f>
        <v>62</v>
      </c>
      <c r="D62" t="s">
        <v>12</v>
      </c>
    </row>
    <row r="63" spans="1:4">
      <c r="A63" s="63" t="str">
        <f t="shared" si="1"/>
        <v>Mantimentos</v>
      </c>
      <c r="B63">
        <f>ROW()</f>
        <v>63</v>
      </c>
      <c r="D63" t="s">
        <v>13</v>
      </c>
    </row>
    <row r="64" spans="1:4">
      <c r="A64" s="63" t="str">
        <f t="shared" si="1"/>
        <v>Mantimentos</v>
      </c>
      <c r="B64">
        <f>ROW()</f>
        <v>64</v>
      </c>
      <c r="D64" t="s">
        <v>14</v>
      </c>
    </row>
    <row r="65" spans="1:4">
      <c r="A65" s="63" t="str">
        <f t="shared" ref="A65:A96" si="2">$I$1</f>
        <v>Mantimentos</v>
      </c>
      <c r="B65">
        <f>ROW()</f>
        <v>65</v>
      </c>
      <c r="D65" t="s">
        <v>15</v>
      </c>
    </row>
    <row r="66" spans="1:4">
      <c r="A66" s="63" t="str">
        <f t="shared" si="2"/>
        <v>Mantimentos</v>
      </c>
      <c r="B66">
        <f>ROW()</f>
        <v>66</v>
      </c>
      <c r="D66" t="s">
        <v>16</v>
      </c>
    </row>
    <row r="67" spans="1:4">
      <c r="A67" s="63" t="str">
        <f t="shared" si="2"/>
        <v>Mantimentos</v>
      </c>
      <c r="B67">
        <f>ROW()</f>
        <v>67</v>
      </c>
      <c r="D67" t="s">
        <v>17</v>
      </c>
    </row>
    <row r="68" spans="1:4">
      <c r="A68" s="63" t="str">
        <f t="shared" si="2"/>
        <v>Mantimentos</v>
      </c>
      <c r="B68">
        <f>ROW()</f>
        <v>68</v>
      </c>
      <c r="D68" t="s">
        <v>18</v>
      </c>
    </row>
    <row r="69" spans="1:4">
      <c r="A69" s="63" t="str">
        <f t="shared" si="2"/>
        <v>Mantimentos</v>
      </c>
      <c r="B69">
        <f>ROW()</f>
        <v>69</v>
      </c>
      <c r="D69" t="s">
        <v>231</v>
      </c>
    </row>
    <row r="70" spans="1:4">
      <c r="A70" s="63" t="str">
        <f t="shared" si="2"/>
        <v>Mantimentos</v>
      </c>
      <c r="B70">
        <f>ROW()</f>
        <v>70</v>
      </c>
      <c r="D70" t="s">
        <v>19</v>
      </c>
    </row>
    <row r="71" spans="1:4">
      <c r="A71" s="63" t="str">
        <f t="shared" si="2"/>
        <v>Mantimentos</v>
      </c>
      <c r="B71">
        <f>ROW()</f>
        <v>71</v>
      </c>
      <c r="D71" t="s">
        <v>82</v>
      </c>
    </row>
    <row r="72" spans="1:4">
      <c r="A72" s="63" t="str">
        <f t="shared" si="2"/>
        <v>Mantimentos</v>
      </c>
      <c r="B72">
        <f>ROW()</f>
        <v>72</v>
      </c>
      <c r="D72" t="s">
        <v>216</v>
      </c>
    </row>
    <row r="73" spans="1:4">
      <c r="A73" s="63" t="str">
        <f t="shared" si="2"/>
        <v>Mantimentos</v>
      </c>
      <c r="B73">
        <f>ROW()</f>
        <v>73</v>
      </c>
      <c r="D73" t="s">
        <v>211</v>
      </c>
    </row>
    <row r="74" spans="1:4">
      <c r="A74" s="63" t="str">
        <f t="shared" si="2"/>
        <v>Mantimentos</v>
      </c>
      <c r="B74">
        <f>ROW()</f>
        <v>74</v>
      </c>
      <c r="D74" t="s">
        <v>212</v>
      </c>
    </row>
    <row r="75" spans="1:4">
      <c r="A75" s="63" t="str">
        <f t="shared" si="2"/>
        <v>Mantimentos</v>
      </c>
      <c r="B75">
        <f>ROW()</f>
        <v>75</v>
      </c>
      <c r="D75" t="s">
        <v>83</v>
      </c>
    </row>
    <row r="76" spans="1:4">
      <c r="A76" s="63" t="str">
        <f t="shared" si="2"/>
        <v>Mantimentos</v>
      </c>
      <c r="B76">
        <f>ROW()</f>
        <v>76</v>
      </c>
      <c r="D76" t="s">
        <v>230</v>
      </c>
    </row>
    <row r="77" spans="1:4">
      <c r="A77" s="63" t="str">
        <f t="shared" si="2"/>
        <v>Mantimentos</v>
      </c>
      <c r="B77">
        <f>ROW()</f>
        <v>77</v>
      </c>
      <c r="D77" t="s">
        <v>229</v>
      </c>
    </row>
    <row r="78" spans="1:4">
      <c r="A78" s="63" t="str">
        <f t="shared" si="2"/>
        <v>Mantimentos</v>
      </c>
      <c r="B78">
        <f>ROW()</f>
        <v>78</v>
      </c>
      <c r="D78" t="s">
        <v>239</v>
      </c>
    </row>
    <row r="79" spans="1:4">
      <c r="A79" s="63" t="str">
        <f t="shared" si="2"/>
        <v>Mantimentos</v>
      </c>
      <c r="B79">
        <f>ROW()</f>
        <v>79</v>
      </c>
      <c r="D79" t="s">
        <v>228</v>
      </c>
    </row>
    <row r="80" spans="1:4">
      <c r="A80" s="63" t="str">
        <f t="shared" si="2"/>
        <v>Mantimentos</v>
      </c>
      <c r="B80">
        <f>ROW()</f>
        <v>80</v>
      </c>
      <c r="D80" t="s">
        <v>227</v>
      </c>
    </row>
    <row r="81" spans="1:4">
      <c r="A81" s="63" t="str">
        <f t="shared" si="2"/>
        <v>Mantimentos</v>
      </c>
      <c r="B81">
        <f>ROW()</f>
        <v>81</v>
      </c>
      <c r="D81" t="s">
        <v>102</v>
      </c>
    </row>
    <row r="82" spans="1:4">
      <c r="A82" s="63" t="str">
        <f t="shared" si="2"/>
        <v>Mantimentos</v>
      </c>
      <c r="B82">
        <f>ROW()</f>
        <v>82</v>
      </c>
      <c r="D82" t="s">
        <v>20</v>
      </c>
    </row>
    <row r="83" spans="1:4">
      <c r="A83" s="63" t="str">
        <f t="shared" si="2"/>
        <v>Mantimentos</v>
      </c>
      <c r="B83">
        <f>ROW()</f>
        <v>83</v>
      </c>
      <c r="D83" t="s">
        <v>21</v>
      </c>
    </row>
    <row r="84" spans="1:4">
      <c r="A84" s="63" t="str">
        <f t="shared" si="2"/>
        <v>Mantimentos</v>
      </c>
      <c r="B84">
        <f>ROW()</f>
        <v>84</v>
      </c>
      <c r="D84" t="s">
        <v>22</v>
      </c>
    </row>
    <row r="85" spans="1:4">
      <c r="A85" s="63" t="str">
        <f t="shared" si="2"/>
        <v>Mantimentos</v>
      </c>
      <c r="B85">
        <f>ROW()</f>
        <v>85</v>
      </c>
      <c r="D85" t="s">
        <v>128</v>
      </c>
    </row>
    <row r="86" spans="1:4">
      <c r="A86" s="63" t="str">
        <f t="shared" si="2"/>
        <v>Mantimentos</v>
      </c>
      <c r="B86">
        <f>ROW()</f>
        <v>86</v>
      </c>
      <c r="D86" t="s">
        <v>84</v>
      </c>
    </row>
    <row r="87" spans="1:4">
      <c r="A87" s="63" t="str">
        <f t="shared" si="2"/>
        <v>Mantimentos</v>
      </c>
      <c r="B87">
        <f>ROW()</f>
        <v>87</v>
      </c>
      <c r="D87" t="s">
        <v>313</v>
      </c>
    </row>
    <row r="88" spans="1:4">
      <c r="A88" s="63" t="str">
        <f t="shared" si="2"/>
        <v>Mantimentos</v>
      </c>
      <c r="B88">
        <f>ROW()</f>
        <v>88</v>
      </c>
      <c r="D88" t="s">
        <v>226</v>
      </c>
    </row>
    <row r="89" spans="1:4">
      <c r="A89" s="63" t="str">
        <f t="shared" si="2"/>
        <v>Mantimentos</v>
      </c>
      <c r="B89">
        <f>ROW()</f>
        <v>89</v>
      </c>
      <c r="D89" t="s">
        <v>225</v>
      </c>
    </row>
    <row r="90" spans="1:4">
      <c r="A90" s="63" t="str">
        <f t="shared" si="2"/>
        <v>Mantimentos</v>
      </c>
      <c r="B90">
        <f>ROW()</f>
        <v>90</v>
      </c>
      <c r="D90" t="s">
        <v>252</v>
      </c>
    </row>
    <row r="91" spans="1:4">
      <c r="A91" s="63" t="str">
        <f t="shared" si="2"/>
        <v>Mantimentos</v>
      </c>
      <c r="B91">
        <f>ROW()</f>
        <v>91</v>
      </c>
      <c r="D91" t="s">
        <v>224</v>
      </c>
    </row>
    <row r="92" spans="1:4">
      <c r="A92" s="63" t="str">
        <f t="shared" si="2"/>
        <v>Mantimentos</v>
      </c>
      <c r="B92">
        <f>ROW()</f>
        <v>92</v>
      </c>
      <c r="D92" t="s">
        <v>23</v>
      </c>
    </row>
    <row r="93" spans="1:4">
      <c r="A93" s="63" t="str">
        <f t="shared" si="2"/>
        <v>Mantimentos</v>
      </c>
      <c r="B93">
        <f>ROW()</f>
        <v>93</v>
      </c>
      <c r="D93" t="s">
        <v>223</v>
      </c>
    </row>
    <row r="94" spans="1:4">
      <c r="A94" s="63" t="str">
        <f t="shared" si="2"/>
        <v>Mantimentos</v>
      </c>
      <c r="B94">
        <f>ROW()</f>
        <v>94</v>
      </c>
      <c r="D94" t="s">
        <v>120</v>
      </c>
    </row>
    <row r="95" spans="1:4">
      <c r="A95" s="63" t="str">
        <f t="shared" si="2"/>
        <v>Mantimentos</v>
      </c>
      <c r="B95">
        <f>ROW()</f>
        <v>95</v>
      </c>
      <c r="D95" t="s">
        <v>222</v>
      </c>
    </row>
    <row r="96" spans="1:4">
      <c r="A96" s="63" t="str">
        <f t="shared" si="2"/>
        <v>Mantimentos</v>
      </c>
      <c r="B96">
        <f>ROW()</f>
        <v>96</v>
      </c>
      <c r="D96" t="s">
        <v>85</v>
      </c>
    </row>
    <row r="97" spans="1:4">
      <c r="A97" s="63" t="str">
        <f t="shared" ref="A97:A132" si="3">$I$1</f>
        <v>Mantimentos</v>
      </c>
      <c r="B97">
        <f>ROW()</f>
        <v>97</v>
      </c>
      <c r="D97" t="s">
        <v>221</v>
      </c>
    </row>
    <row r="98" spans="1:4">
      <c r="A98" s="63" t="str">
        <f t="shared" si="3"/>
        <v>Mantimentos</v>
      </c>
      <c r="B98">
        <f>ROW()</f>
        <v>98</v>
      </c>
      <c r="D98" t="s">
        <v>86</v>
      </c>
    </row>
    <row r="99" spans="1:4">
      <c r="A99" s="63" t="str">
        <f t="shared" si="3"/>
        <v>Mantimentos</v>
      </c>
      <c r="B99">
        <f>ROW()</f>
        <v>99</v>
      </c>
      <c r="D99" t="s">
        <v>24</v>
      </c>
    </row>
    <row r="100" spans="1:4">
      <c r="A100" s="63" t="str">
        <f t="shared" si="3"/>
        <v>Mantimentos</v>
      </c>
      <c r="B100">
        <f>ROW()</f>
        <v>100</v>
      </c>
      <c r="D100" t="s">
        <v>25</v>
      </c>
    </row>
    <row r="101" spans="1:4">
      <c r="A101" s="63" t="str">
        <f t="shared" si="3"/>
        <v>Mantimentos</v>
      </c>
      <c r="B101">
        <f>ROW()</f>
        <v>101</v>
      </c>
      <c r="D101" t="s">
        <v>87</v>
      </c>
    </row>
    <row r="102" spans="1:4">
      <c r="A102" s="63" t="str">
        <f t="shared" si="3"/>
        <v>Mantimentos</v>
      </c>
      <c r="B102">
        <f>ROW()</f>
        <v>102</v>
      </c>
      <c r="D102" t="s">
        <v>88</v>
      </c>
    </row>
    <row r="103" spans="1:4">
      <c r="A103" s="63" t="str">
        <f t="shared" si="3"/>
        <v>Mantimentos</v>
      </c>
      <c r="B103">
        <f>ROW()</f>
        <v>103</v>
      </c>
      <c r="D103" t="s">
        <v>173</v>
      </c>
    </row>
    <row r="104" spans="1:4">
      <c r="A104" s="63" t="str">
        <f t="shared" si="3"/>
        <v>Mantimentos</v>
      </c>
      <c r="B104">
        <f>ROW()</f>
        <v>104</v>
      </c>
      <c r="D104" t="s">
        <v>89</v>
      </c>
    </row>
    <row r="105" spans="1:4">
      <c r="A105" s="63" t="str">
        <f t="shared" si="3"/>
        <v>Mantimentos</v>
      </c>
      <c r="B105">
        <f>ROW()</f>
        <v>105</v>
      </c>
      <c r="D105" t="s">
        <v>90</v>
      </c>
    </row>
    <row r="106" spans="1:4">
      <c r="A106" s="63" t="str">
        <f t="shared" si="3"/>
        <v>Mantimentos</v>
      </c>
      <c r="B106">
        <f>ROW()</f>
        <v>106</v>
      </c>
      <c r="D106" t="s">
        <v>91</v>
      </c>
    </row>
    <row r="107" spans="1:4">
      <c r="A107" s="63" t="str">
        <f t="shared" si="3"/>
        <v>Mantimentos</v>
      </c>
      <c r="B107">
        <f>ROW()</f>
        <v>107</v>
      </c>
      <c r="D107" t="s">
        <v>92</v>
      </c>
    </row>
    <row r="108" spans="1:4">
      <c r="A108" s="63" t="str">
        <f t="shared" si="3"/>
        <v>Mantimentos</v>
      </c>
      <c r="B108">
        <f>ROW()</f>
        <v>108</v>
      </c>
      <c r="D108" t="s">
        <v>93</v>
      </c>
    </row>
    <row r="109" spans="1:4">
      <c r="A109" s="63" t="str">
        <f t="shared" si="3"/>
        <v>Mantimentos</v>
      </c>
      <c r="B109">
        <f>ROW()</f>
        <v>109</v>
      </c>
      <c r="D109" t="s">
        <v>94</v>
      </c>
    </row>
    <row r="110" spans="1:4">
      <c r="A110" s="63" t="str">
        <f t="shared" si="3"/>
        <v>Mantimentos</v>
      </c>
      <c r="B110">
        <f>ROW()</f>
        <v>110</v>
      </c>
      <c r="D110" t="s">
        <v>95</v>
      </c>
    </row>
    <row r="111" spans="1:4">
      <c r="A111" s="63" t="str">
        <f t="shared" si="3"/>
        <v>Mantimentos</v>
      </c>
      <c r="B111">
        <f>ROW()</f>
        <v>111</v>
      </c>
      <c r="D111" t="s">
        <v>26</v>
      </c>
    </row>
    <row r="112" spans="1:4">
      <c r="A112" s="63" t="str">
        <f t="shared" si="3"/>
        <v>Mantimentos</v>
      </c>
      <c r="B112">
        <f>ROW()</f>
        <v>112</v>
      </c>
      <c r="D112" t="s">
        <v>131</v>
      </c>
    </row>
    <row r="113" spans="1:4">
      <c r="A113" s="63" t="str">
        <f t="shared" si="3"/>
        <v>Mantimentos</v>
      </c>
      <c r="B113">
        <f>ROW()</f>
        <v>113</v>
      </c>
      <c r="D113" t="s">
        <v>27</v>
      </c>
    </row>
    <row r="114" spans="1:4">
      <c r="A114" s="63" t="str">
        <f t="shared" si="3"/>
        <v>Mantimentos</v>
      </c>
      <c r="B114">
        <f>ROW()</f>
        <v>114</v>
      </c>
      <c r="D114" t="s">
        <v>96</v>
      </c>
    </row>
    <row r="115" spans="1:4">
      <c r="A115" s="63" t="str">
        <f t="shared" si="3"/>
        <v>Mantimentos</v>
      </c>
      <c r="B115">
        <f>ROW()</f>
        <v>115</v>
      </c>
      <c r="D115" t="s">
        <v>28</v>
      </c>
    </row>
    <row r="116" spans="1:4">
      <c r="A116" s="63" t="str">
        <f t="shared" si="3"/>
        <v>Mantimentos</v>
      </c>
      <c r="B116">
        <f>ROW()</f>
        <v>116</v>
      </c>
      <c r="D116" t="s">
        <v>29</v>
      </c>
    </row>
    <row r="117" spans="1:4">
      <c r="A117" s="63" t="str">
        <f t="shared" si="3"/>
        <v>Mantimentos</v>
      </c>
      <c r="B117">
        <f>ROW()</f>
        <v>117</v>
      </c>
      <c r="D117" t="s">
        <v>210</v>
      </c>
    </row>
    <row r="118" spans="1:4">
      <c r="A118" s="63" t="str">
        <f t="shared" si="3"/>
        <v>Mantimentos</v>
      </c>
      <c r="B118">
        <f>ROW()</f>
        <v>118</v>
      </c>
      <c r="D118" t="s">
        <v>97</v>
      </c>
    </row>
    <row r="119" spans="1:4">
      <c r="A119" s="63" t="str">
        <f t="shared" si="3"/>
        <v>Mantimentos</v>
      </c>
      <c r="B119">
        <f>ROW()</f>
        <v>119</v>
      </c>
      <c r="D119" t="s">
        <v>257</v>
      </c>
    </row>
    <row r="120" spans="1:4">
      <c r="A120" s="63" t="str">
        <f t="shared" si="3"/>
        <v>Mantimentos</v>
      </c>
      <c r="B120">
        <f>ROW()</f>
        <v>120</v>
      </c>
      <c r="D120" t="s">
        <v>98</v>
      </c>
    </row>
    <row r="121" spans="1:4">
      <c r="A121" s="63" t="str">
        <f t="shared" si="3"/>
        <v>Mantimentos</v>
      </c>
      <c r="B121">
        <f>ROW()</f>
        <v>121</v>
      </c>
      <c r="D121" t="s">
        <v>99</v>
      </c>
    </row>
    <row r="122" spans="1:4">
      <c r="A122" s="63" t="str">
        <f t="shared" si="3"/>
        <v>Mantimentos</v>
      </c>
      <c r="B122">
        <f>ROW()</f>
        <v>122</v>
      </c>
      <c r="D122" t="s">
        <v>169</v>
      </c>
    </row>
    <row r="123" spans="1:4">
      <c r="A123" s="63" t="str">
        <f t="shared" si="3"/>
        <v>Mantimentos</v>
      </c>
      <c r="B123">
        <f>ROW()</f>
        <v>123</v>
      </c>
      <c r="D123" t="s">
        <v>315</v>
      </c>
    </row>
    <row r="124" spans="1:4">
      <c r="A124" s="63" t="str">
        <f t="shared" si="3"/>
        <v>Mantimentos</v>
      </c>
      <c r="B124">
        <f>ROW()</f>
        <v>124</v>
      </c>
      <c r="D124" t="s">
        <v>100</v>
      </c>
    </row>
    <row r="125" spans="1:4">
      <c r="A125" s="63" t="str">
        <f t="shared" si="3"/>
        <v>Mantimentos</v>
      </c>
      <c r="B125">
        <f>ROW()</f>
        <v>125</v>
      </c>
      <c r="D125" t="s">
        <v>170</v>
      </c>
    </row>
    <row r="126" spans="1:4">
      <c r="A126" s="63" t="str">
        <f t="shared" si="3"/>
        <v>Mantimentos</v>
      </c>
      <c r="B126">
        <f>ROW()</f>
        <v>126</v>
      </c>
      <c r="D126" t="s">
        <v>314</v>
      </c>
    </row>
    <row r="127" spans="1:4">
      <c r="A127" s="63" t="str">
        <f t="shared" si="3"/>
        <v>Mantimentos</v>
      </c>
      <c r="B127">
        <f>ROW()</f>
        <v>127</v>
      </c>
      <c r="D127" t="s">
        <v>30</v>
      </c>
    </row>
    <row r="128" spans="1:4">
      <c r="A128" s="63" t="str">
        <f t="shared" si="3"/>
        <v>Mantimentos</v>
      </c>
      <c r="B128">
        <f>ROW()</f>
        <v>128</v>
      </c>
      <c r="D128" t="s">
        <v>220</v>
      </c>
    </row>
    <row r="129" spans="1:4">
      <c r="A129" s="63" t="str">
        <f t="shared" si="3"/>
        <v>Mantimentos</v>
      </c>
      <c r="B129">
        <f>ROW()</f>
        <v>129</v>
      </c>
      <c r="D129" t="s">
        <v>101</v>
      </c>
    </row>
    <row r="130" spans="1:4">
      <c r="A130" s="63" t="str">
        <f t="shared" si="3"/>
        <v>Mantimentos</v>
      </c>
      <c r="B130">
        <f>ROW()</f>
        <v>130</v>
      </c>
      <c r="D130" t="s">
        <v>253</v>
      </c>
    </row>
    <row r="131" spans="1:4">
      <c r="A131" s="63" t="str">
        <f t="shared" si="3"/>
        <v>Mantimentos</v>
      </c>
      <c r="B131">
        <f>ROW()</f>
        <v>131</v>
      </c>
      <c r="D131" t="s">
        <v>31</v>
      </c>
    </row>
    <row r="132" spans="1:4">
      <c r="A132" s="63" t="str">
        <f t="shared" si="3"/>
        <v>Mantimentos</v>
      </c>
      <c r="B132">
        <f>ROW()</f>
        <v>132</v>
      </c>
      <c r="D132" t="s">
        <v>217</v>
      </c>
    </row>
    <row r="135" spans="1:4">
      <c r="A135" s="63" t="str">
        <f t="shared" ref="A135:A163" si="4">$J$1</f>
        <v>Carnes</v>
      </c>
      <c r="B135">
        <f>ROW()</f>
        <v>135</v>
      </c>
      <c r="D135" t="s">
        <v>171</v>
      </c>
    </row>
    <row r="136" spans="1:4">
      <c r="A136" s="63" t="str">
        <f t="shared" si="4"/>
        <v>Carnes</v>
      </c>
      <c r="B136">
        <f>ROW()</f>
        <v>136</v>
      </c>
      <c r="D136" t="s">
        <v>187</v>
      </c>
    </row>
    <row r="137" spans="1:4">
      <c r="A137" s="63" t="str">
        <f t="shared" si="4"/>
        <v>Carnes</v>
      </c>
      <c r="B137">
        <f>ROW()</f>
        <v>137</v>
      </c>
      <c r="D137" t="s">
        <v>33</v>
      </c>
    </row>
    <row r="138" spans="1:4">
      <c r="A138" s="63" t="str">
        <f t="shared" si="4"/>
        <v>Carnes</v>
      </c>
      <c r="B138">
        <f>ROW()</f>
        <v>138</v>
      </c>
      <c r="D138" t="s">
        <v>34</v>
      </c>
    </row>
    <row r="139" spans="1:4">
      <c r="A139" s="63" t="str">
        <f t="shared" si="4"/>
        <v>Carnes</v>
      </c>
      <c r="B139">
        <f>ROW()</f>
        <v>139</v>
      </c>
      <c r="D139" t="s">
        <v>104</v>
      </c>
    </row>
    <row r="140" spans="1:4">
      <c r="A140" s="63" t="str">
        <f t="shared" si="4"/>
        <v>Carnes</v>
      </c>
      <c r="B140">
        <f>ROW()</f>
        <v>140</v>
      </c>
      <c r="D140" t="s">
        <v>180</v>
      </c>
    </row>
    <row r="141" spans="1:4">
      <c r="A141" s="63" t="str">
        <f t="shared" si="4"/>
        <v>Carnes</v>
      </c>
      <c r="B141">
        <f>ROW()</f>
        <v>141</v>
      </c>
      <c r="D141" t="s">
        <v>172</v>
      </c>
    </row>
    <row r="142" spans="1:4">
      <c r="A142" s="63" t="str">
        <f t="shared" si="4"/>
        <v>Carnes</v>
      </c>
      <c r="B142">
        <f>ROW()</f>
        <v>142</v>
      </c>
      <c r="D142" t="s">
        <v>105</v>
      </c>
    </row>
    <row r="143" spans="1:4">
      <c r="A143" s="63" t="str">
        <f t="shared" si="4"/>
        <v>Carnes</v>
      </c>
      <c r="B143">
        <f>ROW()</f>
        <v>143</v>
      </c>
      <c r="D143" t="s">
        <v>36</v>
      </c>
    </row>
    <row r="144" spans="1:4">
      <c r="A144" s="63" t="str">
        <f t="shared" si="4"/>
        <v>Carnes</v>
      </c>
      <c r="B144">
        <f>ROW()</f>
        <v>144</v>
      </c>
      <c r="D144" t="s">
        <v>37</v>
      </c>
    </row>
    <row r="145" spans="1:4">
      <c r="A145" s="63" t="str">
        <f t="shared" si="4"/>
        <v>Carnes</v>
      </c>
      <c r="B145">
        <f>ROW()</f>
        <v>145</v>
      </c>
      <c r="D145" t="s">
        <v>106</v>
      </c>
    </row>
    <row r="146" spans="1:4">
      <c r="A146" s="63" t="str">
        <f t="shared" si="4"/>
        <v>Carnes</v>
      </c>
      <c r="B146">
        <f>ROW()</f>
        <v>146</v>
      </c>
      <c r="D146" t="s">
        <v>107</v>
      </c>
    </row>
    <row r="147" spans="1:4">
      <c r="A147" s="63" t="str">
        <f t="shared" si="4"/>
        <v>Carnes</v>
      </c>
      <c r="B147">
        <f>ROW()</f>
        <v>147</v>
      </c>
      <c r="D147" t="s">
        <v>219</v>
      </c>
    </row>
    <row r="148" spans="1:4">
      <c r="A148" s="63" t="str">
        <f t="shared" si="4"/>
        <v>Carnes</v>
      </c>
      <c r="B148">
        <f>ROW()</f>
        <v>148</v>
      </c>
      <c r="D148" t="s">
        <v>254</v>
      </c>
    </row>
    <row r="149" spans="1:4">
      <c r="A149" s="63" t="str">
        <f t="shared" si="4"/>
        <v>Carnes</v>
      </c>
      <c r="B149">
        <f>ROW()</f>
        <v>149</v>
      </c>
      <c r="D149" t="s">
        <v>109</v>
      </c>
    </row>
    <row r="150" spans="1:4">
      <c r="A150" s="63" t="str">
        <f t="shared" si="4"/>
        <v>Carnes</v>
      </c>
      <c r="B150">
        <f>ROW()</f>
        <v>150</v>
      </c>
      <c r="D150" t="s">
        <v>38</v>
      </c>
    </row>
    <row r="151" spans="1:4">
      <c r="A151" s="63" t="str">
        <f t="shared" si="4"/>
        <v>Carnes</v>
      </c>
      <c r="B151">
        <f>ROW()</f>
        <v>151</v>
      </c>
      <c r="D151" t="s">
        <v>255</v>
      </c>
    </row>
    <row r="152" spans="1:4">
      <c r="A152" s="63" t="str">
        <f t="shared" si="4"/>
        <v>Carnes</v>
      </c>
      <c r="B152">
        <f>ROW()</f>
        <v>152</v>
      </c>
      <c r="D152" t="s">
        <v>39</v>
      </c>
    </row>
    <row r="153" spans="1:4">
      <c r="A153" s="63" t="str">
        <f t="shared" si="4"/>
        <v>Carnes</v>
      </c>
      <c r="B153">
        <f>ROW()</f>
        <v>153</v>
      </c>
      <c r="D153" t="s">
        <v>179</v>
      </c>
    </row>
    <row r="154" spans="1:4">
      <c r="A154" s="63" t="str">
        <f t="shared" si="4"/>
        <v>Carnes</v>
      </c>
      <c r="B154">
        <f>ROW()</f>
        <v>154</v>
      </c>
      <c r="D154" t="s">
        <v>178</v>
      </c>
    </row>
    <row r="155" spans="1:4">
      <c r="A155" s="63" t="str">
        <f t="shared" si="4"/>
        <v>Carnes</v>
      </c>
      <c r="B155">
        <f>ROW()</f>
        <v>155</v>
      </c>
      <c r="D155" t="s">
        <v>177</v>
      </c>
    </row>
    <row r="156" spans="1:4">
      <c r="A156" s="63" t="str">
        <f t="shared" si="4"/>
        <v>Carnes</v>
      </c>
      <c r="B156">
        <f>ROW()</f>
        <v>156</v>
      </c>
      <c r="D156" t="s">
        <v>110</v>
      </c>
    </row>
    <row r="157" spans="1:4">
      <c r="A157" s="63" t="str">
        <f t="shared" si="4"/>
        <v>Carnes</v>
      </c>
      <c r="B157">
        <f>ROW()</f>
        <v>157</v>
      </c>
      <c r="D157" t="s">
        <v>40</v>
      </c>
    </row>
    <row r="158" spans="1:4">
      <c r="A158" s="63" t="str">
        <f t="shared" si="4"/>
        <v>Carnes</v>
      </c>
      <c r="B158">
        <f>ROW()</f>
        <v>158</v>
      </c>
      <c r="D158" t="s">
        <v>41</v>
      </c>
    </row>
    <row r="159" spans="1:4">
      <c r="A159" s="63" t="str">
        <f t="shared" si="4"/>
        <v>Carnes</v>
      </c>
      <c r="B159">
        <f>ROW()</f>
        <v>159</v>
      </c>
      <c r="D159" t="s">
        <v>42</v>
      </c>
    </row>
    <row r="160" spans="1:4">
      <c r="A160" s="63" t="str">
        <f t="shared" si="4"/>
        <v>Carnes</v>
      </c>
      <c r="B160">
        <f>ROW()</f>
        <v>160</v>
      </c>
      <c r="D160" t="s">
        <v>43</v>
      </c>
    </row>
    <row r="161" spans="1:4">
      <c r="A161" s="63" t="str">
        <f t="shared" si="4"/>
        <v>Carnes</v>
      </c>
      <c r="B161">
        <f>ROW()</f>
        <v>161</v>
      </c>
      <c r="D161" t="s">
        <v>44</v>
      </c>
    </row>
    <row r="162" spans="1:4">
      <c r="A162" s="63" t="str">
        <f t="shared" si="4"/>
        <v>Carnes</v>
      </c>
      <c r="B162">
        <f>ROW()</f>
        <v>162</v>
      </c>
      <c r="D162" t="s">
        <v>45</v>
      </c>
    </row>
    <row r="163" spans="1:4">
      <c r="A163" s="63" t="str">
        <f t="shared" si="4"/>
        <v>Carnes</v>
      </c>
      <c r="B163">
        <f>ROW()</f>
        <v>163</v>
      </c>
      <c r="D163" t="s">
        <v>168</v>
      </c>
    </row>
    <row r="166" spans="1:4">
      <c r="A166" s="63" t="str">
        <f>$K$1</f>
        <v>Queijos</v>
      </c>
      <c r="B166">
        <f>ROW()</f>
        <v>166</v>
      </c>
      <c r="D166" t="s">
        <v>256</v>
      </c>
    </row>
    <row r="167" spans="1:4">
      <c r="A167" s="63" t="str">
        <f>$K$1</f>
        <v>Queijos</v>
      </c>
      <c r="B167">
        <f>ROW()</f>
        <v>167</v>
      </c>
      <c r="D167" t="s">
        <v>47</v>
      </c>
    </row>
    <row r="168" spans="1:4">
      <c r="A168" s="63" t="str">
        <f>$K$1</f>
        <v>Queijos</v>
      </c>
      <c r="B168">
        <f>ROW()</f>
        <v>168</v>
      </c>
      <c r="D168" t="s">
        <v>48</v>
      </c>
    </row>
    <row r="171" spans="1:4">
      <c r="A171" s="63" t="str">
        <f>$L$1</f>
        <v>Peixes</v>
      </c>
      <c r="B171">
        <f>ROW()</f>
        <v>171</v>
      </c>
      <c r="D171" t="s">
        <v>114</v>
      </c>
    </row>
    <row r="172" spans="1:4">
      <c r="A172" s="63" t="str">
        <f>$L$1</f>
        <v>Peixes</v>
      </c>
      <c r="B172">
        <f>ROW()</f>
        <v>172</v>
      </c>
      <c r="D172" t="s">
        <v>50</v>
      </c>
    </row>
    <row r="173" spans="1:4">
      <c r="A173" s="63" t="str">
        <f>$L$1</f>
        <v>Peixes</v>
      </c>
      <c r="B173">
        <f>ROW()</f>
        <v>173</v>
      </c>
      <c r="D173" t="s">
        <v>51</v>
      </c>
    </row>
    <row r="174" spans="1:4">
      <c r="A174" s="63" t="str">
        <f>$L$1</f>
        <v>Peixes</v>
      </c>
      <c r="B174">
        <f>ROW()</f>
        <v>174</v>
      </c>
      <c r="D174" t="s">
        <v>52</v>
      </c>
    </row>
    <row r="175" spans="1:4">
      <c r="A175" s="63" t="str">
        <f>$L$1</f>
        <v>Peixes</v>
      </c>
      <c r="B175">
        <f>ROW()</f>
        <v>175</v>
      </c>
      <c r="D175" t="s">
        <v>53</v>
      </c>
    </row>
    <row r="178" spans="1:4">
      <c r="A178" s="63" t="str">
        <f t="shared" ref="A178:A209" si="5">$M$1</f>
        <v>Hortfrut</v>
      </c>
      <c r="B178">
        <f>ROW()</f>
        <v>178</v>
      </c>
      <c r="D178" t="s">
        <v>290</v>
      </c>
    </row>
    <row r="179" spans="1:4">
      <c r="A179" s="63" t="str">
        <f t="shared" si="5"/>
        <v>Hortfrut</v>
      </c>
      <c r="B179">
        <f>ROW()</f>
        <v>179</v>
      </c>
      <c r="D179" t="s">
        <v>260</v>
      </c>
    </row>
    <row r="180" spans="1:4">
      <c r="A180" s="63" t="str">
        <f t="shared" si="5"/>
        <v>Hortfrut</v>
      </c>
      <c r="B180">
        <f>ROW()</f>
        <v>180</v>
      </c>
      <c r="D180" t="s">
        <v>291</v>
      </c>
    </row>
    <row r="181" spans="1:4">
      <c r="A181" s="63" t="str">
        <f t="shared" si="5"/>
        <v>Hortfrut</v>
      </c>
      <c r="B181">
        <f>ROW()</f>
        <v>181</v>
      </c>
      <c r="D181" t="s">
        <v>292</v>
      </c>
    </row>
    <row r="182" spans="1:4">
      <c r="A182" s="63" t="str">
        <f t="shared" si="5"/>
        <v>Hortfrut</v>
      </c>
      <c r="B182">
        <f>ROW()</f>
        <v>182</v>
      </c>
      <c r="D182" t="s">
        <v>293</v>
      </c>
    </row>
    <row r="183" spans="1:4">
      <c r="A183" s="63" t="str">
        <f t="shared" si="5"/>
        <v>Hortfrut</v>
      </c>
      <c r="B183">
        <f>ROW()</f>
        <v>183</v>
      </c>
      <c r="D183" t="s">
        <v>294</v>
      </c>
    </row>
    <row r="184" spans="1:4">
      <c r="A184" s="63" t="str">
        <f t="shared" si="5"/>
        <v>Hortfrut</v>
      </c>
      <c r="B184">
        <f>ROW()</f>
        <v>184</v>
      </c>
      <c r="D184" t="s">
        <v>322</v>
      </c>
    </row>
    <row r="185" spans="1:4">
      <c r="A185" s="63" t="str">
        <f t="shared" si="5"/>
        <v>Hortfrut</v>
      </c>
      <c r="B185">
        <f>ROW()</f>
        <v>185</v>
      </c>
      <c r="D185" t="s">
        <v>323</v>
      </c>
    </row>
    <row r="186" spans="1:4">
      <c r="A186" s="63" t="str">
        <f t="shared" si="5"/>
        <v>Hortfrut</v>
      </c>
      <c r="B186">
        <f>ROW()</f>
        <v>186</v>
      </c>
      <c r="D186" t="s">
        <v>295</v>
      </c>
    </row>
    <row r="187" spans="1:4">
      <c r="A187" s="63" t="str">
        <f t="shared" si="5"/>
        <v>Hortfrut</v>
      </c>
      <c r="B187">
        <f>ROW()</f>
        <v>187</v>
      </c>
      <c r="D187" t="s">
        <v>296</v>
      </c>
    </row>
    <row r="188" spans="1:4">
      <c r="A188" s="63" t="str">
        <f t="shared" si="5"/>
        <v>Hortfrut</v>
      </c>
      <c r="B188">
        <f>ROW()</f>
        <v>188</v>
      </c>
      <c r="D188" t="s">
        <v>5</v>
      </c>
    </row>
    <row r="189" spans="1:4">
      <c r="A189" s="63" t="str">
        <f t="shared" si="5"/>
        <v>Hortfrut</v>
      </c>
      <c r="B189">
        <f>ROW()</f>
        <v>189</v>
      </c>
      <c r="D189" t="s">
        <v>297</v>
      </c>
    </row>
    <row r="190" spans="1:4">
      <c r="A190" s="63" t="str">
        <f t="shared" si="5"/>
        <v>Hortfrut</v>
      </c>
      <c r="B190">
        <f>ROW()</f>
        <v>190</v>
      </c>
      <c r="D190" t="s">
        <v>298</v>
      </c>
    </row>
    <row r="191" spans="1:4">
      <c r="A191" s="63" t="str">
        <f t="shared" si="5"/>
        <v>Hortfrut</v>
      </c>
      <c r="B191">
        <f>ROW()</f>
        <v>191</v>
      </c>
      <c r="D191" t="s">
        <v>299</v>
      </c>
    </row>
    <row r="192" spans="1:4">
      <c r="A192" s="63" t="str">
        <f t="shared" si="5"/>
        <v>Hortfrut</v>
      </c>
      <c r="B192">
        <f>ROW()</f>
        <v>192</v>
      </c>
      <c r="D192" t="s">
        <v>300</v>
      </c>
    </row>
    <row r="193" spans="1:4">
      <c r="A193" s="63" t="str">
        <f t="shared" si="5"/>
        <v>Hortfrut</v>
      </c>
      <c r="B193">
        <f>ROW()</f>
        <v>193</v>
      </c>
      <c r="D193" t="s">
        <v>301</v>
      </c>
    </row>
    <row r="194" spans="1:4">
      <c r="A194" s="63" t="str">
        <f t="shared" si="5"/>
        <v>Hortfrut</v>
      </c>
      <c r="B194">
        <f>ROW()</f>
        <v>194</v>
      </c>
      <c r="D194" t="s">
        <v>302</v>
      </c>
    </row>
    <row r="195" spans="1:4">
      <c r="A195" s="63" t="str">
        <f t="shared" si="5"/>
        <v>Hortfrut</v>
      </c>
      <c r="B195">
        <f>ROW()</f>
        <v>195</v>
      </c>
      <c r="D195" t="s">
        <v>303</v>
      </c>
    </row>
    <row r="196" spans="1:4">
      <c r="A196" s="63" t="str">
        <f t="shared" si="5"/>
        <v>Hortfrut</v>
      </c>
      <c r="B196">
        <f>ROW()</f>
        <v>196</v>
      </c>
      <c r="D196" t="s">
        <v>304</v>
      </c>
    </row>
    <row r="197" spans="1:4">
      <c r="A197" s="63" t="str">
        <f t="shared" si="5"/>
        <v>Hortfrut</v>
      </c>
      <c r="B197">
        <f>ROW()</f>
        <v>197</v>
      </c>
      <c r="D197" t="s">
        <v>305</v>
      </c>
    </row>
    <row r="198" spans="1:4">
      <c r="A198" s="63" t="str">
        <f t="shared" si="5"/>
        <v>Hortfrut</v>
      </c>
      <c r="B198">
        <f>ROW()</f>
        <v>198</v>
      </c>
      <c r="D198" t="s">
        <v>133</v>
      </c>
    </row>
    <row r="199" spans="1:4">
      <c r="A199" s="63" t="str">
        <f t="shared" si="5"/>
        <v>Hortfrut</v>
      </c>
      <c r="B199">
        <f>ROW()</f>
        <v>199</v>
      </c>
      <c r="D199" t="s">
        <v>306</v>
      </c>
    </row>
    <row r="200" spans="1:4">
      <c r="A200" s="63" t="str">
        <f t="shared" si="5"/>
        <v>Hortfrut</v>
      </c>
      <c r="B200">
        <f>ROW()</f>
        <v>200</v>
      </c>
      <c r="D200" t="s">
        <v>307</v>
      </c>
    </row>
    <row r="201" spans="1:4">
      <c r="A201" s="63" t="str">
        <f t="shared" si="5"/>
        <v>Hortfrut</v>
      </c>
      <c r="B201">
        <f>ROW()</f>
        <v>201</v>
      </c>
      <c r="D201" t="s">
        <v>308</v>
      </c>
    </row>
    <row r="202" spans="1:4">
      <c r="A202" s="63" t="str">
        <f t="shared" si="5"/>
        <v>Hortfrut</v>
      </c>
      <c r="B202">
        <f>ROW()</f>
        <v>202</v>
      </c>
      <c r="D202" t="s">
        <v>321</v>
      </c>
    </row>
    <row r="203" spans="1:4">
      <c r="A203" s="63" t="str">
        <f t="shared" si="5"/>
        <v>Hortfrut</v>
      </c>
      <c r="B203">
        <f>ROW()</f>
        <v>203</v>
      </c>
      <c r="D203" t="s">
        <v>134</v>
      </c>
    </row>
    <row r="204" spans="1:4">
      <c r="A204" s="63" t="str">
        <f t="shared" si="5"/>
        <v>Hortfrut</v>
      </c>
      <c r="B204">
        <f>ROW()</f>
        <v>204</v>
      </c>
      <c r="D204" t="s">
        <v>309</v>
      </c>
    </row>
    <row r="205" spans="1:4">
      <c r="A205" s="63" t="str">
        <f t="shared" si="5"/>
        <v>Hortfrut</v>
      </c>
      <c r="B205">
        <f>ROW()</f>
        <v>205</v>
      </c>
      <c r="D205" t="s">
        <v>284</v>
      </c>
    </row>
    <row r="206" spans="1:4">
      <c r="A206" s="63" t="str">
        <f t="shared" si="5"/>
        <v>Hortfrut</v>
      </c>
      <c r="B206">
        <f>ROW()</f>
        <v>206</v>
      </c>
      <c r="D206" t="s">
        <v>283</v>
      </c>
    </row>
    <row r="207" spans="1:4">
      <c r="A207" s="63" t="str">
        <f t="shared" si="5"/>
        <v>Hortfrut</v>
      </c>
      <c r="B207">
        <f>ROW()</f>
        <v>207</v>
      </c>
      <c r="D207" t="s">
        <v>317</v>
      </c>
    </row>
    <row r="208" spans="1:4">
      <c r="A208" s="63" t="str">
        <f t="shared" si="5"/>
        <v>Hortfrut</v>
      </c>
      <c r="B208">
        <f>ROW()</f>
        <v>208</v>
      </c>
      <c r="D208" t="s">
        <v>318</v>
      </c>
    </row>
    <row r="209" spans="1:4">
      <c r="A209" s="63" t="str">
        <f t="shared" si="5"/>
        <v>Hortfrut</v>
      </c>
      <c r="B209">
        <f>ROW()</f>
        <v>209</v>
      </c>
      <c r="D209" t="s">
        <v>316</v>
      </c>
    </row>
    <row r="210" spans="1:4">
      <c r="A210" s="63" t="str">
        <f t="shared" ref="A210:A236" si="6">$M$1</f>
        <v>Hortfrut</v>
      </c>
      <c r="B210">
        <f>ROW()</f>
        <v>210</v>
      </c>
      <c r="D210" t="s">
        <v>281</v>
      </c>
    </row>
    <row r="211" spans="1:4">
      <c r="A211" s="63" t="str">
        <f t="shared" si="6"/>
        <v>Hortfrut</v>
      </c>
      <c r="B211">
        <f>ROW()</f>
        <v>211</v>
      </c>
      <c r="D211" t="s">
        <v>280</v>
      </c>
    </row>
    <row r="212" spans="1:4">
      <c r="A212" s="63" t="str">
        <f t="shared" si="6"/>
        <v>Hortfrut</v>
      </c>
      <c r="B212">
        <f>ROW()</f>
        <v>212</v>
      </c>
      <c r="D212" t="s">
        <v>282</v>
      </c>
    </row>
    <row r="213" spans="1:4">
      <c r="A213" s="63" t="str">
        <f t="shared" si="6"/>
        <v>Hortfrut</v>
      </c>
      <c r="B213">
        <f>ROW()</f>
        <v>213</v>
      </c>
      <c r="D213" t="s">
        <v>176</v>
      </c>
    </row>
    <row r="214" spans="1:4">
      <c r="A214" s="63" t="str">
        <f t="shared" si="6"/>
        <v>Hortfrut</v>
      </c>
      <c r="B214">
        <f>ROW()</f>
        <v>214</v>
      </c>
      <c r="D214" t="s">
        <v>279</v>
      </c>
    </row>
    <row r="215" spans="1:4">
      <c r="A215" s="63" t="str">
        <f t="shared" si="6"/>
        <v>Hortfrut</v>
      </c>
      <c r="B215">
        <f>ROW()</f>
        <v>215</v>
      </c>
      <c r="D215" t="s">
        <v>278</v>
      </c>
    </row>
    <row r="216" spans="1:4">
      <c r="A216" s="63" t="str">
        <f t="shared" si="6"/>
        <v>Hortfrut</v>
      </c>
      <c r="B216">
        <f>ROW()</f>
        <v>216</v>
      </c>
      <c r="D216" t="s">
        <v>277</v>
      </c>
    </row>
    <row r="217" spans="1:4">
      <c r="A217" s="63" t="str">
        <f t="shared" si="6"/>
        <v>Hortfrut</v>
      </c>
      <c r="B217">
        <f>ROW()</f>
        <v>217</v>
      </c>
      <c r="D217" t="s">
        <v>276</v>
      </c>
    </row>
    <row r="218" spans="1:4">
      <c r="A218" s="63" t="str">
        <f t="shared" si="6"/>
        <v>Hortfrut</v>
      </c>
      <c r="B218">
        <f>ROW()</f>
        <v>218</v>
      </c>
      <c r="D218" t="s">
        <v>275</v>
      </c>
    </row>
    <row r="219" spans="1:4">
      <c r="A219" s="63" t="str">
        <f t="shared" si="6"/>
        <v>Hortfrut</v>
      </c>
      <c r="B219">
        <f>ROW()</f>
        <v>219</v>
      </c>
      <c r="D219" t="s">
        <v>310</v>
      </c>
    </row>
    <row r="220" spans="1:4">
      <c r="A220" s="63" t="str">
        <f t="shared" si="6"/>
        <v>Hortfrut</v>
      </c>
      <c r="B220">
        <f>ROW()</f>
        <v>220</v>
      </c>
      <c r="D220" t="s">
        <v>274</v>
      </c>
    </row>
    <row r="221" spans="1:4">
      <c r="A221" s="63" t="str">
        <f t="shared" si="6"/>
        <v>Hortfrut</v>
      </c>
      <c r="B221">
        <f>ROW()</f>
        <v>221</v>
      </c>
      <c r="D221" t="s">
        <v>320</v>
      </c>
    </row>
    <row r="222" spans="1:4">
      <c r="A222" s="63" t="str">
        <f t="shared" si="6"/>
        <v>Hortfrut</v>
      </c>
      <c r="B222">
        <f>ROW()</f>
        <v>222</v>
      </c>
      <c r="D222" t="s">
        <v>273</v>
      </c>
    </row>
    <row r="223" spans="1:4">
      <c r="A223" s="63" t="str">
        <f t="shared" si="6"/>
        <v>Hortfrut</v>
      </c>
      <c r="B223">
        <f>ROW()</f>
        <v>223</v>
      </c>
      <c r="D223" t="s">
        <v>271</v>
      </c>
    </row>
    <row r="224" spans="1:4">
      <c r="A224" s="63" t="str">
        <f t="shared" si="6"/>
        <v>Hortfrut</v>
      </c>
      <c r="B224">
        <f>ROW()</f>
        <v>224</v>
      </c>
      <c r="D224" t="s">
        <v>272</v>
      </c>
    </row>
    <row r="225" spans="1:7">
      <c r="A225" s="63" t="str">
        <f t="shared" si="6"/>
        <v>Hortfrut</v>
      </c>
      <c r="B225">
        <f>ROW()</f>
        <v>225</v>
      </c>
      <c r="D225" t="s">
        <v>270</v>
      </c>
    </row>
    <row r="226" spans="1:7">
      <c r="A226" s="63" t="str">
        <f t="shared" si="6"/>
        <v>Hortfrut</v>
      </c>
      <c r="B226">
        <f>ROW()</f>
        <v>226</v>
      </c>
      <c r="D226" t="s">
        <v>269</v>
      </c>
    </row>
    <row r="227" spans="1:7">
      <c r="A227" s="63" t="str">
        <f t="shared" si="6"/>
        <v>Hortfrut</v>
      </c>
      <c r="B227">
        <f>ROW()</f>
        <v>227</v>
      </c>
      <c r="D227" t="s">
        <v>268</v>
      </c>
    </row>
    <row r="228" spans="1:7">
      <c r="A228" s="63" t="str">
        <f t="shared" si="6"/>
        <v>Hortfrut</v>
      </c>
      <c r="B228">
        <f>ROW()</f>
        <v>228</v>
      </c>
      <c r="D228" t="s">
        <v>261</v>
      </c>
    </row>
    <row r="229" spans="1:7">
      <c r="A229" s="63" t="str">
        <f t="shared" si="6"/>
        <v>Hortfrut</v>
      </c>
      <c r="B229">
        <f>ROW()</f>
        <v>229</v>
      </c>
      <c r="D229" t="s">
        <v>267</v>
      </c>
    </row>
    <row r="230" spans="1:7">
      <c r="A230" s="63" t="str">
        <f t="shared" si="6"/>
        <v>Hortfrut</v>
      </c>
      <c r="B230">
        <f>ROW()</f>
        <v>230</v>
      </c>
      <c r="D230" t="s">
        <v>266</v>
      </c>
    </row>
    <row r="231" spans="1:7">
      <c r="A231" s="63" t="str">
        <f t="shared" si="6"/>
        <v>Hortfrut</v>
      </c>
      <c r="B231">
        <f>ROW()</f>
        <v>231</v>
      </c>
      <c r="D231" t="s">
        <v>265</v>
      </c>
    </row>
    <row r="232" spans="1:7">
      <c r="A232" s="63" t="str">
        <f t="shared" si="6"/>
        <v>Hortfrut</v>
      </c>
      <c r="B232">
        <f>ROW()</f>
        <v>232</v>
      </c>
      <c r="D232" t="s">
        <v>259</v>
      </c>
    </row>
    <row r="233" spans="1:7">
      <c r="A233" s="63" t="str">
        <f t="shared" si="6"/>
        <v>Hortfrut</v>
      </c>
      <c r="B233">
        <f>ROW()</f>
        <v>233</v>
      </c>
      <c r="D233" t="s">
        <v>264</v>
      </c>
    </row>
    <row r="234" spans="1:7" ht="15.75" customHeight="1">
      <c r="A234" s="63" t="str">
        <f t="shared" si="6"/>
        <v>Hortfrut</v>
      </c>
      <c r="B234">
        <f>ROW()</f>
        <v>234</v>
      </c>
      <c r="D234" t="s">
        <v>263</v>
      </c>
    </row>
    <row r="235" spans="1:7">
      <c r="A235" s="63" t="str">
        <f t="shared" si="6"/>
        <v>Hortfrut</v>
      </c>
      <c r="B235">
        <f>ROW()</f>
        <v>235</v>
      </c>
      <c r="D235" t="s">
        <v>319</v>
      </c>
    </row>
    <row r="236" spans="1:7">
      <c r="A236" s="63" t="str">
        <f t="shared" si="6"/>
        <v>Hortfrut</v>
      </c>
      <c r="B236">
        <f>ROW()</f>
        <v>236</v>
      </c>
      <c r="D236" t="s">
        <v>262</v>
      </c>
    </row>
    <row r="237" spans="1:7">
      <c r="A237" s="63"/>
    </row>
    <row r="239" spans="1:7">
      <c r="A239" s="227" t="str">
        <f t="shared" ref="A239:A270" si="7">$N$1</f>
        <v>Limpeza</v>
      </c>
      <c r="B239" s="226">
        <f>ROW()</f>
        <v>239</v>
      </c>
      <c r="C239" s="226"/>
      <c r="D239" s="226" t="s">
        <v>346</v>
      </c>
      <c r="E239" s="12"/>
      <c r="F239" s="12"/>
      <c r="G239" s="12"/>
    </row>
    <row r="240" spans="1:7">
      <c r="A240" s="227" t="str">
        <f t="shared" si="7"/>
        <v>Limpeza</v>
      </c>
      <c r="B240" s="226">
        <f>ROW()</f>
        <v>240</v>
      </c>
      <c r="C240" s="226"/>
      <c r="D240" s="226" t="s">
        <v>345</v>
      </c>
      <c r="E240" s="12"/>
      <c r="F240" s="12"/>
      <c r="G240" s="12"/>
    </row>
    <row r="241" spans="1:7">
      <c r="A241" s="227" t="str">
        <f t="shared" si="7"/>
        <v>Limpeza</v>
      </c>
      <c r="B241" s="226">
        <f>ROW()</f>
        <v>241</v>
      </c>
      <c r="C241" s="226"/>
      <c r="D241" s="226" t="s">
        <v>344</v>
      </c>
      <c r="E241" s="12"/>
      <c r="F241" s="12"/>
      <c r="G241" s="12"/>
    </row>
    <row r="242" spans="1:7">
      <c r="A242" s="227" t="str">
        <f t="shared" si="7"/>
        <v>Limpeza</v>
      </c>
      <c r="B242" s="226">
        <f>ROW()</f>
        <v>242</v>
      </c>
      <c r="C242" s="226"/>
      <c r="D242" s="226" t="s">
        <v>248</v>
      </c>
      <c r="E242" s="12"/>
      <c r="F242" s="12"/>
      <c r="G242" s="12"/>
    </row>
    <row r="243" spans="1:7">
      <c r="A243" s="227" t="str">
        <f t="shared" si="7"/>
        <v>Limpeza</v>
      </c>
      <c r="B243" s="226">
        <f>ROW()</f>
        <v>243</v>
      </c>
      <c r="C243" s="226"/>
      <c r="D243" s="226" t="s">
        <v>392</v>
      </c>
      <c r="E243" s="12"/>
      <c r="F243" s="12"/>
      <c r="G243" s="12"/>
    </row>
    <row r="244" spans="1:7">
      <c r="A244" s="227" t="str">
        <f t="shared" si="7"/>
        <v>Limpeza</v>
      </c>
      <c r="B244" s="226">
        <f>ROW()</f>
        <v>244</v>
      </c>
      <c r="C244" s="226"/>
      <c r="D244" s="226" t="s">
        <v>347</v>
      </c>
      <c r="E244" s="12"/>
      <c r="F244" s="12"/>
      <c r="G244" s="12"/>
    </row>
    <row r="245" spans="1:7">
      <c r="A245" s="227" t="str">
        <f t="shared" si="7"/>
        <v>Limpeza</v>
      </c>
      <c r="B245" s="226">
        <f>ROW()</f>
        <v>245</v>
      </c>
      <c r="C245" s="226"/>
      <c r="D245" s="226" t="s">
        <v>348</v>
      </c>
      <c r="E245" s="12"/>
      <c r="F245" s="12"/>
      <c r="G245" s="12"/>
    </row>
    <row r="246" spans="1:7">
      <c r="A246" s="227" t="str">
        <f t="shared" si="7"/>
        <v>Limpeza</v>
      </c>
      <c r="B246" s="226">
        <f>ROW()</f>
        <v>246</v>
      </c>
      <c r="C246" s="226"/>
      <c r="D246" s="226" t="s">
        <v>335</v>
      </c>
      <c r="E246" s="12"/>
      <c r="F246" s="12"/>
      <c r="G246" s="12"/>
    </row>
    <row r="247" spans="1:7">
      <c r="A247" s="227" t="str">
        <f t="shared" si="7"/>
        <v>Limpeza</v>
      </c>
      <c r="B247" s="226">
        <f>ROW()</f>
        <v>247</v>
      </c>
      <c r="C247" s="226"/>
      <c r="D247" s="226" t="s">
        <v>349</v>
      </c>
      <c r="E247" s="12"/>
      <c r="F247" s="12"/>
      <c r="G247" s="12"/>
    </row>
    <row r="248" spans="1:7">
      <c r="A248" s="227" t="str">
        <f t="shared" si="7"/>
        <v>Limpeza</v>
      </c>
      <c r="B248" s="226">
        <f>ROW()</f>
        <v>248</v>
      </c>
      <c r="C248" s="226"/>
      <c r="D248" s="226" t="s">
        <v>336</v>
      </c>
      <c r="E248" s="12"/>
      <c r="F248" s="12"/>
      <c r="G248" s="12"/>
    </row>
    <row r="249" spans="1:7">
      <c r="A249" s="227" t="str">
        <f t="shared" si="7"/>
        <v>Limpeza</v>
      </c>
      <c r="B249" s="226">
        <f>ROW()</f>
        <v>249</v>
      </c>
      <c r="C249" s="226"/>
      <c r="D249" s="226" t="s">
        <v>337</v>
      </c>
      <c r="E249" s="12"/>
      <c r="F249" s="12"/>
      <c r="G249" s="12"/>
    </row>
    <row r="250" spans="1:7">
      <c r="A250" s="227" t="str">
        <f t="shared" si="7"/>
        <v>Limpeza</v>
      </c>
      <c r="B250" s="226">
        <f>ROW()</f>
        <v>250</v>
      </c>
      <c r="C250" s="226"/>
      <c r="D250" s="226" t="s">
        <v>394</v>
      </c>
      <c r="E250" s="12"/>
      <c r="F250" s="12"/>
      <c r="G250" s="12"/>
    </row>
    <row r="251" spans="1:7">
      <c r="A251" s="227" t="str">
        <f t="shared" si="7"/>
        <v>Limpeza</v>
      </c>
      <c r="B251" s="226">
        <f>ROW()</f>
        <v>251</v>
      </c>
      <c r="C251" s="226"/>
      <c r="D251" s="226" t="s">
        <v>405</v>
      </c>
      <c r="E251" s="12"/>
      <c r="F251" s="12"/>
      <c r="G251" s="12"/>
    </row>
    <row r="252" spans="1:7">
      <c r="A252" s="227" t="str">
        <f t="shared" si="7"/>
        <v>Limpeza</v>
      </c>
      <c r="B252" s="226">
        <f>ROW()</f>
        <v>252</v>
      </c>
      <c r="C252" s="226"/>
      <c r="D252" s="226" t="s">
        <v>393</v>
      </c>
      <c r="E252" s="12"/>
      <c r="F252" s="12"/>
      <c r="G252" s="12"/>
    </row>
    <row r="253" spans="1:7">
      <c r="A253" s="227" t="str">
        <f t="shared" si="7"/>
        <v>Limpeza</v>
      </c>
      <c r="B253" s="226">
        <f>ROW()</f>
        <v>253</v>
      </c>
      <c r="C253" s="226"/>
      <c r="D253" s="226" t="s">
        <v>338</v>
      </c>
      <c r="E253" s="12"/>
      <c r="F253" s="12"/>
      <c r="G253" s="12"/>
    </row>
    <row r="254" spans="1:7">
      <c r="A254" s="227" t="str">
        <f t="shared" si="7"/>
        <v>Limpeza</v>
      </c>
      <c r="B254" s="226">
        <f>ROW()</f>
        <v>254</v>
      </c>
      <c r="C254" s="226"/>
      <c r="D254" s="226" t="s">
        <v>350</v>
      </c>
      <c r="E254" s="12"/>
      <c r="F254" s="12"/>
      <c r="G254" s="12"/>
    </row>
    <row r="255" spans="1:7">
      <c r="A255" s="227" t="str">
        <f t="shared" si="7"/>
        <v>Limpeza</v>
      </c>
      <c r="B255" s="226">
        <f>ROW()</f>
        <v>255</v>
      </c>
      <c r="C255" s="226"/>
      <c r="D255" s="226" t="s">
        <v>353</v>
      </c>
      <c r="E255" s="12"/>
      <c r="F255" s="12"/>
      <c r="G255" s="12"/>
    </row>
    <row r="256" spans="1:7">
      <c r="A256" s="227" t="str">
        <f t="shared" si="7"/>
        <v>Limpeza</v>
      </c>
      <c r="B256" s="226">
        <f>ROW()</f>
        <v>256</v>
      </c>
      <c r="C256" s="226"/>
      <c r="D256" s="226" t="s">
        <v>352</v>
      </c>
      <c r="E256" s="12"/>
      <c r="F256" s="12"/>
      <c r="G256" s="12"/>
    </row>
    <row r="257" spans="1:7">
      <c r="A257" s="227" t="str">
        <f t="shared" si="7"/>
        <v>Limpeza</v>
      </c>
      <c r="B257" s="226">
        <f>ROW()</f>
        <v>257</v>
      </c>
      <c r="C257" s="226"/>
      <c r="D257" s="226" t="s">
        <v>354</v>
      </c>
      <c r="E257" s="12"/>
      <c r="F257" s="12"/>
      <c r="G257" s="12"/>
    </row>
    <row r="258" spans="1:7">
      <c r="A258" s="227" t="str">
        <f t="shared" si="7"/>
        <v>Limpeza</v>
      </c>
      <c r="B258" s="226">
        <f>ROW()</f>
        <v>258</v>
      </c>
      <c r="C258" s="226"/>
      <c r="D258" s="226" t="s">
        <v>355</v>
      </c>
      <c r="E258" s="12"/>
      <c r="F258" s="12"/>
      <c r="G258" s="12"/>
    </row>
    <row r="259" spans="1:7">
      <c r="A259" s="227" t="str">
        <f t="shared" si="7"/>
        <v>Limpeza</v>
      </c>
      <c r="B259" s="226">
        <f>ROW()</f>
        <v>259</v>
      </c>
      <c r="C259" s="226"/>
      <c r="D259" s="226" t="s">
        <v>351</v>
      </c>
      <c r="E259" s="12"/>
      <c r="F259" s="12"/>
      <c r="G259" s="12"/>
    </row>
    <row r="260" spans="1:7">
      <c r="A260" s="227" t="str">
        <f t="shared" si="7"/>
        <v>Limpeza</v>
      </c>
      <c r="B260" s="226">
        <f>ROW()</f>
        <v>260</v>
      </c>
      <c r="C260" s="226"/>
      <c r="D260" s="226" t="s">
        <v>356</v>
      </c>
      <c r="E260" s="12"/>
      <c r="F260" s="12"/>
      <c r="G260" s="12"/>
    </row>
    <row r="261" spans="1:7">
      <c r="A261" s="227" t="str">
        <f t="shared" si="7"/>
        <v>Limpeza</v>
      </c>
      <c r="B261" s="226">
        <f>ROW()</f>
        <v>261</v>
      </c>
      <c r="C261" s="226"/>
      <c r="D261" s="226" t="s">
        <v>339</v>
      </c>
      <c r="E261" s="12"/>
      <c r="F261" s="12"/>
      <c r="G261" s="12"/>
    </row>
    <row r="262" spans="1:7">
      <c r="A262" s="227" t="str">
        <f t="shared" si="7"/>
        <v>Limpeza</v>
      </c>
      <c r="B262" s="226">
        <f>ROW()</f>
        <v>262</v>
      </c>
      <c r="C262" s="226"/>
      <c r="D262" s="226" t="s">
        <v>340</v>
      </c>
      <c r="E262" s="12"/>
      <c r="F262" s="12"/>
      <c r="G262" s="12"/>
    </row>
    <row r="263" spans="1:7">
      <c r="A263" s="227" t="str">
        <f t="shared" si="7"/>
        <v>Limpeza</v>
      </c>
      <c r="B263" s="226">
        <f>ROW()</f>
        <v>263</v>
      </c>
      <c r="C263" s="226"/>
      <c r="D263" s="226" t="s">
        <v>395</v>
      </c>
      <c r="E263" s="12"/>
      <c r="F263" s="12"/>
      <c r="G263" s="12"/>
    </row>
    <row r="264" spans="1:7">
      <c r="A264" s="227" t="str">
        <f t="shared" si="7"/>
        <v>Limpeza</v>
      </c>
      <c r="B264" s="226">
        <f>ROW()</f>
        <v>264</v>
      </c>
      <c r="C264" s="226"/>
      <c r="D264" s="226" t="s">
        <v>341</v>
      </c>
      <c r="E264" s="12"/>
      <c r="F264" s="12"/>
      <c r="G264" s="12"/>
    </row>
    <row r="265" spans="1:7">
      <c r="A265" s="227" t="str">
        <f t="shared" si="7"/>
        <v>Limpeza</v>
      </c>
      <c r="B265" s="226">
        <f>ROW()</f>
        <v>265</v>
      </c>
      <c r="C265" s="226"/>
      <c r="D265" s="226" t="s">
        <v>357</v>
      </c>
      <c r="E265" s="12"/>
      <c r="F265" s="12"/>
      <c r="G265" s="12"/>
    </row>
    <row r="266" spans="1:7">
      <c r="A266" s="227" t="str">
        <f t="shared" si="7"/>
        <v>Limpeza</v>
      </c>
      <c r="B266" s="226">
        <f>ROW()</f>
        <v>266</v>
      </c>
      <c r="C266" s="226"/>
      <c r="D266" s="226" t="s">
        <v>396</v>
      </c>
      <c r="E266" s="12"/>
      <c r="F266" s="12"/>
      <c r="G266" s="12"/>
    </row>
    <row r="267" spans="1:7">
      <c r="A267" s="227" t="str">
        <f t="shared" si="7"/>
        <v>Limpeza</v>
      </c>
      <c r="B267" s="226">
        <f>ROW()</f>
        <v>267</v>
      </c>
      <c r="C267" s="226"/>
      <c r="D267" s="226" t="s">
        <v>397</v>
      </c>
      <c r="E267" s="12"/>
      <c r="F267" s="12"/>
      <c r="G267" s="12"/>
    </row>
    <row r="268" spans="1:7">
      <c r="A268" s="227" t="str">
        <f t="shared" si="7"/>
        <v>Limpeza</v>
      </c>
      <c r="B268" s="226">
        <f>ROW()</f>
        <v>268</v>
      </c>
      <c r="C268" s="226"/>
      <c r="D268" s="226" t="s">
        <v>398</v>
      </c>
      <c r="E268" s="12"/>
      <c r="F268" s="12"/>
      <c r="G268" s="12"/>
    </row>
    <row r="269" spans="1:7">
      <c r="A269" s="227" t="str">
        <f t="shared" si="7"/>
        <v>Limpeza</v>
      </c>
      <c r="B269" s="226">
        <f>ROW()</f>
        <v>269</v>
      </c>
      <c r="C269" s="226"/>
      <c r="D269" s="226" t="s">
        <v>358</v>
      </c>
      <c r="E269" s="12"/>
      <c r="F269" s="12"/>
      <c r="G269" s="12"/>
    </row>
    <row r="270" spans="1:7">
      <c r="A270" s="227" t="str">
        <f t="shared" si="7"/>
        <v>Limpeza</v>
      </c>
      <c r="B270" s="226">
        <f>ROW()</f>
        <v>270</v>
      </c>
      <c r="C270" s="226"/>
      <c r="D270" s="226" t="s">
        <v>359</v>
      </c>
      <c r="E270" s="12"/>
      <c r="F270" s="12"/>
      <c r="G270" s="12"/>
    </row>
    <row r="271" spans="1:7">
      <c r="A271" s="227" t="str">
        <f t="shared" ref="A271:A301" si="8">$N$1</f>
        <v>Limpeza</v>
      </c>
      <c r="B271" s="226">
        <f>ROW()</f>
        <v>271</v>
      </c>
      <c r="C271" s="226"/>
      <c r="D271" s="226" t="s">
        <v>360</v>
      </c>
      <c r="E271" s="12"/>
      <c r="F271" s="12"/>
      <c r="G271" s="12"/>
    </row>
    <row r="272" spans="1:7">
      <c r="A272" s="227" t="str">
        <f t="shared" si="8"/>
        <v>Limpeza</v>
      </c>
      <c r="B272" s="226">
        <f>ROW()</f>
        <v>272</v>
      </c>
      <c r="C272" s="226"/>
      <c r="D272" s="226" t="s">
        <v>361</v>
      </c>
      <c r="E272" s="12"/>
      <c r="F272" s="12"/>
      <c r="G272" s="12"/>
    </row>
    <row r="273" spans="1:7">
      <c r="A273" s="227" t="str">
        <f t="shared" si="8"/>
        <v>Limpeza</v>
      </c>
      <c r="B273" s="226">
        <f>ROW()</f>
        <v>273</v>
      </c>
      <c r="C273" s="226"/>
      <c r="D273" s="226" t="s">
        <v>362</v>
      </c>
      <c r="E273" s="12"/>
      <c r="F273" s="12"/>
      <c r="G273" s="12"/>
    </row>
    <row r="274" spans="1:7">
      <c r="A274" s="227" t="str">
        <f t="shared" si="8"/>
        <v>Limpeza</v>
      </c>
      <c r="B274" s="226">
        <f>ROW()</f>
        <v>274</v>
      </c>
      <c r="C274" s="226"/>
      <c r="D274" s="226" t="s">
        <v>363</v>
      </c>
      <c r="E274" s="12"/>
      <c r="F274" s="12"/>
      <c r="G274" s="12"/>
    </row>
    <row r="275" spans="1:7">
      <c r="A275" s="227" t="str">
        <f t="shared" si="8"/>
        <v>Limpeza</v>
      </c>
      <c r="B275" s="226">
        <f>ROW()</f>
        <v>275</v>
      </c>
      <c r="C275" s="226"/>
      <c r="D275" s="226" t="s">
        <v>342</v>
      </c>
      <c r="E275" s="12"/>
      <c r="F275" s="12"/>
      <c r="G275" s="12"/>
    </row>
    <row r="276" spans="1:7">
      <c r="A276" s="227" t="str">
        <f t="shared" si="8"/>
        <v>Limpeza</v>
      </c>
      <c r="B276" s="226">
        <f>ROW()</f>
        <v>276</v>
      </c>
      <c r="C276" s="226"/>
      <c r="D276" s="226" t="s">
        <v>343</v>
      </c>
      <c r="E276" s="12"/>
      <c r="F276" s="12"/>
      <c r="G276" s="12"/>
    </row>
    <row r="277" spans="1:7">
      <c r="A277" s="227" t="str">
        <f t="shared" si="8"/>
        <v>Limpeza</v>
      </c>
      <c r="B277" s="226">
        <f>ROW()</f>
        <v>277</v>
      </c>
      <c r="C277" s="226"/>
      <c r="D277" s="226" t="s">
        <v>364</v>
      </c>
      <c r="E277" s="12"/>
      <c r="F277" s="12"/>
      <c r="G277" s="12"/>
    </row>
    <row r="278" spans="1:7">
      <c r="A278" s="227" t="str">
        <f t="shared" si="8"/>
        <v>Limpeza</v>
      </c>
      <c r="B278" s="226">
        <f>ROW()</f>
        <v>278</v>
      </c>
      <c r="C278" s="226"/>
      <c r="D278" s="226" t="s">
        <v>402</v>
      </c>
      <c r="E278" s="12"/>
      <c r="F278" s="12"/>
      <c r="G278" s="12"/>
    </row>
    <row r="279" spans="1:7">
      <c r="A279" s="227" t="str">
        <f t="shared" si="8"/>
        <v>Limpeza</v>
      </c>
      <c r="B279" s="226">
        <f>ROW()</f>
        <v>279</v>
      </c>
      <c r="C279" s="226"/>
      <c r="D279" s="226" t="s">
        <v>400</v>
      </c>
      <c r="E279" s="12"/>
      <c r="F279" s="12"/>
      <c r="G279" s="12"/>
    </row>
    <row r="280" spans="1:7">
      <c r="A280" s="227" t="str">
        <f t="shared" si="8"/>
        <v>Limpeza</v>
      </c>
      <c r="B280" s="226">
        <f>ROW()</f>
        <v>280</v>
      </c>
      <c r="C280" s="226"/>
      <c r="D280" s="226" t="s">
        <v>399</v>
      </c>
      <c r="E280" s="12"/>
      <c r="F280" s="12"/>
      <c r="G280" s="12"/>
    </row>
    <row r="281" spans="1:7">
      <c r="A281" s="227" t="str">
        <f t="shared" si="8"/>
        <v>Limpeza</v>
      </c>
      <c r="B281" s="226">
        <f>ROW()</f>
        <v>281</v>
      </c>
      <c r="C281" s="226"/>
      <c r="D281" s="226" t="s">
        <v>365</v>
      </c>
      <c r="E281" s="12"/>
      <c r="F281" s="12"/>
      <c r="G281" s="12"/>
    </row>
    <row r="282" spans="1:7">
      <c r="A282" s="227" t="str">
        <f t="shared" si="8"/>
        <v>Limpeza</v>
      </c>
      <c r="B282" s="226">
        <f>ROW()</f>
        <v>282</v>
      </c>
      <c r="C282" s="226"/>
      <c r="D282" s="226" t="s">
        <v>401</v>
      </c>
      <c r="E282" s="12"/>
      <c r="F282" s="12"/>
      <c r="G282" s="12"/>
    </row>
    <row r="283" spans="1:7">
      <c r="A283" s="227" t="str">
        <f t="shared" si="8"/>
        <v>Limpeza</v>
      </c>
      <c r="B283" s="226">
        <f>ROW()</f>
        <v>283</v>
      </c>
      <c r="C283" s="226"/>
      <c r="D283" s="226" t="s">
        <v>367</v>
      </c>
      <c r="E283" s="12"/>
      <c r="F283" s="12"/>
      <c r="G283" s="12"/>
    </row>
    <row r="284" spans="1:7">
      <c r="A284" s="227" t="str">
        <f t="shared" si="8"/>
        <v>Limpeza</v>
      </c>
      <c r="B284" s="226">
        <f>ROW()</f>
        <v>284</v>
      </c>
      <c r="C284" s="226"/>
      <c r="D284" s="226" t="s">
        <v>366</v>
      </c>
      <c r="E284" s="12"/>
      <c r="F284" s="12"/>
      <c r="G284" s="12"/>
    </row>
    <row r="285" spans="1:7">
      <c r="A285" s="227" t="str">
        <f t="shared" si="8"/>
        <v>Limpeza</v>
      </c>
      <c r="B285" s="226">
        <f>ROW()</f>
        <v>285</v>
      </c>
      <c r="C285" s="226"/>
      <c r="D285" s="226" t="s">
        <v>403</v>
      </c>
      <c r="E285" s="12"/>
      <c r="F285" s="12"/>
      <c r="G285" s="12"/>
    </row>
    <row r="286" spans="1:7">
      <c r="A286" s="227" t="str">
        <f t="shared" si="8"/>
        <v>Limpeza</v>
      </c>
      <c r="B286" s="226">
        <f>ROW()</f>
        <v>286</v>
      </c>
      <c r="C286" s="226"/>
      <c r="D286" s="226" t="s">
        <v>404</v>
      </c>
      <c r="E286" s="12"/>
      <c r="F286" s="12"/>
      <c r="G286" s="12"/>
    </row>
    <row r="287" spans="1:7">
      <c r="A287" s="227" t="str">
        <f t="shared" si="8"/>
        <v>Limpeza</v>
      </c>
      <c r="B287" s="226">
        <f>ROW()</f>
        <v>287</v>
      </c>
      <c r="C287" s="226"/>
      <c r="D287" s="226" t="s">
        <v>368</v>
      </c>
      <c r="E287" s="12"/>
      <c r="F287" s="12"/>
      <c r="G287" s="12"/>
    </row>
    <row r="288" spans="1:7">
      <c r="A288" s="227" t="str">
        <f t="shared" si="8"/>
        <v>Limpeza</v>
      </c>
      <c r="B288" s="226">
        <f>ROW()</f>
        <v>288</v>
      </c>
      <c r="C288" s="226"/>
      <c r="D288" s="226" t="s">
        <v>369</v>
      </c>
      <c r="E288" s="12"/>
      <c r="F288" s="12"/>
      <c r="G288" s="12"/>
    </row>
    <row r="289" spans="1:7">
      <c r="A289" s="227" t="str">
        <f t="shared" si="8"/>
        <v>Limpeza</v>
      </c>
      <c r="B289" s="226">
        <f>ROW()</f>
        <v>289</v>
      </c>
      <c r="C289" s="226"/>
      <c r="D289" s="226" t="s">
        <v>371</v>
      </c>
      <c r="E289" s="12"/>
      <c r="F289" s="12"/>
      <c r="G289" s="12"/>
    </row>
    <row r="290" spans="1:7">
      <c r="A290" s="227" t="str">
        <f t="shared" si="8"/>
        <v>Limpeza</v>
      </c>
      <c r="B290" s="226">
        <f>ROW()</f>
        <v>290</v>
      </c>
      <c r="C290" s="226"/>
      <c r="D290" s="226" t="s">
        <v>370</v>
      </c>
      <c r="E290" s="12"/>
      <c r="F290" s="12"/>
      <c r="G290" s="12"/>
    </row>
    <row r="291" spans="1:7">
      <c r="A291" s="227" t="str">
        <f t="shared" si="8"/>
        <v>Limpeza</v>
      </c>
      <c r="B291" s="226">
        <f>ROW()</f>
        <v>291</v>
      </c>
      <c r="C291" s="226"/>
      <c r="D291" s="226" t="s">
        <v>372</v>
      </c>
      <c r="E291" s="12"/>
      <c r="F291" s="12"/>
      <c r="G291" s="12"/>
    </row>
    <row r="292" spans="1:7">
      <c r="A292" s="227" t="str">
        <f t="shared" si="8"/>
        <v>Limpeza</v>
      </c>
      <c r="B292" s="226">
        <f>ROW()</f>
        <v>292</v>
      </c>
      <c r="C292" s="226"/>
      <c r="D292" s="226" t="s">
        <v>374</v>
      </c>
      <c r="E292" s="12"/>
      <c r="F292" s="12"/>
      <c r="G292" s="12"/>
    </row>
    <row r="293" spans="1:7">
      <c r="A293" s="227" t="str">
        <f t="shared" si="8"/>
        <v>Limpeza</v>
      </c>
      <c r="B293" s="226">
        <f>ROW()</f>
        <v>293</v>
      </c>
      <c r="C293" s="226"/>
      <c r="D293" s="226" t="s">
        <v>375</v>
      </c>
      <c r="E293" s="12"/>
      <c r="F293" s="12"/>
      <c r="G293" s="12"/>
    </row>
    <row r="294" spans="1:7">
      <c r="A294" s="227" t="str">
        <f t="shared" si="8"/>
        <v>Limpeza</v>
      </c>
      <c r="B294" s="226">
        <f>ROW()</f>
        <v>294</v>
      </c>
      <c r="C294" s="226"/>
      <c r="D294" s="226" t="s">
        <v>373</v>
      </c>
      <c r="E294" s="12"/>
      <c r="F294" s="12"/>
      <c r="G294" s="12"/>
    </row>
    <row r="295" spans="1:7">
      <c r="A295" s="227" t="str">
        <f t="shared" si="8"/>
        <v>Limpeza</v>
      </c>
      <c r="B295" s="226">
        <f>ROW()</f>
        <v>295</v>
      </c>
      <c r="C295" s="226"/>
      <c r="D295" s="226" t="s">
        <v>377</v>
      </c>
      <c r="E295" s="12"/>
      <c r="F295" s="12"/>
      <c r="G295" s="12"/>
    </row>
    <row r="296" spans="1:7">
      <c r="A296" s="227" t="str">
        <f t="shared" si="8"/>
        <v>Limpeza</v>
      </c>
      <c r="B296" s="226">
        <f>ROW()</f>
        <v>296</v>
      </c>
      <c r="C296" s="226"/>
      <c r="D296" s="226" t="s">
        <v>376</v>
      </c>
      <c r="E296" s="12"/>
      <c r="F296" s="12"/>
      <c r="G296" s="12"/>
    </row>
    <row r="297" spans="1:7">
      <c r="A297" s="227" t="str">
        <f t="shared" si="8"/>
        <v>Limpeza</v>
      </c>
      <c r="B297" s="226">
        <f>ROW()</f>
        <v>297</v>
      </c>
      <c r="C297" s="226"/>
      <c r="D297" s="226" t="s">
        <v>381</v>
      </c>
      <c r="E297" s="12"/>
      <c r="F297" s="12"/>
      <c r="G297" s="12"/>
    </row>
    <row r="298" spans="1:7">
      <c r="A298" s="227" t="str">
        <f t="shared" si="8"/>
        <v>Limpeza</v>
      </c>
      <c r="B298" s="226">
        <f>ROW()</f>
        <v>298</v>
      </c>
      <c r="C298" s="226"/>
      <c r="D298" s="226" t="s">
        <v>383</v>
      </c>
      <c r="E298" s="12"/>
      <c r="F298" s="12"/>
      <c r="G298" s="12"/>
    </row>
    <row r="299" spans="1:7">
      <c r="A299" s="227" t="str">
        <f t="shared" si="8"/>
        <v>Limpeza</v>
      </c>
      <c r="B299" s="226">
        <f>ROW()</f>
        <v>299</v>
      </c>
      <c r="C299" s="226"/>
      <c r="D299" s="226" t="s">
        <v>384</v>
      </c>
      <c r="E299" s="12"/>
      <c r="F299" s="12"/>
      <c r="G299" s="12"/>
    </row>
    <row r="300" spans="1:7">
      <c r="A300" s="227" t="str">
        <f t="shared" si="8"/>
        <v>Limpeza</v>
      </c>
      <c r="B300" s="226">
        <f>ROW()</f>
        <v>300</v>
      </c>
      <c r="C300" s="226"/>
      <c r="D300" s="226" t="s">
        <v>382</v>
      </c>
      <c r="E300" s="12"/>
      <c r="F300" s="12"/>
      <c r="G300" s="12"/>
    </row>
    <row r="301" spans="1:7">
      <c r="A301" s="227" t="str">
        <f t="shared" si="8"/>
        <v>Limpeza</v>
      </c>
      <c r="B301" s="226">
        <f>ROW()</f>
        <v>301</v>
      </c>
      <c r="C301" s="226"/>
      <c r="D301" s="226" t="s">
        <v>378</v>
      </c>
      <c r="E301" s="12"/>
      <c r="F301" s="12"/>
      <c r="G301" s="12"/>
    </row>
    <row r="302" spans="1:7">
      <c r="A302" s="227" t="str">
        <f>$N$1</f>
        <v>Limpeza</v>
      </c>
      <c r="B302" s="226">
        <f>ROW()</f>
        <v>302</v>
      </c>
      <c r="C302" s="226"/>
      <c r="D302" s="226" t="s">
        <v>379</v>
      </c>
      <c r="E302" s="12"/>
      <c r="F302" s="12"/>
      <c r="G302" s="12"/>
    </row>
    <row r="303" spans="1:7">
      <c r="A303" s="227" t="str">
        <f t="shared" ref="A303:A310" si="9">$N$1</f>
        <v>Limpeza</v>
      </c>
      <c r="B303" s="226">
        <f>ROW()</f>
        <v>303</v>
      </c>
      <c r="C303" s="226"/>
      <c r="D303" s="226" t="s">
        <v>385</v>
      </c>
      <c r="E303" s="12"/>
      <c r="F303" s="12"/>
      <c r="G303" s="12"/>
    </row>
    <row r="304" spans="1:7">
      <c r="A304" s="227" t="str">
        <f t="shared" si="9"/>
        <v>Limpeza</v>
      </c>
      <c r="B304" s="226">
        <f>ROW()</f>
        <v>304</v>
      </c>
      <c r="C304" s="226"/>
      <c r="D304" s="226" t="s">
        <v>380</v>
      </c>
      <c r="E304" s="12"/>
      <c r="F304" s="12"/>
      <c r="G304" s="12"/>
    </row>
    <row r="305" spans="1:7">
      <c r="A305" s="227" t="str">
        <f t="shared" si="9"/>
        <v>Limpeza</v>
      </c>
      <c r="B305" s="226">
        <f>ROW()</f>
        <v>305</v>
      </c>
      <c r="C305" s="226"/>
      <c r="D305" s="226" t="s">
        <v>386</v>
      </c>
      <c r="E305" s="12"/>
      <c r="F305" s="12"/>
      <c r="G305" s="12"/>
    </row>
    <row r="306" spans="1:7">
      <c r="A306" s="227" t="str">
        <f t="shared" si="9"/>
        <v>Limpeza</v>
      </c>
      <c r="B306" s="226">
        <f>ROW()</f>
        <v>306</v>
      </c>
      <c r="C306" s="226"/>
      <c r="D306" s="226" t="s">
        <v>387</v>
      </c>
      <c r="E306" s="12"/>
      <c r="F306" s="12"/>
      <c r="G306" s="12"/>
    </row>
    <row r="307" spans="1:7">
      <c r="A307" s="227" t="str">
        <f t="shared" si="9"/>
        <v>Limpeza</v>
      </c>
      <c r="B307" s="226">
        <f>ROW()</f>
        <v>307</v>
      </c>
      <c r="C307" s="226"/>
      <c r="D307" s="226" t="s">
        <v>388</v>
      </c>
      <c r="E307" s="12"/>
      <c r="F307" s="12"/>
      <c r="G307" s="12"/>
    </row>
    <row r="308" spans="1:7">
      <c r="A308" s="227" t="str">
        <f t="shared" si="9"/>
        <v>Limpeza</v>
      </c>
      <c r="B308" s="226">
        <f>ROW()</f>
        <v>308</v>
      </c>
      <c r="C308" s="226"/>
      <c r="D308" s="226" t="s">
        <v>389</v>
      </c>
      <c r="E308" s="12"/>
      <c r="F308" s="12"/>
      <c r="G308" s="12"/>
    </row>
    <row r="309" spans="1:7">
      <c r="A309" s="227" t="str">
        <f t="shared" si="9"/>
        <v>Limpeza</v>
      </c>
      <c r="B309" s="226">
        <f>ROW()</f>
        <v>309</v>
      </c>
      <c r="C309" s="226"/>
      <c r="D309" s="226" t="s">
        <v>390</v>
      </c>
      <c r="E309" s="12"/>
      <c r="F309" s="12"/>
      <c r="G309" s="12"/>
    </row>
    <row r="310" spans="1:7">
      <c r="A310" s="227" t="str">
        <f t="shared" si="9"/>
        <v>Limpeza</v>
      </c>
      <c r="B310" s="226">
        <f>ROW()</f>
        <v>310</v>
      </c>
      <c r="C310" s="226"/>
      <c r="D310" s="226" t="s">
        <v>391</v>
      </c>
      <c r="E310" s="12"/>
      <c r="F310" s="12"/>
      <c r="G310" s="12"/>
    </row>
    <row r="311" spans="1:7">
      <c r="A311" s="260"/>
      <c r="B311" s="12"/>
      <c r="C311" s="12"/>
      <c r="D311" s="12"/>
      <c r="E311" s="12"/>
      <c r="F311" s="12"/>
      <c r="G311" s="12"/>
    </row>
    <row r="313" spans="1:7">
      <c r="A313" s="227" t="str">
        <f>$O$1</f>
        <v>Piscina</v>
      </c>
      <c r="B313" s="226">
        <f>ROW()</f>
        <v>313</v>
      </c>
      <c r="C313" s="226"/>
      <c r="D313" s="226" t="s">
        <v>419</v>
      </c>
    </row>
    <row r="314" spans="1:7">
      <c r="A314" s="227" t="str">
        <f t="shared" ref="A314:A324" si="10">$O$1</f>
        <v>Piscina</v>
      </c>
      <c r="B314" s="226">
        <f>ROW()</f>
        <v>314</v>
      </c>
      <c r="C314" s="226"/>
      <c r="D314" s="226" t="s">
        <v>415</v>
      </c>
    </row>
    <row r="315" spans="1:7">
      <c r="A315" s="227" t="str">
        <f t="shared" si="10"/>
        <v>Piscina</v>
      </c>
      <c r="B315" s="226">
        <f>ROW()</f>
        <v>315</v>
      </c>
      <c r="C315" s="226"/>
      <c r="D315" s="226" t="s">
        <v>420</v>
      </c>
    </row>
    <row r="316" spans="1:7">
      <c r="A316" s="227" t="str">
        <f t="shared" si="10"/>
        <v>Piscina</v>
      </c>
      <c r="B316" s="226">
        <f>ROW()</f>
        <v>316</v>
      </c>
      <c r="C316" s="226"/>
      <c r="D316" s="226" t="s">
        <v>421</v>
      </c>
    </row>
    <row r="317" spans="1:7">
      <c r="A317" s="227" t="str">
        <f t="shared" si="10"/>
        <v>Piscina</v>
      </c>
      <c r="B317" s="226">
        <f>ROW()</f>
        <v>317</v>
      </c>
      <c r="C317" s="226"/>
      <c r="D317" s="226" t="s">
        <v>422</v>
      </c>
    </row>
    <row r="318" spans="1:7">
      <c r="A318" s="227" t="str">
        <f t="shared" si="10"/>
        <v>Piscina</v>
      </c>
      <c r="B318" s="226">
        <f>ROW()</f>
        <v>318</v>
      </c>
      <c r="C318" s="226"/>
      <c r="D318" s="226" t="s">
        <v>416</v>
      </c>
    </row>
    <row r="319" spans="1:7">
      <c r="A319" s="227" t="str">
        <f t="shared" si="10"/>
        <v>Piscina</v>
      </c>
      <c r="B319" s="226">
        <f>ROW()</f>
        <v>319</v>
      </c>
      <c r="C319" s="226"/>
      <c r="D319" s="226" t="s">
        <v>423</v>
      </c>
    </row>
    <row r="320" spans="1:7">
      <c r="A320" s="227" t="str">
        <f t="shared" si="10"/>
        <v>Piscina</v>
      </c>
      <c r="B320" s="226">
        <f>ROW()</f>
        <v>320</v>
      </c>
      <c r="C320" s="226"/>
      <c r="D320" s="226" t="s">
        <v>417</v>
      </c>
    </row>
    <row r="321" spans="1:4">
      <c r="A321" s="227" t="str">
        <f t="shared" si="10"/>
        <v>Piscina</v>
      </c>
      <c r="B321" s="226">
        <f>ROW()</f>
        <v>321</v>
      </c>
      <c r="C321" s="226"/>
      <c r="D321" s="226" t="s">
        <v>424</v>
      </c>
    </row>
    <row r="322" spans="1:4">
      <c r="A322" s="227" t="str">
        <f t="shared" si="10"/>
        <v>Piscina</v>
      </c>
      <c r="B322" s="226">
        <f>ROW()</f>
        <v>322</v>
      </c>
      <c r="C322" s="226"/>
      <c r="D322" s="226" t="s">
        <v>418</v>
      </c>
    </row>
    <row r="323" spans="1:4">
      <c r="A323" s="227" t="str">
        <f t="shared" si="10"/>
        <v>Piscina</v>
      </c>
      <c r="B323" s="226">
        <f>ROW()</f>
        <v>323</v>
      </c>
      <c r="C323" s="226"/>
      <c r="D323" s="226" t="s">
        <v>425</v>
      </c>
    </row>
    <row r="324" spans="1:4">
      <c r="A324" s="227" t="str">
        <f t="shared" si="10"/>
        <v>Piscina</v>
      </c>
      <c r="B324" s="226">
        <f>ROW()</f>
        <v>324</v>
      </c>
      <c r="C324" s="226"/>
      <c r="D324" s="226" t="s">
        <v>426</v>
      </c>
    </row>
    <row r="327" spans="1:4">
      <c r="A327" s="276" t="str">
        <f>$P$1</f>
        <v>Covid-19</v>
      </c>
      <c r="B327" s="277">
        <f>ROW()</f>
        <v>327</v>
      </c>
      <c r="C327" s="277"/>
      <c r="D327" s="277" t="s">
        <v>431</v>
      </c>
    </row>
    <row r="328" spans="1:4">
      <c r="A328" s="276" t="str">
        <f t="shared" ref="A328:A342" si="11">$P$1</f>
        <v>Covid-19</v>
      </c>
      <c r="B328" s="278">
        <f>ROW()</f>
        <v>328</v>
      </c>
      <c r="C328" s="278"/>
      <c r="D328" s="278" t="s">
        <v>432</v>
      </c>
    </row>
    <row r="329" spans="1:4">
      <c r="A329" s="276" t="str">
        <f t="shared" si="11"/>
        <v>Covid-19</v>
      </c>
      <c r="B329" s="278">
        <f>ROW()</f>
        <v>329</v>
      </c>
      <c r="C329" s="278"/>
      <c r="D329" s="278" t="s">
        <v>433</v>
      </c>
    </row>
    <row r="330" spans="1:4">
      <c r="A330" s="276" t="str">
        <f t="shared" si="11"/>
        <v>Covid-19</v>
      </c>
      <c r="B330" s="278">
        <f>ROW()</f>
        <v>330</v>
      </c>
      <c r="C330" s="278"/>
      <c r="D330" s="278" t="s">
        <v>434</v>
      </c>
    </row>
    <row r="331" spans="1:4">
      <c r="A331" s="276" t="str">
        <f t="shared" si="11"/>
        <v>Covid-19</v>
      </c>
      <c r="B331" s="278">
        <f>ROW()</f>
        <v>331</v>
      </c>
      <c r="C331" s="278"/>
      <c r="D331" s="278" t="s">
        <v>435</v>
      </c>
    </row>
    <row r="332" spans="1:4">
      <c r="A332" s="276" t="str">
        <f t="shared" si="11"/>
        <v>Covid-19</v>
      </c>
      <c r="B332" s="278">
        <f>ROW()</f>
        <v>332</v>
      </c>
      <c r="C332" s="278"/>
      <c r="D332" s="278" t="s">
        <v>436</v>
      </c>
    </row>
    <row r="333" spans="1:4">
      <c r="A333" s="276" t="str">
        <f t="shared" si="11"/>
        <v>Covid-19</v>
      </c>
      <c r="B333" s="278">
        <f>ROW()</f>
        <v>333</v>
      </c>
      <c r="C333" s="278"/>
      <c r="D333" s="278" t="s">
        <v>437</v>
      </c>
    </row>
    <row r="334" spans="1:4">
      <c r="A334" s="276" t="str">
        <f t="shared" si="11"/>
        <v>Covid-19</v>
      </c>
      <c r="B334" s="278">
        <f>ROW()</f>
        <v>334</v>
      </c>
      <c r="C334" s="278"/>
      <c r="D334" s="278" t="s">
        <v>438</v>
      </c>
    </row>
    <row r="335" spans="1:4">
      <c r="A335" s="276" t="str">
        <f t="shared" si="11"/>
        <v>Covid-19</v>
      </c>
      <c r="B335" s="278">
        <f>ROW()</f>
        <v>335</v>
      </c>
      <c r="C335" s="278"/>
      <c r="D335" s="278" t="s">
        <v>439</v>
      </c>
    </row>
    <row r="336" spans="1:4">
      <c r="A336" s="276" t="str">
        <f t="shared" si="11"/>
        <v>Covid-19</v>
      </c>
      <c r="B336" s="278">
        <f>ROW()</f>
        <v>336</v>
      </c>
      <c r="C336" s="278"/>
      <c r="D336" s="278" t="s">
        <v>440</v>
      </c>
    </row>
    <row r="337" spans="1:4">
      <c r="A337" s="276" t="str">
        <f t="shared" si="11"/>
        <v>Covid-19</v>
      </c>
      <c r="B337" s="278">
        <f>ROW()</f>
        <v>337</v>
      </c>
      <c r="C337" s="278"/>
      <c r="D337" s="278" t="s">
        <v>441</v>
      </c>
    </row>
    <row r="338" spans="1:4">
      <c r="A338" s="276" t="str">
        <f t="shared" si="11"/>
        <v>Covid-19</v>
      </c>
      <c r="B338" s="278">
        <f>ROW()</f>
        <v>338</v>
      </c>
      <c r="C338" s="278"/>
      <c r="D338" s="278" t="s">
        <v>442</v>
      </c>
    </row>
    <row r="339" spans="1:4">
      <c r="A339" s="276" t="str">
        <f t="shared" si="11"/>
        <v>Covid-19</v>
      </c>
      <c r="B339" s="278">
        <f>ROW()</f>
        <v>339</v>
      </c>
      <c r="C339" s="278"/>
      <c r="D339" s="278" t="s">
        <v>443</v>
      </c>
    </row>
    <row r="340" spans="1:4">
      <c r="A340" s="276" t="str">
        <f t="shared" si="11"/>
        <v>Covid-19</v>
      </c>
      <c r="B340" s="278">
        <f>ROW()</f>
        <v>340</v>
      </c>
      <c r="C340" s="278"/>
      <c r="D340" s="278" t="s">
        <v>444</v>
      </c>
    </row>
    <row r="341" spans="1:4">
      <c r="A341" s="276" t="str">
        <f t="shared" si="11"/>
        <v>Covid-19</v>
      </c>
      <c r="B341" s="278">
        <f>ROW()</f>
        <v>341</v>
      </c>
      <c r="C341" s="278"/>
      <c r="D341" s="278" t="s">
        <v>445</v>
      </c>
    </row>
    <row r="342" spans="1:4">
      <c r="A342" s="276" t="str">
        <f t="shared" si="11"/>
        <v>Covid-19</v>
      </c>
      <c r="B342" s="278">
        <f>ROW()</f>
        <v>342</v>
      </c>
      <c r="C342" s="278"/>
      <c r="D342" s="278" t="s">
        <v>446</v>
      </c>
    </row>
  </sheetData>
  <sheetProtection password="C6E3" sheet="1" objects="1" scenarios="1"/>
  <sortState ref="D1:D126">
    <sortCondition ref="D126"/>
  </sortState>
  <conditionalFormatting sqref="A1:E133 F2:G133">
    <cfRule type="cellIs" dxfId="46" priority="21" operator="equal">
      <formula>$I$1</formula>
    </cfRule>
  </conditionalFormatting>
  <conditionalFormatting sqref="A135:G165">
    <cfRule type="cellIs" dxfId="45" priority="22" operator="equal">
      <formula>$J$1</formula>
    </cfRule>
  </conditionalFormatting>
  <conditionalFormatting sqref="A178:A237">
    <cfRule type="cellIs" dxfId="44" priority="23" operator="equal">
      <formula>$M$1</formula>
    </cfRule>
  </conditionalFormatting>
  <conditionalFormatting sqref="A166:A169">
    <cfRule type="cellIs" dxfId="43" priority="24" operator="equal">
      <formula>$K$1</formula>
    </cfRule>
  </conditionalFormatting>
  <conditionalFormatting sqref="A171:A176">
    <cfRule type="cellIs" dxfId="42" priority="25" operator="equal">
      <formula>$L$1</formula>
    </cfRule>
  </conditionalFormatting>
  <conditionalFormatting sqref="A239:A311">
    <cfRule type="cellIs" dxfId="41" priority="7" operator="equal">
      <formula>$N$1</formula>
    </cfRule>
    <cfRule type="cellIs" dxfId="40" priority="8" operator="equal">
      <formula>$M$1</formula>
    </cfRule>
  </conditionalFormatting>
  <conditionalFormatting sqref="A313:A324">
    <cfRule type="cellIs" dxfId="39" priority="3" operator="equal">
      <formula>$O$1</formula>
    </cfRule>
  </conditionalFormatting>
  <conditionalFormatting sqref="A327:A342">
    <cfRule type="cellIs" dxfId="38" priority="1" operator="equal">
      <formula>"$N$1"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13"/>
  <dimension ref="A1:U25"/>
  <sheetViews>
    <sheetView showGridLines="0" tabSelected="1" workbookViewId="0">
      <selection sqref="A1:U25"/>
    </sheetView>
  </sheetViews>
  <sheetFormatPr defaultRowHeight="15"/>
  <sheetData>
    <row r="1" spans="1:21">
      <c r="A1" s="508" t="s">
        <v>567</v>
      </c>
      <c r="B1" s="508"/>
      <c r="C1" s="508"/>
      <c r="D1" s="508"/>
      <c r="E1" s="508"/>
      <c r="F1" s="508"/>
      <c r="G1" s="508"/>
      <c r="H1" s="508"/>
      <c r="I1" s="508"/>
      <c r="J1" s="508"/>
      <c r="K1" s="508"/>
      <c r="L1" s="508"/>
      <c r="M1" s="508"/>
      <c r="N1" s="508"/>
      <c r="O1" s="508"/>
      <c r="P1" s="508"/>
      <c r="Q1" s="508"/>
      <c r="R1" s="508"/>
      <c r="S1" s="508"/>
      <c r="T1" s="508"/>
      <c r="U1" s="508"/>
    </row>
    <row r="2" spans="1:21">
      <c r="A2" s="508"/>
      <c r="B2" s="508"/>
      <c r="C2" s="508"/>
      <c r="D2" s="508"/>
      <c r="E2" s="508"/>
      <c r="F2" s="508"/>
      <c r="G2" s="508"/>
      <c r="H2" s="508"/>
      <c r="I2" s="508"/>
      <c r="J2" s="508"/>
      <c r="K2" s="508"/>
      <c r="L2" s="508"/>
      <c r="M2" s="508"/>
      <c r="N2" s="508"/>
      <c r="O2" s="508"/>
      <c r="P2" s="508"/>
      <c r="Q2" s="508"/>
      <c r="R2" s="508"/>
      <c r="S2" s="508"/>
      <c r="T2" s="508"/>
      <c r="U2" s="508"/>
    </row>
    <row r="3" spans="1:21">
      <c r="A3" s="508"/>
      <c r="B3" s="508"/>
      <c r="C3" s="508"/>
      <c r="D3" s="508"/>
      <c r="E3" s="508"/>
      <c r="F3" s="508"/>
      <c r="G3" s="508"/>
      <c r="H3" s="508"/>
      <c r="I3" s="508"/>
      <c r="J3" s="508"/>
      <c r="K3" s="508"/>
      <c r="L3" s="508"/>
      <c r="M3" s="508"/>
      <c r="N3" s="508"/>
      <c r="O3" s="508"/>
      <c r="P3" s="508"/>
      <c r="Q3" s="508"/>
      <c r="R3" s="508"/>
      <c r="S3" s="508"/>
      <c r="T3" s="508"/>
      <c r="U3" s="508"/>
    </row>
    <row r="4" spans="1:21">
      <c r="A4" s="508"/>
      <c r="B4" s="508"/>
      <c r="C4" s="508"/>
      <c r="D4" s="508"/>
      <c r="E4" s="508"/>
      <c r="F4" s="508"/>
      <c r="G4" s="508"/>
      <c r="H4" s="508"/>
      <c r="I4" s="508"/>
      <c r="J4" s="508"/>
      <c r="K4" s="508"/>
      <c r="L4" s="508"/>
      <c r="M4" s="508"/>
      <c r="N4" s="508"/>
      <c r="O4" s="508"/>
      <c r="P4" s="508"/>
      <c r="Q4" s="508"/>
      <c r="R4" s="508"/>
      <c r="S4" s="508"/>
      <c r="T4" s="508"/>
      <c r="U4" s="508"/>
    </row>
    <row r="5" spans="1:21">
      <c r="A5" s="508"/>
      <c r="B5" s="508"/>
      <c r="C5" s="508"/>
      <c r="D5" s="508"/>
      <c r="E5" s="508"/>
      <c r="F5" s="508"/>
      <c r="G5" s="508"/>
      <c r="H5" s="508"/>
      <c r="I5" s="508"/>
      <c r="J5" s="508"/>
      <c r="K5" s="508"/>
      <c r="L5" s="508"/>
      <c r="M5" s="508"/>
      <c r="N5" s="508"/>
      <c r="O5" s="508"/>
      <c r="P5" s="508"/>
      <c r="Q5" s="508"/>
      <c r="R5" s="508"/>
      <c r="S5" s="508"/>
      <c r="T5" s="508"/>
      <c r="U5" s="508"/>
    </row>
    <row r="6" spans="1:21">
      <c r="A6" s="508"/>
      <c r="B6" s="508"/>
      <c r="C6" s="508"/>
      <c r="D6" s="508"/>
      <c r="E6" s="508"/>
      <c r="F6" s="508"/>
      <c r="G6" s="508"/>
      <c r="H6" s="508"/>
      <c r="I6" s="508"/>
      <c r="J6" s="508"/>
      <c r="K6" s="508"/>
      <c r="L6" s="508"/>
      <c r="M6" s="508"/>
      <c r="N6" s="508"/>
      <c r="O6" s="508"/>
      <c r="P6" s="508"/>
      <c r="Q6" s="508"/>
      <c r="R6" s="508"/>
      <c r="S6" s="508"/>
      <c r="T6" s="508"/>
      <c r="U6" s="508"/>
    </row>
    <row r="7" spans="1:21">
      <c r="A7" s="508"/>
      <c r="B7" s="508"/>
      <c r="C7" s="508"/>
      <c r="D7" s="508"/>
      <c r="E7" s="508"/>
      <c r="F7" s="508"/>
      <c r="G7" s="508"/>
      <c r="H7" s="508"/>
      <c r="I7" s="508"/>
      <c r="J7" s="508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</row>
    <row r="8" spans="1:21">
      <c r="A8" s="508"/>
      <c r="B8" s="508"/>
      <c r="C8" s="508"/>
      <c r="D8" s="508"/>
      <c r="E8" s="508"/>
      <c r="F8" s="508"/>
      <c r="G8" s="508"/>
      <c r="H8" s="508"/>
      <c r="I8" s="508"/>
      <c r="J8" s="508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</row>
    <row r="9" spans="1:21">
      <c r="A9" s="508"/>
      <c r="B9" s="508"/>
      <c r="C9" s="508"/>
      <c r="D9" s="508"/>
      <c r="E9" s="508"/>
      <c r="F9" s="508"/>
      <c r="G9" s="508"/>
      <c r="H9" s="508"/>
      <c r="I9" s="508"/>
      <c r="J9" s="508"/>
      <c r="K9" s="508"/>
      <c r="L9" s="508"/>
      <c r="M9" s="508"/>
      <c r="N9" s="508"/>
      <c r="O9" s="508"/>
      <c r="P9" s="508"/>
      <c r="Q9" s="508"/>
      <c r="R9" s="508"/>
      <c r="S9" s="508"/>
      <c r="T9" s="508"/>
      <c r="U9" s="508"/>
    </row>
    <row r="10" spans="1:21">
      <c r="A10" s="508"/>
      <c r="B10" s="508"/>
      <c r="C10" s="508"/>
      <c r="D10" s="508"/>
      <c r="E10" s="508"/>
      <c r="F10" s="508"/>
      <c r="G10" s="508"/>
      <c r="H10" s="508"/>
      <c r="I10" s="508"/>
      <c r="J10" s="508"/>
      <c r="K10" s="508"/>
      <c r="L10" s="508"/>
      <c r="M10" s="508"/>
      <c r="N10" s="508"/>
      <c r="O10" s="508"/>
      <c r="P10" s="508"/>
      <c r="Q10" s="508"/>
      <c r="R10" s="508"/>
      <c r="S10" s="508"/>
      <c r="T10" s="508"/>
      <c r="U10" s="508"/>
    </row>
    <row r="11" spans="1:21">
      <c r="A11" s="508"/>
      <c r="B11" s="508"/>
      <c r="C11" s="508"/>
      <c r="D11" s="508"/>
      <c r="E11" s="508"/>
      <c r="F11" s="508"/>
      <c r="G11" s="508"/>
      <c r="H11" s="508"/>
      <c r="I11" s="508"/>
      <c r="J11" s="508"/>
      <c r="K11" s="508"/>
      <c r="L11" s="508"/>
      <c r="M11" s="508"/>
      <c r="N11" s="508"/>
      <c r="O11" s="508"/>
      <c r="P11" s="508"/>
      <c r="Q11" s="508"/>
      <c r="R11" s="508"/>
      <c r="S11" s="508"/>
      <c r="T11" s="508"/>
      <c r="U11" s="508"/>
    </row>
    <row r="12" spans="1:21">
      <c r="A12" s="508"/>
      <c r="B12" s="508"/>
      <c r="C12" s="508"/>
      <c r="D12" s="508"/>
      <c r="E12" s="508"/>
      <c r="F12" s="508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8"/>
    </row>
    <row r="13" spans="1:21">
      <c r="A13" s="508"/>
      <c r="B13" s="508"/>
      <c r="C13" s="508"/>
      <c r="D13" s="508"/>
      <c r="E13" s="508"/>
      <c r="F13" s="508"/>
      <c r="G13" s="508"/>
      <c r="H13" s="508"/>
      <c r="I13" s="508"/>
      <c r="J13" s="508"/>
      <c r="K13" s="508"/>
      <c r="L13" s="508"/>
      <c r="M13" s="508"/>
      <c r="N13" s="508"/>
      <c r="O13" s="508"/>
      <c r="P13" s="508"/>
      <c r="Q13" s="508"/>
      <c r="R13" s="508"/>
      <c r="S13" s="508"/>
      <c r="T13" s="508"/>
      <c r="U13" s="508"/>
    </row>
    <row r="14" spans="1:21">
      <c r="A14" s="508"/>
      <c r="B14" s="508"/>
      <c r="C14" s="508"/>
      <c r="D14" s="508"/>
      <c r="E14" s="508"/>
      <c r="F14" s="508"/>
      <c r="G14" s="508"/>
      <c r="H14" s="508"/>
      <c r="I14" s="508"/>
      <c r="J14" s="508"/>
      <c r="K14" s="508"/>
      <c r="L14" s="508"/>
      <c r="M14" s="508"/>
      <c r="N14" s="508"/>
      <c r="O14" s="508"/>
      <c r="P14" s="508"/>
      <c r="Q14" s="508"/>
      <c r="R14" s="508"/>
      <c r="S14" s="508"/>
      <c r="T14" s="508"/>
      <c r="U14" s="508"/>
    </row>
    <row r="15" spans="1:21">
      <c r="A15" s="508"/>
      <c r="B15" s="508"/>
      <c r="C15" s="508"/>
      <c r="D15" s="508"/>
      <c r="E15" s="508"/>
      <c r="F15" s="508"/>
      <c r="G15" s="508"/>
      <c r="H15" s="508"/>
      <c r="I15" s="508"/>
      <c r="J15" s="508"/>
      <c r="K15" s="508"/>
      <c r="L15" s="508"/>
      <c r="M15" s="508"/>
      <c r="N15" s="508"/>
      <c r="O15" s="508"/>
      <c r="P15" s="508"/>
      <c r="Q15" s="508"/>
      <c r="R15" s="508"/>
      <c r="S15" s="508"/>
      <c r="T15" s="508"/>
      <c r="U15" s="508"/>
    </row>
    <row r="16" spans="1:21">
      <c r="A16" s="508"/>
      <c r="B16" s="508"/>
      <c r="C16" s="508"/>
      <c r="D16" s="508"/>
      <c r="E16" s="508"/>
      <c r="F16" s="508"/>
      <c r="G16" s="508"/>
      <c r="H16" s="508"/>
      <c r="I16" s="508"/>
      <c r="J16" s="508"/>
      <c r="K16" s="508"/>
      <c r="L16" s="508"/>
      <c r="M16" s="508"/>
      <c r="N16" s="508"/>
      <c r="O16" s="508"/>
      <c r="P16" s="508"/>
      <c r="Q16" s="508"/>
      <c r="R16" s="508"/>
      <c r="S16" s="508"/>
      <c r="T16" s="508"/>
      <c r="U16" s="508"/>
    </row>
    <row r="17" spans="1:21">
      <c r="A17" s="508"/>
      <c r="B17" s="508"/>
      <c r="C17" s="508"/>
      <c r="D17" s="508"/>
      <c r="E17" s="508"/>
      <c r="F17" s="508"/>
      <c r="G17" s="508"/>
      <c r="H17" s="508"/>
      <c r="I17" s="508"/>
      <c r="J17" s="508"/>
      <c r="K17" s="508"/>
      <c r="L17" s="508"/>
      <c r="M17" s="508"/>
      <c r="N17" s="508"/>
      <c r="O17" s="508"/>
      <c r="P17" s="508"/>
      <c r="Q17" s="508"/>
      <c r="R17" s="508"/>
      <c r="S17" s="508"/>
      <c r="T17" s="508"/>
      <c r="U17" s="508"/>
    </row>
    <row r="18" spans="1:21">
      <c r="A18" s="508"/>
      <c r="B18" s="508"/>
      <c r="C18" s="508"/>
      <c r="D18" s="508"/>
      <c r="E18" s="508"/>
      <c r="F18" s="508"/>
      <c r="G18" s="508"/>
      <c r="H18" s="508"/>
      <c r="I18" s="508"/>
      <c r="J18" s="508"/>
      <c r="K18" s="508"/>
      <c r="L18" s="508"/>
      <c r="M18" s="508"/>
      <c r="N18" s="508"/>
      <c r="O18" s="508"/>
      <c r="P18" s="508"/>
      <c r="Q18" s="508"/>
      <c r="R18" s="508"/>
      <c r="S18" s="508"/>
      <c r="T18" s="508"/>
      <c r="U18" s="508"/>
    </row>
    <row r="19" spans="1:21">
      <c r="A19" s="508"/>
      <c r="B19" s="508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</row>
    <row r="20" spans="1:21">
      <c r="A20" s="508"/>
      <c r="B20" s="508"/>
      <c r="C20" s="508"/>
      <c r="D20" s="508"/>
      <c r="E20" s="508"/>
      <c r="F20" s="508"/>
      <c r="G20" s="508"/>
      <c r="H20" s="508"/>
      <c r="I20" s="508"/>
      <c r="J20" s="508"/>
      <c r="K20" s="508"/>
      <c r="L20" s="508"/>
      <c r="M20" s="508"/>
      <c r="N20" s="508"/>
      <c r="O20" s="508"/>
      <c r="P20" s="508"/>
      <c r="Q20" s="508"/>
      <c r="R20" s="508"/>
      <c r="S20" s="508"/>
      <c r="T20" s="508"/>
      <c r="U20" s="508"/>
    </row>
    <row r="21" spans="1:21">
      <c r="A21" s="508"/>
      <c r="B21" s="508"/>
      <c r="C21" s="508"/>
      <c r="D21" s="508"/>
      <c r="E21" s="508"/>
      <c r="F21" s="508"/>
      <c r="G21" s="508"/>
      <c r="H21" s="508"/>
      <c r="I21" s="508"/>
      <c r="J21" s="508"/>
      <c r="K21" s="508"/>
      <c r="L21" s="508"/>
      <c r="M21" s="508"/>
      <c r="N21" s="508"/>
      <c r="O21" s="508"/>
      <c r="P21" s="508"/>
      <c r="Q21" s="508"/>
      <c r="R21" s="508"/>
      <c r="S21" s="508"/>
      <c r="T21" s="508"/>
      <c r="U21" s="508"/>
    </row>
    <row r="22" spans="1:21">
      <c r="A22" s="508"/>
      <c r="B22" s="508"/>
      <c r="C22" s="508"/>
      <c r="D22" s="508"/>
      <c r="E22" s="508"/>
      <c r="F22" s="508"/>
      <c r="G22" s="508"/>
      <c r="H22" s="508"/>
      <c r="I22" s="508"/>
      <c r="J22" s="508"/>
      <c r="K22" s="508"/>
      <c r="L22" s="508"/>
      <c r="M22" s="508"/>
      <c r="N22" s="508"/>
      <c r="O22" s="508"/>
      <c r="P22" s="508"/>
      <c r="Q22" s="508"/>
      <c r="R22" s="508"/>
      <c r="S22" s="508"/>
      <c r="T22" s="508"/>
      <c r="U22" s="508"/>
    </row>
    <row r="23" spans="1:21">
      <c r="A23" s="508"/>
      <c r="B23" s="508"/>
      <c r="C23" s="508"/>
      <c r="D23" s="508"/>
      <c r="E23" s="508"/>
      <c r="F23" s="508"/>
      <c r="G23" s="508"/>
      <c r="H23" s="508"/>
      <c r="I23" s="508"/>
      <c r="J23" s="508"/>
      <c r="K23" s="508"/>
      <c r="L23" s="508"/>
      <c r="M23" s="508"/>
      <c r="N23" s="508"/>
      <c r="O23" s="508"/>
      <c r="P23" s="508"/>
      <c r="Q23" s="508"/>
      <c r="R23" s="508"/>
      <c r="S23" s="508"/>
      <c r="T23" s="508"/>
      <c r="U23" s="508"/>
    </row>
    <row r="24" spans="1:21">
      <c r="A24" s="508"/>
      <c r="B24" s="508"/>
      <c r="C24" s="508"/>
      <c r="D24" s="508"/>
      <c r="E24" s="508"/>
      <c r="F24" s="508"/>
      <c r="G24" s="508"/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R24" s="508"/>
      <c r="S24" s="508"/>
      <c r="T24" s="508"/>
      <c r="U24" s="508"/>
    </row>
    <row r="25" spans="1:21">
      <c r="A25" s="508"/>
      <c r="B25" s="508"/>
      <c r="C25" s="508"/>
      <c r="D25" s="508"/>
      <c r="E25" s="508"/>
      <c r="F25" s="508"/>
      <c r="G25" s="508"/>
      <c r="H25" s="508"/>
      <c r="I25" s="508"/>
      <c r="J25" s="508"/>
      <c r="K25" s="508"/>
      <c r="L25" s="508"/>
      <c r="M25" s="508"/>
      <c r="N25" s="508"/>
      <c r="O25" s="508"/>
      <c r="P25" s="508"/>
      <c r="Q25" s="508"/>
      <c r="R25" s="508"/>
      <c r="S25" s="508"/>
      <c r="T25" s="508"/>
      <c r="U25" s="508"/>
    </row>
  </sheetData>
  <sheetProtection password="C6E3" sheet="1" objects="1" scenarios="1"/>
  <mergeCells count="1">
    <mergeCell ref="A1:U2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Aviso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Planiha em Branco</dc:title>
  <dc:subject>Controle de Estoque</dc:subject>
  <dc:creator>NARAUJO</dc:creator>
  <dc:description>Desenvolvida por Nicolas L. Araujo</dc:description>
  <cp:lastModifiedBy>NARAUJO</cp:lastModifiedBy>
  <cp:lastPrinted>2020-01-29T20:20:27Z</cp:lastPrinted>
  <dcterms:created xsi:type="dcterms:W3CDTF">2019-02-06T12:48:53Z</dcterms:created>
  <dcterms:modified xsi:type="dcterms:W3CDTF">2020-12-28T16:54:08Z</dcterms:modified>
</cp:coreProperties>
</file>